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rman\Documents\sebamarapp\backend\excel\"/>
    </mc:Choice>
  </mc:AlternateContent>
  <xr:revisionPtr revIDLastSave="0" documentId="13_ncr:1_{7FD4019F-8674-4A08-8EF3-31254B1B1E69}" xr6:coauthVersionLast="47" xr6:coauthVersionMax="47" xr10:uidLastSave="{00000000-0000-0000-0000-000000000000}"/>
  <bookViews>
    <workbookView xWindow="-98" yWindow="-98" windowWidth="19396" windowHeight="10276" tabRatio="1000" activeTab="2" xr2:uid="{00000000-000D-0000-FFFF-FFFF00000000}"/>
  </bookViews>
  <sheets>
    <sheet name="CONTROL" sheetId="33" r:id="rId1"/>
    <sheet name="CONFIG" sheetId="2" r:id="rId2"/>
    <sheet name="ventana herrero" sheetId="1" r:id="rId3"/>
    <sheet name="mosquiteros" sheetId="4" r:id="rId4"/>
    <sheet name="rajas herrero" sheetId="7" r:id="rId5"/>
    <sheet name="puertas herrero" sheetId="10" r:id="rId6"/>
    <sheet name="medias puertas herrero" sheetId="12" r:id="rId7"/>
    <sheet name="ventanas modena" sheetId="13" r:id="rId8"/>
    <sheet name="rajas modena" sheetId="16" r:id="rId9"/>
    <sheet name="puertas modena" sheetId="18" r:id="rId10"/>
    <sheet name="patagonicas modena" sheetId="20" r:id="rId11"/>
    <sheet name="postigones" sheetId="22" r:id="rId12"/>
    <sheet name="puertas eco" sheetId="24" r:id="rId13"/>
    <sheet name="recargos" sheetId="26" r:id="rId14"/>
    <sheet name="plegadizas" sheetId="28" r:id="rId15"/>
    <sheet name="cortinas pvc" sheetId="29" r:id="rId16"/>
    <sheet name="placas" sheetId="31" r:id="rId17"/>
    <sheet name="ventana herrero venta" sheetId="3" r:id="rId18"/>
    <sheet name="mosquiteros venta" sheetId="6" r:id="rId19"/>
    <sheet name="rajas herrero venta" sheetId="9" r:id="rId20"/>
    <sheet name="puertas herrero venta" sheetId="11" r:id="rId21"/>
    <sheet name="medias puertas herrero venta" sheetId="14" r:id="rId22"/>
    <sheet name="ventanas modena venta" sheetId="15" r:id="rId23"/>
    <sheet name="rajas modena venta" sheetId="17" r:id="rId24"/>
    <sheet name="puertas modena venta" sheetId="19" r:id="rId25"/>
    <sheet name="patagonicas modena venta" sheetId="21" r:id="rId26"/>
    <sheet name="postigones venta" sheetId="23" r:id="rId27"/>
    <sheet name="puertas eco venta" sheetId="25" r:id="rId28"/>
    <sheet name="recargos venta" sheetId="27" r:id="rId29"/>
    <sheet name="plegadizas cortinas venta" sheetId="30" r:id="rId30"/>
    <sheet name="placas venta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7" i="23" l="1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H27" i="19"/>
  <c r="G27" i="19"/>
  <c r="F27" i="19"/>
  <c r="E27" i="19"/>
  <c r="H24" i="19"/>
  <c r="E24" i="19"/>
  <c r="D24" i="19"/>
  <c r="H18" i="19"/>
  <c r="G18" i="19"/>
  <c r="F18" i="19"/>
  <c r="E18" i="19"/>
  <c r="E17" i="19"/>
  <c r="D17" i="19"/>
  <c r="H15" i="19"/>
  <c r="E15" i="19"/>
  <c r="H12" i="19"/>
  <c r="C12" i="19"/>
  <c r="C11" i="19"/>
  <c r="E27" i="11"/>
  <c r="D27" i="11"/>
  <c r="H24" i="11"/>
  <c r="H17" i="11"/>
  <c r="C12" i="11"/>
  <c r="C11" i="11"/>
  <c r="H19" i="31"/>
  <c r="E23" i="32" s="1"/>
  <c r="D2" i="31"/>
  <c r="C2" i="31"/>
  <c r="A2" i="31"/>
  <c r="M10" i="29"/>
  <c r="G13" i="30" s="1"/>
  <c r="L10" i="29"/>
  <c r="F13" i="30" s="1"/>
  <c r="K10" i="29"/>
  <c r="E13" i="30" s="1"/>
  <c r="J10" i="29"/>
  <c r="D13" i="30" s="1"/>
  <c r="I10" i="29"/>
  <c r="C13" i="30" s="1"/>
  <c r="M9" i="29"/>
  <c r="G12" i="30" s="1"/>
  <c r="K9" i="29"/>
  <c r="E12" i="30" s="1"/>
  <c r="M8" i="29"/>
  <c r="G11" i="30" s="1"/>
  <c r="K8" i="29"/>
  <c r="E11" i="30" s="1"/>
  <c r="J8" i="29"/>
  <c r="D11" i="30" s="1"/>
  <c r="I8" i="29"/>
  <c r="C11" i="30" s="1"/>
  <c r="M7" i="29"/>
  <c r="G10" i="30" s="1"/>
  <c r="L7" i="29"/>
  <c r="F10" i="30" s="1"/>
  <c r="K7" i="29"/>
  <c r="E10" i="30" s="1"/>
  <c r="J7" i="29"/>
  <c r="D10" i="30" s="1"/>
  <c r="I7" i="29"/>
  <c r="C10" i="30" s="1"/>
  <c r="D2" i="29"/>
  <c r="C2" i="29"/>
  <c r="A2" i="29"/>
  <c r="J9" i="29" s="1"/>
  <c r="D12" i="30" s="1"/>
  <c r="J11" i="28"/>
  <c r="D21" i="30" s="1"/>
  <c r="I11" i="28"/>
  <c r="C21" i="30" s="1"/>
  <c r="M10" i="28"/>
  <c r="G20" i="30" s="1"/>
  <c r="L10" i="28"/>
  <c r="F20" i="30" s="1"/>
  <c r="K10" i="28"/>
  <c r="E20" i="30" s="1"/>
  <c r="J10" i="28"/>
  <c r="D20" i="30" s="1"/>
  <c r="I10" i="28"/>
  <c r="C20" i="30" s="1"/>
  <c r="I8" i="28"/>
  <c r="C18" i="30" s="1"/>
  <c r="M7" i="28"/>
  <c r="G17" i="30" s="1"/>
  <c r="L7" i="28"/>
  <c r="F17" i="30" s="1"/>
  <c r="K7" i="28"/>
  <c r="E17" i="30" s="1"/>
  <c r="J7" i="28"/>
  <c r="D17" i="30" s="1"/>
  <c r="I7" i="28"/>
  <c r="C17" i="30" s="1"/>
  <c r="D2" i="28"/>
  <c r="C2" i="28"/>
  <c r="A2" i="28"/>
  <c r="L12" i="28" s="1"/>
  <c r="F22" i="30" s="1"/>
  <c r="G10" i="26"/>
  <c r="D15" i="27" s="1"/>
  <c r="G9" i="26"/>
  <c r="D14" i="27" s="1"/>
  <c r="G8" i="26"/>
  <c r="D13" i="27" s="1"/>
  <c r="G7" i="26"/>
  <c r="D12" i="27" s="1"/>
  <c r="G6" i="26"/>
  <c r="D11" i="27" s="1"/>
  <c r="D2" i="26"/>
  <c r="C2" i="26"/>
  <c r="A2" i="26"/>
  <c r="D2" i="24"/>
  <c r="C2" i="24"/>
  <c r="A2" i="24"/>
  <c r="D2" i="22"/>
  <c r="C2" i="22"/>
  <c r="A2" i="22"/>
  <c r="D2" i="20"/>
  <c r="C2" i="20"/>
  <c r="A2" i="20"/>
  <c r="I27" i="19"/>
  <c r="D27" i="19"/>
  <c r="I24" i="19"/>
  <c r="N18" i="18"/>
  <c r="E22" i="19" s="1"/>
  <c r="I18" i="19"/>
  <c r="D18" i="19"/>
  <c r="I17" i="19"/>
  <c r="H17" i="19"/>
  <c r="P12" i="18"/>
  <c r="G16" i="19" s="1"/>
  <c r="I15" i="19"/>
  <c r="D15" i="19"/>
  <c r="O9" i="18"/>
  <c r="F13" i="19" s="1"/>
  <c r="I12" i="19"/>
  <c r="N7" i="18"/>
  <c r="E11" i="19" s="1"/>
  <c r="D2" i="18"/>
  <c r="C2" i="18"/>
  <c r="A2" i="18"/>
  <c r="Q7" i="18" s="1"/>
  <c r="H11" i="19" s="1"/>
  <c r="D2" i="16"/>
  <c r="C2" i="16"/>
  <c r="A2" i="16"/>
  <c r="I59" i="13"/>
  <c r="H59" i="13"/>
  <c r="G59" i="13"/>
  <c r="F59" i="13"/>
  <c r="E59" i="13"/>
  <c r="D59" i="13"/>
  <c r="C59" i="13"/>
  <c r="B59" i="13"/>
  <c r="D2" i="13"/>
  <c r="C2" i="13"/>
  <c r="A2" i="13"/>
  <c r="D2" i="12"/>
  <c r="C2" i="12"/>
  <c r="A2" i="12"/>
  <c r="H27" i="11"/>
  <c r="G27" i="11"/>
  <c r="F27" i="11"/>
  <c r="E24" i="11"/>
  <c r="D24" i="11"/>
  <c r="H18" i="11"/>
  <c r="G18" i="11"/>
  <c r="F18" i="11"/>
  <c r="E18" i="11"/>
  <c r="D18" i="11"/>
  <c r="E17" i="11"/>
  <c r="D17" i="11"/>
  <c r="E15" i="11"/>
  <c r="D15" i="11"/>
  <c r="E12" i="11"/>
  <c r="E11" i="11"/>
  <c r="D2" i="10"/>
  <c r="C2" i="10"/>
  <c r="A2" i="10"/>
  <c r="K10" i="10" s="1"/>
  <c r="C15" i="11" s="1"/>
  <c r="P7" i="7"/>
  <c r="G13" i="9" s="1"/>
  <c r="D2" i="7"/>
  <c r="C2" i="7"/>
  <c r="Q75" i="7" s="1"/>
  <c r="H81" i="9" s="1"/>
  <c r="A2" i="7"/>
  <c r="L9" i="7" s="1"/>
  <c r="C15" i="9" s="1"/>
  <c r="E59" i="4"/>
  <c r="D63" i="6" s="1"/>
  <c r="E52" i="4"/>
  <c r="D56" i="6" s="1"/>
  <c r="E51" i="4"/>
  <c r="D55" i="6" s="1"/>
  <c r="E50" i="4"/>
  <c r="D54" i="6" s="1"/>
  <c r="E49" i="4"/>
  <c r="D53" i="6" s="1"/>
  <c r="E48" i="4"/>
  <c r="D52" i="6" s="1"/>
  <c r="E47" i="4"/>
  <c r="D51" i="6" s="1"/>
  <c r="E46" i="4"/>
  <c r="D50" i="6" s="1"/>
  <c r="E45" i="4"/>
  <c r="D49" i="6" s="1"/>
  <c r="E43" i="4"/>
  <c r="D47" i="6" s="1"/>
  <c r="E36" i="4"/>
  <c r="D40" i="6" s="1"/>
  <c r="E35" i="4"/>
  <c r="D39" i="6" s="1"/>
  <c r="E34" i="4"/>
  <c r="D38" i="6" s="1"/>
  <c r="E33" i="4"/>
  <c r="D37" i="6" s="1"/>
  <c r="E32" i="4"/>
  <c r="D36" i="6" s="1"/>
  <c r="E31" i="4"/>
  <c r="D35" i="6" s="1"/>
  <c r="E30" i="4"/>
  <c r="D34" i="6" s="1"/>
  <c r="E29" i="4"/>
  <c r="D33" i="6" s="1"/>
  <c r="E27" i="4"/>
  <c r="D31" i="6" s="1"/>
  <c r="E20" i="4"/>
  <c r="D24" i="6" s="1"/>
  <c r="E19" i="4"/>
  <c r="D23" i="6" s="1"/>
  <c r="E18" i="4"/>
  <c r="D22" i="6" s="1"/>
  <c r="E17" i="4"/>
  <c r="D21" i="6" s="1"/>
  <c r="E16" i="4"/>
  <c r="D20" i="6" s="1"/>
  <c r="E15" i="4"/>
  <c r="D19" i="6" s="1"/>
  <c r="E14" i="4"/>
  <c r="D18" i="6" s="1"/>
  <c r="E13" i="4"/>
  <c r="D17" i="6" s="1"/>
  <c r="E11" i="4"/>
  <c r="D15" i="6" s="1"/>
  <c r="D2" i="4"/>
  <c r="A2" i="4"/>
  <c r="E58" i="4" s="1"/>
  <c r="D62" i="6" s="1"/>
  <c r="E60" i="1"/>
  <c r="D60" i="1"/>
  <c r="C60" i="1"/>
  <c r="B60" i="1"/>
  <c r="D2" i="1"/>
  <c r="C2" i="1"/>
  <c r="E2" i="4" s="1"/>
  <c r="A2" i="1"/>
  <c r="H9" i="1" s="1"/>
  <c r="C13" i="3" s="1"/>
  <c r="L9" i="28" l="1"/>
  <c r="F19" i="30" s="1"/>
  <c r="M12" i="28"/>
  <c r="G22" i="30" s="1"/>
  <c r="E12" i="4"/>
  <c r="D16" i="6" s="1"/>
  <c r="E28" i="4"/>
  <c r="D32" i="6" s="1"/>
  <c r="E44" i="4"/>
  <c r="D48" i="6" s="1"/>
  <c r="E60" i="4"/>
  <c r="D64" i="6" s="1"/>
  <c r="M9" i="28"/>
  <c r="G19" i="30" s="1"/>
  <c r="L9" i="29"/>
  <c r="F12" i="30" s="1"/>
  <c r="L7" i="7"/>
  <c r="C13" i="9" s="1"/>
  <c r="I47" i="31"/>
  <c r="F52" i="32" s="1"/>
  <c r="L8" i="28"/>
  <c r="F18" i="30" s="1"/>
  <c r="E7" i="4"/>
  <c r="D11" i="6" s="1"/>
  <c r="E23" i="4"/>
  <c r="D27" i="6" s="1"/>
  <c r="E39" i="4"/>
  <c r="D43" i="6" s="1"/>
  <c r="E55" i="4"/>
  <c r="D59" i="6" s="1"/>
  <c r="M8" i="28"/>
  <c r="G18" i="30" s="1"/>
  <c r="I12" i="28"/>
  <c r="C22" i="30" s="1"/>
  <c r="L8" i="29"/>
  <c r="F11" i="30" s="1"/>
  <c r="E40" i="4"/>
  <c r="D44" i="6" s="1"/>
  <c r="I9" i="28"/>
  <c r="C19" i="30" s="1"/>
  <c r="E9" i="4"/>
  <c r="D13" i="6" s="1"/>
  <c r="E25" i="4"/>
  <c r="D29" i="6" s="1"/>
  <c r="E41" i="4"/>
  <c r="D45" i="6" s="1"/>
  <c r="E57" i="4"/>
  <c r="D61" i="6" s="1"/>
  <c r="L21" i="18"/>
  <c r="C25" i="19" s="1"/>
  <c r="J9" i="28"/>
  <c r="D19" i="30" s="1"/>
  <c r="K12" i="28"/>
  <c r="E22" i="30" s="1"/>
  <c r="I9" i="29"/>
  <c r="C12" i="30" s="1"/>
  <c r="K22" i="10"/>
  <c r="C27" i="11" s="1"/>
  <c r="J8" i="28"/>
  <c r="D18" i="30" s="1"/>
  <c r="K11" i="28"/>
  <c r="E21" i="30" s="1"/>
  <c r="E21" i="4"/>
  <c r="D25" i="6" s="1"/>
  <c r="E37" i="4"/>
  <c r="D41" i="6" s="1"/>
  <c r="E53" i="4"/>
  <c r="D57" i="6" s="1"/>
  <c r="K8" i="28"/>
  <c r="E18" i="30" s="1"/>
  <c r="L11" i="28"/>
  <c r="F21" i="30" s="1"/>
  <c r="E22" i="4"/>
  <c r="D26" i="6" s="1"/>
  <c r="E38" i="4"/>
  <c r="D42" i="6" s="1"/>
  <c r="E54" i="4"/>
  <c r="D58" i="6" s="1"/>
  <c r="M11" i="28"/>
  <c r="G21" i="30" s="1"/>
  <c r="E8" i="4"/>
  <c r="D12" i="6" s="1"/>
  <c r="E24" i="4"/>
  <c r="D28" i="6" s="1"/>
  <c r="E56" i="4"/>
  <c r="D60" i="6" s="1"/>
  <c r="J12" i="28"/>
  <c r="D22" i="30" s="1"/>
  <c r="E10" i="4"/>
  <c r="D14" i="6" s="1"/>
  <c r="E26" i="4"/>
  <c r="D30" i="6" s="1"/>
  <c r="E42" i="4"/>
  <c r="D46" i="6" s="1"/>
  <c r="K9" i="28"/>
  <c r="E19" i="30" s="1"/>
  <c r="L10" i="18"/>
  <c r="C14" i="19" s="1"/>
  <c r="P11" i="18"/>
  <c r="G15" i="19" s="1"/>
  <c r="O13" i="18"/>
  <c r="F17" i="19" s="1"/>
  <c r="R19" i="18"/>
  <c r="I23" i="19" s="1"/>
  <c r="H28" i="31"/>
  <c r="E33" i="32" s="1"/>
  <c r="N8" i="18"/>
  <c r="E12" i="19" s="1"/>
  <c r="N10" i="18"/>
  <c r="E14" i="19" s="1"/>
  <c r="L16" i="18"/>
  <c r="C20" i="19" s="1"/>
  <c r="H8" i="31"/>
  <c r="E12" i="32" s="1"/>
  <c r="H37" i="31"/>
  <c r="E42" i="32" s="1"/>
  <c r="O8" i="10"/>
  <c r="G13" i="11" s="1"/>
  <c r="M7" i="18"/>
  <c r="D11" i="19" s="1"/>
  <c r="R10" i="18"/>
  <c r="I14" i="19" s="1"/>
  <c r="L12" i="18"/>
  <c r="C16" i="19" s="1"/>
  <c r="L17" i="18"/>
  <c r="C21" i="19" s="1"/>
  <c r="O21" i="18"/>
  <c r="F25" i="19" s="1"/>
  <c r="H13" i="31"/>
  <c r="E17" i="32" s="1"/>
  <c r="H45" i="31"/>
  <c r="E50" i="32" s="1"/>
  <c r="M16" i="10"/>
  <c r="E21" i="11" s="1"/>
  <c r="K19" i="10"/>
  <c r="C24" i="11" s="1"/>
  <c r="H10" i="1"/>
  <c r="C14" i="3" s="1"/>
  <c r="N8" i="7"/>
  <c r="E14" i="9" s="1"/>
  <c r="N7" i="10"/>
  <c r="F12" i="11" s="1"/>
  <c r="P8" i="10"/>
  <c r="H13" i="11" s="1"/>
  <c r="M11" i="10"/>
  <c r="E16" i="11" s="1"/>
  <c r="L14" i="10"/>
  <c r="D19" i="11" s="1"/>
  <c r="N15" i="10"/>
  <c r="F20" i="11" s="1"/>
  <c r="P16" i="10"/>
  <c r="H21" i="11" s="1"/>
  <c r="L18" i="10"/>
  <c r="D23" i="11" s="1"/>
  <c r="N20" i="10"/>
  <c r="F25" i="11" s="1"/>
  <c r="P7" i="18"/>
  <c r="G11" i="19" s="1"/>
  <c r="O8" i="18"/>
  <c r="F12" i="19" s="1"/>
  <c r="P9" i="18"/>
  <c r="G13" i="19" s="1"/>
  <c r="Q10" i="18"/>
  <c r="H14" i="19" s="1"/>
  <c r="Q12" i="18"/>
  <c r="H16" i="19" s="1"/>
  <c r="N15" i="18"/>
  <c r="E19" i="19" s="1"/>
  <c r="N16" i="18"/>
  <c r="E20" i="19" s="1"/>
  <c r="M17" i="18"/>
  <c r="D21" i="19" s="1"/>
  <c r="P18" i="18"/>
  <c r="G22" i="19" s="1"/>
  <c r="L20" i="18"/>
  <c r="C24" i="19" s="1"/>
  <c r="L23" i="18"/>
  <c r="C27" i="19" s="1"/>
  <c r="I8" i="31"/>
  <c r="F12" i="32" s="1"/>
  <c r="I14" i="31"/>
  <c r="F18" i="32" s="1"/>
  <c r="H20" i="31"/>
  <c r="E24" i="32" s="1"/>
  <c r="H29" i="31"/>
  <c r="E34" i="32" s="1"/>
  <c r="H40" i="31"/>
  <c r="E45" i="32" s="1"/>
  <c r="I45" i="31"/>
  <c r="F50" i="32" s="1"/>
  <c r="P10" i="10"/>
  <c r="H15" i="11" s="1"/>
  <c r="O17" i="10"/>
  <c r="G22" i="11" s="1"/>
  <c r="K20" i="10"/>
  <c r="C25" i="11" s="1"/>
  <c r="M9" i="10"/>
  <c r="E14" i="11" s="1"/>
  <c r="N11" i="10"/>
  <c r="F16" i="11" s="1"/>
  <c r="O12" i="10"/>
  <c r="G17" i="11" s="1"/>
  <c r="M14" i="10"/>
  <c r="E19" i="11" s="1"/>
  <c r="O15" i="10"/>
  <c r="G20" i="11" s="1"/>
  <c r="K17" i="10"/>
  <c r="C22" i="11" s="1"/>
  <c r="M18" i="10"/>
  <c r="E23" i="11" s="1"/>
  <c r="L21" i="10"/>
  <c r="D26" i="11" s="1"/>
  <c r="L14" i="18"/>
  <c r="C18" i="19" s="1"/>
  <c r="O15" i="18"/>
  <c r="F19" i="19" s="1"/>
  <c r="O16" i="18"/>
  <c r="F20" i="19" s="1"/>
  <c r="P17" i="18"/>
  <c r="G21" i="19" s="1"/>
  <c r="M19" i="18"/>
  <c r="D23" i="19" s="1"/>
  <c r="H10" i="31"/>
  <c r="E14" i="32" s="1"/>
  <c r="H15" i="31"/>
  <c r="E19" i="32" s="1"/>
  <c r="I20" i="31"/>
  <c r="F24" i="32" s="1"/>
  <c r="I35" i="31"/>
  <c r="F40" i="32" s="1"/>
  <c r="H41" i="31"/>
  <c r="E46" i="32" s="1"/>
  <c r="H46" i="31"/>
  <c r="E51" i="32" s="1"/>
  <c r="K15" i="10"/>
  <c r="C20" i="11" s="1"/>
  <c r="H7" i="1"/>
  <c r="C11" i="3" s="1"/>
  <c r="H11" i="1"/>
  <c r="C15" i="3" s="1"/>
  <c r="K8" i="10"/>
  <c r="C13" i="11" s="1"/>
  <c r="H8" i="1"/>
  <c r="C12" i="3" s="1"/>
  <c r="H12" i="1"/>
  <c r="C16" i="3" s="1"/>
  <c r="N6" i="10"/>
  <c r="F11" i="11" s="1"/>
  <c r="L8" i="10"/>
  <c r="D13" i="11" s="1"/>
  <c r="N9" i="10"/>
  <c r="F14" i="11" s="1"/>
  <c r="O10" i="10"/>
  <c r="G15" i="11" s="1"/>
  <c r="K12" i="10"/>
  <c r="C17" i="11" s="1"/>
  <c r="K13" i="10"/>
  <c r="C18" i="11" s="1"/>
  <c r="P14" i="10"/>
  <c r="H19" i="11" s="1"/>
  <c r="L16" i="10"/>
  <c r="D21" i="11" s="1"/>
  <c r="N17" i="10"/>
  <c r="F22" i="11" s="1"/>
  <c r="P18" i="10"/>
  <c r="H23" i="11" s="1"/>
  <c r="O19" i="10"/>
  <c r="G24" i="11" s="1"/>
  <c r="P21" i="10"/>
  <c r="H26" i="11" s="1"/>
  <c r="R7" i="18"/>
  <c r="I11" i="19" s="1"/>
  <c r="M9" i="18"/>
  <c r="D13" i="19" s="1"/>
  <c r="M10" i="18"/>
  <c r="D14" i="19" s="1"/>
  <c r="N12" i="18"/>
  <c r="E16" i="19" s="1"/>
  <c r="P13" i="18"/>
  <c r="G17" i="19" s="1"/>
  <c r="Q15" i="18"/>
  <c r="H19" i="19" s="1"/>
  <c r="R16" i="18"/>
  <c r="I20" i="19" s="1"/>
  <c r="Q17" i="18"/>
  <c r="H21" i="19" s="1"/>
  <c r="N19" i="18"/>
  <c r="E23" i="19" s="1"/>
  <c r="I10" i="31"/>
  <c r="F14" i="32" s="1"/>
  <c r="H18" i="31"/>
  <c r="E22" i="32" s="1"/>
  <c r="H25" i="31"/>
  <c r="E30" i="32" s="1"/>
  <c r="H36" i="31"/>
  <c r="E41" i="32" s="1"/>
  <c r="I41" i="31"/>
  <c r="F46" i="32" s="1"/>
  <c r="J7" i="1"/>
  <c r="E11" i="3" s="1"/>
  <c r="J9" i="1"/>
  <c r="E13" i="3" s="1"/>
  <c r="J11" i="1"/>
  <c r="E15" i="3" s="1"/>
  <c r="J13" i="1"/>
  <c r="E17" i="3" s="1"/>
  <c r="K7" i="1"/>
  <c r="F11" i="3" s="1"/>
  <c r="K8" i="1"/>
  <c r="F12" i="3" s="1"/>
  <c r="K9" i="1"/>
  <c r="F13" i="3" s="1"/>
  <c r="K10" i="1"/>
  <c r="F14" i="3" s="1"/>
  <c r="K11" i="1"/>
  <c r="F15" i="3" s="1"/>
  <c r="K12" i="1"/>
  <c r="F16" i="3" s="1"/>
  <c r="K13" i="1"/>
  <c r="F17" i="3" s="1"/>
  <c r="K14" i="1"/>
  <c r="F18" i="3" s="1"/>
  <c r="K15" i="1"/>
  <c r="F19" i="3" s="1"/>
  <c r="K16" i="1"/>
  <c r="F20" i="3" s="1"/>
  <c r="K17" i="1"/>
  <c r="F21" i="3" s="1"/>
  <c r="K18" i="1"/>
  <c r="F22" i="3" s="1"/>
  <c r="K19" i="1"/>
  <c r="F23" i="3" s="1"/>
  <c r="K20" i="1"/>
  <c r="F24" i="3" s="1"/>
  <c r="K21" i="1"/>
  <c r="F25" i="3" s="1"/>
  <c r="K22" i="1"/>
  <c r="F26" i="3" s="1"/>
  <c r="K23" i="1"/>
  <c r="F27" i="3" s="1"/>
  <c r="K24" i="1"/>
  <c r="F28" i="3" s="1"/>
  <c r="K25" i="1"/>
  <c r="F29" i="3" s="1"/>
  <c r="K26" i="1"/>
  <c r="F30" i="3" s="1"/>
  <c r="K27" i="1"/>
  <c r="F31" i="3" s="1"/>
  <c r="K28" i="1"/>
  <c r="F32" i="3" s="1"/>
  <c r="K29" i="1"/>
  <c r="F33" i="3" s="1"/>
  <c r="K30" i="1"/>
  <c r="F34" i="3" s="1"/>
  <c r="K31" i="1"/>
  <c r="F35" i="3" s="1"/>
  <c r="K32" i="1"/>
  <c r="F36" i="3" s="1"/>
  <c r="K33" i="1"/>
  <c r="F37" i="3" s="1"/>
  <c r="K34" i="1"/>
  <c r="F38" i="3" s="1"/>
  <c r="K35" i="1"/>
  <c r="F39" i="3" s="1"/>
  <c r="K36" i="1"/>
  <c r="F40" i="3" s="1"/>
  <c r="K37" i="1"/>
  <c r="F41" i="3" s="1"/>
  <c r="K38" i="1"/>
  <c r="F42" i="3" s="1"/>
  <c r="K39" i="1"/>
  <c r="F43" i="3" s="1"/>
  <c r="K40" i="1"/>
  <c r="F44" i="3" s="1"/>
  <c r="K41" i="1"/>
  <c r="F45" i="3" s="1"/>
  <c r="K42" i="1"/>
  <c r="F46" i="3" s="1"/>
  <c r="K43" i="1"/>
  <c r="F47" i="3" s="1"/>
  <c r="K44" i="1"/>
  <c r="F48" i="3" s="1"/>
  <c r="K45" i="1"/>
  <c r="F49" i="3" s="1"/>
  <c r="K46" i="1"/>
  <c r="F50" i="3" s="1"/>
  <c r="K47" i="1"/>
  <c r="F51" i="3" s="1"/>
  <c r="K48" i="1"/>
  <c r="F52" i="3" s="1"/>
  <c r="K49" i="1"/>
  <c r="F53" i="3" s="1"/>
  <c r="K50" i="1"/>
  <c r="F54" i="3" s="1"/>
  <c r="K51" i="1"/>
  <c r="F55" i="3" s="1"/>
  <c r="K52" i="1"/>
  <c r="F56" i="3" s="1"/>
  <c r="K53" i="1"/>
  <c r="F57" i="3" s="1"/>
  <c r="K54" i="1"/>
  <c r="F58" i="3" s="1"/>
  <c r="K55" i="1"/>
  <c r="F59" i="3" s="1"/>
  <c r="K56" i="1"/>
  <c r="F60" i="3" s="1"/>
  <c r="K57" i="1"/>
  <c r="F61" i="3" s="1"/>
  <c r="K58" i="1"/>
  <c r="F62" i="3" s="1"/>
  <c r="K59" i="1"/>
  <c r="F63" i="3" s="1"/>
  <c r="K60" i="1"/>
  <c r="F64" i="3" s="1"/>
  <c r="O7" i="7"/>
  <c r="F13" i="9" s="1"/>
  <c r="M8" i="7"/>
  <c r="D14" i="9" s="1"/>
  <c r="Q8" i="7"/>
  <c r="H14" i="9" s="1"/>
  <c r="O9" i="7"/>
  <c r="F15" i="9" s="1"/>
  <c r="M10" i="7"/>
  <c r="D16" i="9" s="1"/>
  <c r="Q10" i="7"/>
  <c r="H16" i="9" s="1"/>
  <c r="O11" i="7"/>
  <c r="F17" i="9" s="1"/>
  <c r="M12" i="7"/>
  <c r="D18" i="9" s="1"/>
  <c r="Q12" i="7"/>
  <c r="H18" i="9" s="1"/>
  <c r="O13" i="7"/>
  <c r="F19" i="9" s="1"/>
  <c r="M14" i="7"/>
  <c r="D20" i="9" s="1"/>
  <c r="Q14" i="7"/>
  <c r="H20" i="9" s="1"/>
  <c r="O15" i="7"/>
  <c r="F21" i="9" s="1"/>
  <c r="M16" i="7"/>
  <c r="D22" i="9" s="1"/>
  <c r="Q16" i="7"/>
  <c r="H22" i="9" s="1"/>
  <c r="O17" i="7"/>
  <c r="F23" i="9" s="1"/>
  <c r="M18" i="7"/>
  <c r="D24" i="9" s="1"/>
  <c r="Q18" i="7"/>
  <c r="H24" i="9" s="1"/>
  <c r="O19" i="7"/>
  <c r="F25" i="9" s="1"/>
  <c r="M20" i="7"/>
  <c r="D26" i="9" s="1"/>
  <c r="Q20" i="7"/>
  <c r="H26" i="9" s="1"/>
  <c r="O21" i="7"/>
  <c r="F27" i="9" s="1"/>
  <c r="M22" i="7"/>
  <c r="D28" i="9" s="1"/>
  <c r="Q22" i="7"/>
  <c r="H28" i="9" s="1"/>
  <c r="O23" i="7"/>
  <c r="F29" i="9" s="1"/>
  <c r="M24" i="7"/>
  <c r="D30" i="9" s="1"/>
  <c r="Q24" i="7"/>
  <c r="H30" i="9" s="1"/>
  <c r="O25" i="7"/>
  <c r="F31" i="9" s="1"/>
  <c r="M26" i="7"/>
  <c r="D32" i="9" s="1"/>
  <c r="Q26" i="7"/>
  <c r="H32" i="9" s="1"/>
  <c r="O27" i="7"/>
  <c r="F33" i="9" s="1"/>
  <c r="M28" i="7"/>
  <c r="D34" i="9" s="1"/>
  <c r="Q28" i="7"/>
  <c r="H34" i="9" s="1"/>
  <c r="O29" i="7"/>
  <c r="F35" i="9" s="1"/>
  <c r="M30" i="7"/>
  <c r="D36" i="9" s="1"/>
  <c r="Q30" i="7"/>
  <c r="H36" i="9" s="1"/>
  <c r="O31" i="7"/>
  <c r="F37" i="9" s="1"/>
  <c r="M32" i="7"/>
  <c r="D38" i="9" s="1"/>
  <c r="Q32" i="7"/>
  <c r="H38" i="9" s="1"/>
  <c r="O33" i="7"/>
  <c r="F39" i="9" s="1"/>
  <c r="M34" i="7"/>
  <c r="D40" i="9" s="1"/>
  <c r="Q34" i="7"/>
  <c r="H40" i="9" s="1"/>
  <c r="O35" i="7"/>
  <c r="F41" i="9" s="1"/>
  <c r="M36" i="7"/>
  <c r="D42" i="9" s="1"/>
  <c r="Q36" i="7"/>
  <c r="H42" i="9" s="1"/>
  <c r="O37" i="7"/>
  <c r="F43" i="9" s="1"/>
  <c r="M38" i="7"/>
  <c r="D44" i="9" s="1"/>
  <c r="Q38" i="7"/>
  <c r="H44" i="9" s="1"/>
  <c r="O39" i="7"/>
  <c r="F45" i="9" s="1"/>
  <c r="M40" i="7"/>
  <c r="D46" i="9" s="1"/>
  <c r="Q40" i="7"/>
  <c r="H46" i="9" s="1"/>
  <c r="O41" i="7"/>
  <c r="F47" i="9" s="1"/>
  <c r="M42" i="7"/>
  <c r="D48" i="9" s="1"/>
  <c r="Q42" i="7"/>
  <c r="H48" i="9" s="1"/>
  <c r="O43" i="7"/>
  <c r="F49" i="9" s="1"/>
  <c r="O44" i="7"/>
  <c r="F50" i="9" s="1"/>
  <c r="N45" i="7"/>
  <c r="E51" i="9" s="1"/>
  <c r="M46" i="7"/>
  <c r="D52" i="9" s="1"/>
  <c r="M47" i="7"/>
  <c r="D53" i="9" s="1"/>
  <c r="L48" i="7"/>
  <c r="C54" i="9" s="1"/>
  <c r="Q48" i="7"/>
  <c r="H54" i="9" s="1"/>
  <c r="Q49" i="7"/>
  <c r="H55" i="9" s="1"/>
  <c r="P50" i="7"/>
  <c r="G56" i="9" s="1"/>
  <c r="O51" i="7"/>
  <c r="F57" i="9" s="1"/>
  <c r="O52" i="7"/>
  <c r="F58" i="9" s="1"/>
  <c r="N53" i="7"/>
  <c r="E59" i="9" s="1"/>
  <c r="M54" i="7"/>
  <c r="D60" i="9" s="1"/>
  <c r="M55" i="7"/>
  <c r="D61" i="9" s="1"/>
  <c r="O56" i="7"/>
  <c r="F62" i="9" s="1"/>
  <c r="Q57" i="7"/>
  <c r="H63" i="9" s="1"/>
  <c r="M59" i="7"/>
  <c r="D65" i="9" s="1"/>
  <c r="O60" i="7"/>
  <c r="F66" i="9" s="1"/>
  <c r="Q61" i="7"/>
  <c r="H67" i="9" s="1"/>
  <c r="M63" i="7"/>
  <c r="D69" i="9" s="1"/>
  <c r="O64" i="7"/>
  <c r="F70" i="9" s="1"/>
  <c r="Q65" i="7"/>
  <c r="H71" i="9" s="1"/>
  <c r="M67" i="7"/>
  <c r="D73" i="9" s="1"/>
  <c r="O68" i="7"/>
  <c r="F74" i="9" s="1"/>
  <c r="Q69" i="7"/>
  <c r="H75" i="9" s="1"/>
  <c r="M71" i="7"/>
  <c r="D77" i="9" s="1"/>
  <c r="O72" i="7"/>
  <c r="F78" i="9" s="1"/>
  <c r="Q73" i="7"/>
  <c r="H79" i="9" s="1"/>
  <c r="M75" i="7"/>
  <c r="D81" i="9" s="1"/>
  <c r="H13" i="1"/>
  <c r="C17" i="3" s="1"/>
  <c r="H15" i="1"/>
  <c r="C19" i="3" s="1"/>
  <c r="H17" i="1"/>
  <c r="C21" i="3" s="1"/>
  <c r="H19" i="1"/>
  <c r="C23" i="3" s="1"/>
  <c r="H21" i="1"/>
  <c r="C25" i="3" s="1"/>
  <c r="H23" i="1"/>
  <c r="C27" i="3" s="1"/>
  <c r="H24" i="1"/>
  <c r="C28" i="3" s="1"/>
  <c r="H25" i="1"/>
  <c r="C29" i="3" s="1"/>
  <c r="H26" i="1"/>
  <c r="C30" i="3" s="1"/>
  <c r="H27" i="1"/>
  <c r="C31" i="3" s="1"/>
  <c r="H28" i="1"/>
  <c r="C32" i="3" s="1"/>
  <c r="H29" i="1"/>
  <c r="C33" i="3" s="1"/>
  <c r="H30" i="1"/>
  <c r="C34" i="3" s="1"/>
  <c r="H31" i="1"/>
  <c r="C35" i="3" s="1"/>
  <c r="H32" i="1"/>
  <c r="C36" i="3" s="1"/>
  <c r="H33" i="1"/>
  <c r="C37" i="3" s="1"/>
  <c r="H34" i="1"/>
  <c r="C38" i="3" s="1"/>
  <c r="H35" i="1"/>
  <c r="C39" i="3" s="1"/>
  <c r="H36" i="1"/>
  <c r="C40" i="3" s="1"/>
  <c r="H37" i="1"/>
  <c r="C41" i="3" s="1"/>
  <c r="H38" i="1"/>
  <c r="C42" i="3" s="1"/>
  <c r="H39" i="1"/>
  <c r="C43" i="3" s="1"/>
  <c r="H40" i="1"/>
  <c r="C44" i="3" s="1"/>
  <c r="H41" i="1"/>
  <c r="C45" i="3" s="1"/>
  <c r="H42" i="1"/>
  <c r="C46" i="3" s="1"/>
  <c r="H43" i="1"/>
  <c r="C47" i="3" s="1"/>
  <c r="H44" i="1"/>
  <c r="C48" i="3" s="1"/>
  <c r="H45" i="1"/>
  <c r="C49" i="3" s="1"/>
  <c r="H46" i="1"/>
  <c r="C50" i="3" s="1"/>
  <c r="H47" i="1"/>
  <c r="C51" i="3" s="1"/>
  <c r="H48" i="1"/>
  <c r="C52" i="3" s="1"/>
  <c r="H49" i="1"/>
  <c r="C53" i="3" s="1"/>
  <c r="H50" i="1"/>
  <c r="C54" i="3" s="1"/>
  <c r="H51" i="1"/>
  <c r="C55" i="3" s="1"/>
  <c r="H52" i="1"/>
  <c r="C56" i="3" s="1"/>
  <c r="H53" i="1"/>
  <c r="C57" i="3" s="1"/>
  <c r="H54" i="1"/>
  <c r="C58" i="3" s="1"/>
  <c r="H55" i="1"/>
  <c r="C59" i="3" s="1"/>
  <c r="H56" i="1"/>
  <c r="C60" i="3" s="1"/>
  <c r="H57" i="1"/>
  <c r="C61" i="3" s="1"/>
  <c r="H58" i="1"/>
  <c r="C62" i="3" s="1"/>
  <c r="H59" i="1"/>
  <c r="C63" i="3" s="1"/>
  <c r="H60" i="1"/>
  <c r="C64" i="3" s="1"/>
  <c r="P9" i="7"/>
  <c r="G15" i="9" s="1"/>
  <c r="N10" i="7"/>
  <c r="E16" i="9" s="1"/>
  <c r="L11" i="7"/>
  <c r="C17" i="9" s="1"/>
  <c r="P11" i="7"/>
  <c r="G17" i="9" s="1"/>
  <c r="N12" i="7"/>
  <c r="E18" i="9" s="1"/>
  <c r="L13" i="7"/>
  <c r="C19" i="9" s="1"/>
  <c r="P13" i="7"/>
  <c r="G19" i="9" s="1"/>
  <c r="N14" i="7"/>
  <c r="E20" i="9" s="1"/>
  <c r="L15" i="7"/>
  <c r="C21" i="9" s="1"/>
  <c r="P15" i="7"/>
  <c r="G21" i="9" s="1"/>
  <c r="N16" i="7"/>
  <c r="E22" i="9" s="1"/>
  <c r="L17" i="7"/>
  <c r="C23" i="9" s="1"/>
  <c r="P17" i="7"/>
  <c r="G23" i="9" s="1"/>
  <c r="N18" i="7"/>
  <c r="E24" i="9" s="1"/>
  <c r="L19" i="7"/>
  <c r="C25" i="9" s="1"/>
  <c r="P19" i="7"/>
  <c r="G25" i="9" s="1"/>
  <c r="N20" i="7"/>
  <c r="E26" i="9" s="1"/>
  <c r="L21" i="7"/>
  <c r="C27" i="9" s="1"/>
  <c r="P21" i="7"/>
  <c r="G27" i="9" s="1"/>
  <c r="N22" i="7"/>
  <c r="E28" i="9" s="1"/>
  <c r="L23" i="7"/>
  <c r="C29" i="9" s="1"/>
  <c r="P23" i="7"/>
  <c r="G29" i="9" s="1"/>
  <c r="N24" i="7"/>
  <c r="E30" i="9" s="1"/>
  <c r="L25" i="7"/>
  <c r="C31" i="9" s="1"/>
  <c r="P25" i="7"/>
  <c r="G31" i="9" s="1"/>
  <c r="N26" i="7"/>
  <c r="E32" i="9" s="1"/>
  <c r="L27" i="7"/>
  <c r="C33" i="9" s="1"/>
  <c r="P27" i="7"/>
  <c r="G33" i="9" s="1"/>
  <c r="N28" i="7"/>
  <c r="E34" i="9" s="1"/>
  <c r="L29" i="7"/>
  <c r="C35" i="9" s="1"/>
  <c r="P29" i="7"/>
  <c r="G35" i="9" s="1"/>
  <c r="N30" i="7"/>
  <c r="E36" i="9" s="1"/>
  <c r="L31" i="7"/>
  <c r="C37" i="9" s="1"/>
  <c r="P31" i="7"/>
  <c r="G37" i="9" s="1"/>
  <c r="N32" i="7"/>
  <c r="E38" i="9" s="1"/>
  <c r="L33" i="7"/>
  <c r="C39" i="9" s="1"/>
  <c r="P33" i="7"/>
  <c r="G39" i="9" s="1"/>
  <c r="N34" i="7"/>
  <c r="E40" i="9" s="1"/>
  <c r="L35" i="7"/>
  <c r="C41" i="9" s="1"/>
  <c r="P35" i="7"/>
  <c r="G41" i="9" s="1"/>
  <c r="N36" i="7"/>
  <c r="E42" i="9" s="1"/>
  <c r="L37" i="7"/>
  <c r="C43" i="9" s="1"/>
  <c r="P37" i="7"/>
  <c r="G43" i="9" s="1"/>
  <c r="N38" i="7"/>
  <c r="E44" i="9" s="1"/>
  <c r="L39" i="7"/>
  <c r="C45" i="9" s="1"/>
  <c r="P39" i="7"/>
  <c r="G45" i="9" s="1"/>
  <c r="N40" i="7"/>
  <c r="E46" i="9" s="1"/>
  <c r="L41" i="7"/>
  <c r="C47" i="9" s="1"/>
  <c r="P41" i="7"/>
  <c r="G47" i="9" s="1"/>
  <c r="N42" i="7"/>
  <c r="E48" i="9" s="1"/>
  <c r="L43" i="7"/>
  <c r="C49" i="9" s="1"/>
  <c r="Q43" i="7"/>
  <c r="H49" i="9" s="1"/>
  <c r="P44" i="7"/>
  <c r="G50" i="9" s="1"/>
  <c r="O45" i="7"/>
  <c r="F51" i="9" s="1"/>
  <c r="O46" i="7"/>
  <c r="F52" i="9" s="1"/>
  <c r="N47" i="7"/>
  <c r="E53" i="9" s="1"/>
  <c r="M48" i="7"/>
  <c r="D54" i="9" s="1"/>
  <c r="M49" i="7"/>
  <c r="D55" i="9" s="1"/>
  <c r="L50" i="7"/>
  <c r="C56" i="9" s="1"/>
  <c r="Q50" i="7"/>
  <c r="H56" i="9" s="1"/>
  <c r="Q51" i="7"/>
  <c r="H57" i="9" s="1"/>
  <c r="P52" i="7"/>
  <c r="G58" i="9" s="1"/>
  <c r="O53" i="7"/>
  <c r="F59" i="9" s="1"/>
  <c r="O54" i="7"/>
  <c r="F60" i="9" s="1"/>
  <c r="N55" i="7"/>
  <c r="E61" i="9" s="1"/>
  <c r="P56" i="7"/>
  <c r="G62" i="9" s="1"/>
  <c r="L58" i="7"/>
  <c r="C64" i="9" s="1"/>
  <c r="N59" i="7"/>
  <c r="E65" i="9" s="1"/>
  <c r="P60" i="7"/>
  <c r="G66" i="9" s="1"/>
  <c r="L62" i="7"/>
  <c r="C68" i="9" s="1"/>
  <c r="N63" i="7"/>
  <c r="E69" i="9" s="1"/>
  <c r="P64" i="7"/>
  <c r="G70" i="9" s="1"/>
  <c r="L66" i="7"/>
  <c r="C72" i="9" s="1"/>
  <c r="N67" i="7"/>
  <c r="E73" i="9" s="1"/>
  <c r="P68" i="7"/>
  <c r="G74" i="9" s="1"/>
  <c r="L70" i="7"/>
  <c r="C76" i="9" s="1"/>
  <c r="N71" i="7"/>
  <c r="E77" i="9" s="1"/>
  <c r="P72" i="7"/>
  <c r="G78" i="9" s="1"/>
  <c r="L74" i="7"/>
  <c r="C80" i="9" s="1"/>
  <c r="N75" i="7"/>
  <c r="E81" i="9" s="1"/>
  <c r="H14" i="1"/>
  <c r="C18" i="3" s="1"/>
  <c r="H16" i="1"/>
  <c r="C20" i="3" s="1"/>
  <c r="H18" i="1"/>
  <c r="C22" i="3" s="1"/>
  <c r="H20" i="1"/>
  <c r="C24" i="3" s="1"/>
  <c r="H22" i="1"/>
  <c r="C26" i="3" s="1"/>
  <c r="I7" i="1"/>
  <c r="D11" i="3" s="1"/>
  <c r="I8" i="1"/>
  <c r="D12" i="3" s="1"/>
  <c r="I9" i="1"/>
  <c r="D13" i="3" s="1"/>
  <c r="I10" i="1"/>
  <c r="D14" i="3" s="1"/>
  <c r="I11" i="1"/>
  <c r="D15" i="3" s="1"/>
  <c r="I12" i="1"/>
  <c r="D16" i="3" s="1"/>
  <c r="I13" i="1"/>
  <c r="D17" i="3" s="1"/>
  <c r="I14" i="1"/>
  <c r="D18" i="3" s="1"/>
  <c r="I15" i="1"/>
  <c r="D19" i="3" s="1"/>
  <c r="I16" i="1"/>
  <c r="D20" i="3" s="1"/>
  <c r="I17" i="1"/>
  <c r="D21" i="3" s="1"/>
  <c r="I18" i="1"/>
  <c r="D22" i="3" s="1"/>
  <c r="I19" i="1"/>
  <c r="D23" i="3" s="1"/>
  <c r="I20" i="1"/>
  <c r="D24" i="3" s="1"/>
  <c r="I21" i="1"/>
  <c r="D25" i="3" s="1"/>
  <c r="I22" i="1"/>
  <c r="D26" i="3" s="1"/>
  <c r="I23" i="1"/>
  <c r="D27" i="3" s="1"/>
  <c r="I24" i="1"/>
  <c r="D28" i="3" s="1"/>
  <c r="I25" i="1"/>
  <c r="D29" i="3" s="1"/>
  <c r="I26" i="1"/>
  <c r="D30" i="3" s="1"/>
  <c r="I27" i="1"/>
  <c r="D31" i="3" s="1"/>
  <c r="I28" i="1"/>
  <c r="D32" i="3" s="1"/>
  <c r="I29" i="1"/>
  <c r="D33" i="3" s="1"/>
  <c r="I30" i="1"/>
  <c r="D34" i="3" s="1"/>
  <c r="I31" i="1"/>
  <c r="D35" i="3" s="1"/>
  <c r="I32" i="1"/>
  <c r="D36" i="3" s="1"/>
  <c r="I33" i="1"/>
  <c r="D37" i="3" s="1"/>
  <c r="I34" i="1"/>
  <c r="D38" i="3" s="1"/>
  <c r="I35" i="1"/>
  <c r="D39" i="3" s="1"/>
  <c r="I36" i="1"/>
  <c r="D40" i="3" s="1"/>
  <c r="I37" i="1"/>
  <c r="D41" i="3" s="1"/>
  <c r="I38" i="1"/>
  <c r="D42" i="3" s="1"/>
  <c r="I39" i="1"/>
  <c r="D43" i="3" s="1"/>
  <c r="I40" i="1"/>
  <c r="D44" i="3" s="1"/>
  <c r="I41" i="1"/>
  <c r="D45" i="3" s="1"/>
  <c r="I42" i="1"/>
  <c r="D46" i="3" s="1"/>
  <c r="I43" i="1"/>
  <c r="D47" i="3" s="1"/>
  <c r="I44" i="1"/>
  <c r="D48" i="3" s="1"/>
  <c r="I45" i="1"/>
  <c r="D49" i="3" s="1"/>
  <c r="I46" i="1"/>
  <c r="D50" i="3" s="1"/>
  <c r="I47" i="1"/>
  <c r="D51" i="3" s="1"/>
  <c r="I48" i="1"/>
  <c r="D52" i="3" s="1"/>
  <c r="I49" i="1"/>
  <c r="D53" i="3" s="1"/>
  <c r="I50" i="1"/>
  <c r="D54" i="3" s="1"/>
  <c r="I51" i="1"/>
  <c r="D55" i="3" s="1"/>
  <c r="I52" i="1"/>
  <c r="D56" i="3" s="1"/>
  <c r="I53" i="1"/>
  <c r="D57" i="3" s="1"/>
  <c r="I54" i="1"/>
  <c r="D58" i="3" s="1"/>
  <c r="I55" i="1"/>
  <c r="D59" i="3" s="1"/>
  <c r="I56" i="1"/>
  <c r="D60" i="3" s="1"/>
  <c r="I57" i="1"/>
  <c r="D61" i="3" s="1"/>
  <c r="I58" i="1"/>
  <c r="D62" i="3" s="1"/>
  <c r="I59" i="1"/>
  <c r="D63" i="3" s="1"/>
  <c r="I60" i="1"/>
  <c r="D64" i="3" s="1"/>
  <c r="M7" i="7"/>
  <c r="D13" i="9" s="1"/>
  <c r="Q7" i="7"/>
  <c r="H13" i="9" s="1"/>
  <c r="O8" i="7"/>
  <c r="F14" i="9" s="1"/>
  <c r="M9" i="7"/>
  <c r="D15" i="9" s="1"/>
  <c r="Q9" i="7"/>
  <c r="H15" i="9" s="1"/>
  <c r="O10" i="7"/>
  <c r="F16" i="9" s="1"/>
  <c r="M11" i="7"/>
  <c r="D17" i="9" s="1"/>
  <c r="Q11" i="7"/>
  <c r="H17" i="9" s="1"/>
  <c r="O12" i="7"/>
  <c r="F18" i="9" s="1"/>
  <c r="M13" i="7"/>
  <c r="D19" i="9" s="1"/>
  <c r="Q13" i="7"/>
  <c r="H19" i="9" s="1"/>
  <c r="O14" i="7"/>
  <c r="F20" i="9" s="1"/>
  <c r="M15" i="7"/>
  <c r="D21" i="9" s="1"/>
  <c r="Q15" i="7"/>
  <c r="H21" i="9" s="1"/>
  <c r="O16" i="7"/>
  <c r="F22" i="9" s="1"/>
  <c r="M17" i="7"/>
  <c r="D23" i="9" s="1"/>
  <c r="Q17" i="7"/>
  <c r="H23" i="9" s="1"/>
  <c r="O18" i="7"/>
  <c r="F24" i="9" s="1"/>
  <c r="M19" i="7"/>
  <c r="D25" i="9" s="1"/>
  <c r="Q19" i="7"/>
  <c r="H25" i="9" s="1"/>
  <c r="O20" i="7"/>
  <c r="F26" i="9" s="1"/>
  <c r="M21" i="7"/>
  <c r="D27" i="9" s="1"/>
  <c r="Q21" i="7"/>
  <c r="H27" i="9" s="1"/>
  <c r="O22" i="7"/>
  <c r="F28" i="9" s="1"/>
  <c r="M23" i="7"/>
  <c r="D29" i="9" s="1"/>
  <c r="Q23" i="7"/>
  <c r="H29" i="9" s="1"/>
  <c r="O24" i="7"/>
  <c r="F30" i="9" s="1"/>
  <c r="M25" i="7"/>
  <c r="D31" i="9" s="1"/>
  <c r="Q25" i="7"/>
  <c r="H31" i="9" s="1"/>
  <c r="O26" i="7"/>
  <c r="F32" i="9" s="1"/>
  <c r="M27" i="7"/>
  <c r="D33" i="9" s="1"/>
  <c r="Q27" i="7"/>
  <c r="H33" i="9" s="1"/>
  <c r="O28" i="7"/>
  <c r="F34" i="9" s="1"/>
  <c r="M29" i="7"/>
  <c r="D35" i="9" s="1"/>
  <c r="Q29" i="7"/>
  <c r="H35" i="9" s="1"/>
  <c r="O30" i="7"/>
  <c r="F36" i="9" s="1"/>
  <c r="M31" i="7"/>
  <c r="D37" i="9" s="1"/>
  <c r="Q31" i="7"/>
  <c r="H37" i="9" s="1"/>
  <c r="O32" i="7"/>
  <c r="F38" i="9" s="1"/>
  <c r="M33" i="7"/>
  <c r="D39" i="9" s="1"/>
  <c r="Q33" i="7"/>
  <c r="H39" i="9" s="1"/>
  <c r="O34" i="7"/>
  <c r="F40" i="9" s="1"/>
  <c r="M35" i="7"/>
  <c r="D41" i="9" s="1"/>
  <c r="Q35" i="7"/>
  <c r="H41" i="9" s="1"/>
  <c r="O36" i="7"/>
  <c r="F42" i="9" s="1"/>
  <c r="M37" i="7"/>
  <c r="D43" i="9" s="1"/>
  <c r="Q37" i="7"/>
  <c r="H43" i="9" s="1"/>
  <c r="O38" i="7"/>
  <c r="F44" i="9" s="1"/>
  <c r="M39" i="7"/>
  <c r="D45" i="9" s="1"/>
  <c r="Q39" i="7"/>
  <c r="H45" i="9" s="1"/>
  <c r="O40" i="7"/>
  <c r="F46" i="9" s="1"/>
  <c r="M41" i="7"/>
  <c r="D47" i="9" s="1"/>
  <c r="Q41" i="7"/>
  <c r="H47" i="9" s="1"/>
  <c r="O42" i="7"/>
  <c r="F48" i="9" s="1"/>
  <c r="M43" i="7"/>
  <c r="D49" i="9" s="1"/>
  <c r="L44" i="7"/>
  <c r="C50" i="9" s="1"/>
  <c r="Q44" i="7"/>
  <c r="H50" i="9" s="1"/>
  <c r="Q45" i="7"/>
  <c r="H51" i="9" s="1"/>
  <c r="P46" i="7"/>
  <c r="G52" i="9" s="1"/>
  <c r="O47" i="7"/>
  <c r="F53" i="9" s="1"/>
  <c r="O48" i="7"/>
  <c r="F54" i="9" s="1"/>
  <c r="N49" i="7"/>
  <c r="E55" i="9" s="1"/>
  <c r="M50" i="7"/>
  <c r="D56" i="9" s="1"/>
  <c r="M51" i="7"/>
  <c r="D57" i="9" s="1"/>
  <c r="L52" i="7"/>
  <c r="C58" i="9" s="1"/>
  <c r="Q52" i="7"/>
  <c r="H58" i="9" s="1"/>
  <c r="Q53" i="7"/>
  <c r="H59" i="9" s="1"/>
  <c r="P54" i="7"/>
  <c r="G60" i="9" s="1"/>
  <c r="Q55" i="7"/>
  <c r="H61" i="9" s="1"/>
  <c r="M57" i="7"/>
  <c r="D63" i="9" s="1"/>
  <c r="O58" i="7"/>
  <c r="F64" i="9" s="1"/>
  <c r="Q59" i="7"/>
  <c r="H65" i="9" s="1"/>
  <c r="M61" i="7"/>
  <c r="D67" i="9" s="1"/>
  <c r="O62" i="7"/>
  <c r="F68" i="9" s="1"/>
  <c r="Q63" i="7"/>
  <c r="H69" i="9" s="1"/>
  <c r="M65" i="7"/>
  <c r="D71" i="9" s="1"/>
  <c r="O66" i="7"/>
  <c r="F72" i="9" s="1"/>
  <c r="Q67" i="7"/>
  <c r="H73" i="9" s="1"/>
  <c r="M69" i="7"/>
  <c r="D75" i="9" s="1"/>
  <c r="O70" i="7"/>
  <c r="F76" i="9" s="1"/>
  <c r="Q71" i="7"/>
  <c r="H77" i="9" s="1"/>
  <c r="M73" i="7"/>
  <c r="D79" i="9" s="1"/>
  <c r="O74" i="7"/>
  <c r="F80" i="9" s="1"/>
  <c r="J8" i="1"/>
  <c r="E12" i="3" s="1"/>
  <c r="J10" i="1"/>
  <c r="E14" i="3" s="1"/>
  <c r="J12" i="1"/>
  <c r="E16" i="3" s="1"/>
  <c r="J14" i="1"/>
  <c r="E18" i="3" s="1"/>
  <c r="J15" i="1"/>
  <c r="E19" i="3" s="1"/>
  <c r="J16" i="1"/>
  <c r="E20" i="3" s="1"/>
  <c r="J17" i="1"/>
  <c r="E21" i="3" s="1"/>
  <c r="J18" i="1"/>
  <c r="E22" i="3" s="1"/>
  <c r="J19" i="1"/>
  <c r="E23" i="3" s="1"/>
  <c r="J20" i="1"/>
  <c r="E24" i="3" s="1"/>
  <c r="J21" i="1"/>
  <c r="E25" i="3" s="1"/>
  <c r="J22" i="1"/>
  <c r="E26" i="3" s="1"/>
  <c r="J23" i="1"/>
  <c r="E27" i="3" s="1"/>
  <c r="J24" i="1"/>
  <c r="E28" i="3" s="1"/>
  <c r="J25" i="1"/>
  <c r="E29" i="3" s="1"/>
  <c r="J26" i="1"/>
  <c r="E30" i="3" s="1"/>
  <c r="J27" i="1"/>
  <c r="E31" i="3" s="1"/>
  <c r="J28" i="1"/>
  <c r="E32" i="3" s="1"/>
  <c r="J29" i="1"/>
  <c r="E33" i="3" s="1"/>
  <c r="J30" i="1"/>
  <c r="E34" i="3" s="1"/>
  <c r="J31" i="1"/>
  <c r="E35" i="3" s="1"/>
  <c r="J32" i="1"/>
  <c r="E36" i="3" s="1"/>
  <c r="J33" i="1"/>
  <c r="E37" i="3" s="1"/>
  <c r="J34" i="1"/>
  <c r="E38" i="3" s="1"/>
  <c r="J35" i="1"/>
  <c r="E39" i="3" s="1"/>
  <c r="J36" i="1"/>
  <c r="E40" i="3" s="1"/>
  <c r="J37" i="1"/>
  <c r="E41" i="3" s="1"/>
  <c r="J38" i="1"/>
  <c r="E42" i="3" s="1"/>
  <c r="J39" i="1"/>
  <c r="E43" i="3" s="1"/>
  <c r="J40" i="1"/>
  <c r="E44" i="3" s="1"/>
  <c r="J41" i="1"/>
  <c r="E45" i="3" s="1"/>
  <c r="J42" i="1"/>
  <c r="E46" i="3" s="1"/>
  <c r="J43" i="1"/>
  <c r="E47" i="3" s="1"/>
  <c r="J44" i="1"/>
  <c r="E48" i="3" s="1"/>
  <c r="J45" i="1"/>
  <c r="E49" i="3" s="1"/>
  <c r="J46" i="1"/>
  <c r="E50" i="3" s="1"/>
  <c r="J47" i="1"/>
  <c r="E51" i="3" s="1"/>
  <c r="J48" i="1"/>
  <c r="E52" i="3" s="1"/>
  <c r="J49" i="1"/>
  <c r="E53" i="3" s="1"/>
  <c r="J50" i="1"/>
  <c r="E54" i="3" s="1"/>
  <c r="J51" i="1"/>
  <c r="E55" i="3" s="1"/>
  <c r="J52" i="1"/>
  <c r="E56" i="3" s="1"/>
  <c r="J53" i="1"/>
  <c r="E57" i="3" s="1"/>
  <c r="J54" i="1"/>
  <c r="E58" i="3" s="1"/>
  <c r="J55" i="1"/>
  <c r="E59" i="3" s="1"/>
  <c r="J56" i="1"/>
  <c r="E60" i="3" s="1"/>
  <c r="J57" i="1"/>
  <c r="E61" i="3" s="1"/>
  <c r="J58" i="1"/>
  <c r="E62" i="3" s="1"/>
  <c r="J59" i="1"/>
  <c r="E63" i="3" s="1"/>
  <c r="J60" i="1"/>
  <c r="E64" i="3" s="1"/>
  <c r="O75" i="7"/>
  <c r="F81" i="9" s="1"/>
  <c r="Q74" i="7"/>
  <c r="H80" i="9" s="1"/>
  <c r="M74" i="7"/>
  <c r="D80" i="9" s="1"/>
  <c r="O73" i="7"/>
  <c r="F79" i="9" s="1"/>
  <c r="Q72" i="7"/>
  <c r="H78" i="9" s="1"/>
  <c r="M72" i="7"/>
  <c r="D78" i="9" s="1"/>
  <c r="O71" i="7"/>
  <c r="F77" i="9" s="1"/>
  <c r="Q70" i="7"/>
  <c r="H76" i="9" s="1"/>
  <c r="M70" i="7"/>
  <c r="D76" i="9" s="1"/>
  <c r="O69" i="7"/>
  <c r="F75" i="9" s="1"/>
  <c r="Q68" i="7"/>
  <c r="H74" i="9" s="1"/>
  <c r="M68" i="7"/>
  <c r="D74" i="9" s="1"/>
  <c r="O67" i="7"/>
  <c r="F73" i="9" s="1"/>
  <c r="Q66" i="7"/>
  <c r="H72" i="9" s="1"/>
  <c r="M66" i="7"/>
  <c r="D72" i="9" s="1"/>
  <c r="O65" i="7"/>
  <c r="F71" i="9" s="1"/>
  <c r="Q64" i="7"/>
  <c r="H70" i="9" s="1"/>
  <c r="M64" i="7"/>
  <c r="D70" i="9" s="1"/>
  <c r="O63" i="7"/>
  <c r="F69" i="9" s="1"/>
  <c r="Q62" i="7"/>
  <c r="H68" i="9" s="1"/>
  <c r="M62" i="7"/>
  <c r="D68" i="9" s="1"/>
  <c r="O61" i="7"/>
  <c r="F67" i="9" s="1"/>
  <c r="Q60" i="7"/>
  <c r="H66" i="9" s="1"/>
  <c r="M60" i="7"/>
  <c r="D66" i="9" s="1"/>
  <c r="O59" i="7"/>
  <c r="F65" i="9" s="1"/>
  <c r="Q58" i="7"/>
  <c r="H64" i="9" s="1"/>
  <c r="M58" i="7"/>
  <c r="D64" i="9" s="1"/>
  <c r="O57" i="7"/>
  <c r="F63" i="9" s="1"/>
  <c r="Q56" i="7"/>
  <c r="H62" i="9" s="1"/>
  <c r="M56" i="7"/>
  <c r="D62" i="9" s="1"/>
  <c r="O55" i="7"/>
  <c r="F61" i="9" s="1"/>
  <c r="P75" i="7"/>
  <c r="G81" i="9" s="1"/>
  <c r="L75" i="7"/>
  <c r="C81" i="9" s="1"/>
  <c r="N74" i="7"/>
  <c r="E80" i="9" s="1"/>
  <c r="P73" i="7"/>
  <c r="G79" i="9" s="1"/>
  <c r="L73" i="7"/>
  <c r="C79" i="9" s="1"/>
  <c r="N72" i="7"/>
  <c r="E78" i="9" s="1"/>
  <c r="P71" i="7"/>
  <c r="G77" i="9" s="1"/>
  <c r="L71" i="7"/>
  <c r="C77" i="9" s="1"/>
  <c r="N70" i="7"/>
  <c r="E76" i="9" s="1"/>
  <c r="P69" i="7"/>
  <c r="G75" i="9" s="1"/>
  <c r="L69" i="7"/>
  <c r="C75" i="9" s="1"/>
  <c r="N68" i="7"/>
  <c r="E74" i="9" s="1"/>
  <c r="P67" i="7"/>
  <c r="G73" i="9" s="1"/>
  <c r="L67" i="7"/>
  <c r="C73" i="9" s="1"/>
  <c r="N66" i="7"/>
  <c r="E72" i="9" s="1"/>
  <c r="P65" i="7"/>
  <c r="G71" i="9" s="1"/>
  <c r="L65" i="7"/>
  <c r="C71" i="9" s="1"/>
  <c r="N64" i="7"/>
  <c r="E70" i="9" s="1"/>
  <c r="P63" i="7"/>
  <c r="G69" i="9" s="1"/>
  <c r="L63" i="7"/>
  <c r="C69" i="9" s="1"/>
  <c r="N62" i="7"/>
  <c r="E68" i="9" s="1"/>
  <c r="P61" i="7"/>
  <c r="G67" i="9" s="1"/>
  <c r="L61" i="7"/>
  <c r="C67" i="9" s="1"/>
  <c r="N60" i="7"/>
  <c r="E66" i="9" s="1"/>
  <c r="P59" i="7"/>
  <c r="G65" i="9" s="1"/>
  <c r="L59" i="7"/>
  <c r="C65" i="9" s="1"/>
  <c r="N58" i="7"/>
  <c r="E64" i="9" s="1"/>
  <c r="P57" i="7"/>
  <c r="G63" i="9" s="1"/>
  <c r="L57" i="7"/>
  <c r="C63" i="9" s="1"/>
  <c r="N56" i="7"/>
  <c r="E62" i="9" s="1"/>
  <c r="P55" i="7"/>
  <c r="G61" i="9" s="1"/>
  <c r="L55" i="7"/>
  <c r="C61" i="9" s="1"/>
  <c r="N54" i="7"/>
  <c r="E60" i="9" s="1"/>
  <c r="P53" i="7"/>
  <c r="G59" i="9" s="1"/>
  <c r="L53" i="7"/>
  <c r="C59" i="9" s="1"/>
  <c r="N52" i="7"/>
  <c r="E58" i="9" s="1"/>
  <c r="P51" i="7"/>
  <c r="G57" i="9" s="1"/>
  <c r="L51" i="7"/>
  <c r="C57" i="9" s="1"/>
  <c r="N50" i="7"/>
  <c r="E56" i="9" s="1"/>
  <c r="P49" i="7"/>
  <c r="G55" i="9" s="1"/>
  <c r="L49" i="7"/>
  <c r="C55" i="9" s="1"/>
  <c r="N48" i="7"/>
  <c r="E54" i="9" s="1"/>
  <c r="P47" i="7"/>
  <c r="G53" i="9" s="1"/>
  <c r="L47" i="7"/>
  <c r="C53" i="9" s="1"/>
  <c r="N46" i="7"/>
  <c r="E52" i="9" s="1"/>
  <c r="P45" i="7"/>
  <c r="G51" i="9" s="1"/>
  <c r="L45" i="7"/>
  <c r="C51" i="9" s="1"/>
  <c r="N44" i="7"/>
  <c r="E50" i="9" s="1"/>
  <c r="P43" i="7"/>
  <c r="G49" i="9" s="1"/>
  <c r="N7" i="7"/>
  <c r="E13" i="9" s="1"/>
  <c r="L8" i="7"/>
  <c r="C14" i="9" s="1"/>
  <c r="P8" i="7"/>
  <c r="G14" i="9" s="1"/>
  <c r="N9" i="7"/>
  <c r="E15" i="9" s="1"/>
  <c r="L10" i="7"/>
  <c r="C16" i="9" s="1"/>
  <c r="P10" i="7"/>
  <c r="G16" i="9" s="1"/>
  <c r="N11" i="7"/>
  <c r="E17" i="9" s="1"/>
  <c r="L12" i="7"/>
  <c r="C18" i="9" s="1"/>
  <c r="P12" i="7"/>
  <c r="G18" i="9" s="1"/>
  <c r="N13" i="7"/>
  <c r="E19" i="9" s="1"/>
  <c r="L14" i="7"/>
  <c r="C20" i="9" s="1"/>
  <c r="P14" i="7"/>
  <c r="G20" i="9" s="1"/>
  <c r="N15" i="7"/>
  <c r="E21" i="9" s="1"/>
  <c r="L16" i="7"/>
  <c r="C22" i="9" s="1"/>
  <c r="P16" i="7"/>
  <c r="G22" i="9" s="1"/>
  <c r="N17" i="7"/>
  <c r="E23" i="9" s="1"/>
  <c r="L18" i="7"/>
  <c r="C24" i="9" s="1"/>
  <c r="P18" i="7"/>
  <c r="G24" i="9" s="1"/>
  <c r="N19" i="7"/>
  <c r="E25" i="9" s="1"/>
  <c r="L20" i="7"/>
  <c r="C26" i="9" s="1"/>
  <c r="P20" i="7"/>
  <c r="G26" i="9" s="1"/>
  <c r="N21" i="7"/>
  <c r="E27" i="9" s="1"/>
  <c r="L22" i="7"/>
  <c r="C28" i="9" s="1"/>
  <c r="P22" i="7"/>
  <c r="G28" i="9" s="1"/>
  <c r="N23" i="7"/>
  <c r="E29" i="9" s="1"/>
  <c r="L24" i="7"/>
  <c r="C30" i="9" s="1"/>
  <c r="P24" i="7"/>
  <c r="G30" i="9" s="1"/>
  <c r="N25" i="7"/>
  <c r="E31" i="9" s="1"/>
  <c r="L26" i="7"/>
  <c r="C32" i="9" s="1"/>
  <c r="P26" i="7"/>
  <c r="G32" i="9" s="1"/>
  <c r="N27" i="7"/>
  <c r="E33" i="9" s="1"/>
  <c r="L28" i="7"/>
  <c r="C34" i="9" s="1"/>
  <c r="P28" i="7"/>
  <c r="G34" i="9" s="1"/>
  <c r="N29" i="7"/>
  <c r="E35" i="9" s="1"/>
  <c r="L30" i="7"/>
  <c r="C36" i="9" s="1"/>
  <c r="P30" i="7"/>
  <c r="G36" i="9" s="1"/>
  <c r="N31" i="7"/>
  <c r="E37" i="9" s="1"/>
  <c r="L32" i="7"/>
  <c r="C38" i="9" s="1"/>
  <c r="P32" i="7"/>
  <c r="G38" i="9" s="1"/>
  <c r="N33" i="7"/>
  <c r="E39" i="9" s="1"/>
  <c r="L34" i="7"/>
  <c r="C40" i="9" s="1"/>
  <c r="P34" i="7"/>
  <c r="G40" i="9" s="1"/>
  <c r="N35" i="7"/>
  <c r="E41" i="9" s="1"/>
  <c r="L36" i="7"/>
  <c r="C42" i="9" s="1"/>
  <c r="P36" i="7"/>
  <c r="G42" i="9" s="1"/>
  <c r="N37" i="7"/>
  <c r="E43" i="9" s="1"/>
  <c r="L38" i="7"/>
  <c r="C44" i="9" s="1"/>
  <c r="P38" i="7"/>
  <c r="G44" i="9" s="1"/>
  <c r="N39" i="7"/>
  <c r="E45" i="9" s="1"/>
  <c r="L40" i="7"/>
  <c r="C46" i="9" s="1"/>
  <c r="P40" i="7"/>
  <c r="G46" i="9" s="1"/>
  <c r="N41" i="7"/>
  <c r="E47" i="9" s="1"/>
  <c r="L42" i="7"/>
  <c r="C48" i="9" s="1"/>
  <c r="P42" i="7"/>
  <c r="G48" i="9" s="1"/>
  <c r="N43" i="7"/>
  <c r="E49" i="9" s="1"/>
  <c r="M44" i="7"/>
  <c r="D50" i="9" s="1"/>
  <c r="M45" i="7"/>
  <c r="D51" i="9" s="1"/>
  <c r="L46" i="7"/>
  <c r="C52" i="9" s="1"/>
  <c r="Q46" i="7"/>
  <c r="H52" i="9" s="1"/>
  <c r="Q47" i="7"/>
  <c r="H53" i="9" s="1"/>
  <c r="P48" i="7"/>
  <c r="G54" i="9" s="1"/>
  <c r="O49" i="7"/>
  <c r="F55" i="9" s="1"/>
  <c r="O50" i="7"/>
  <c r="F56" i="9" s="1"/>
  <c r="N51" i="7"/>
  <c r="E57" i="9" s="1"/>
  <c r="M52" i="7"/>
  <c r="D58" i="9" s="1"/>
  <c r="M53" i="7"/>
  <c r="D59" i="9" s="1"/>
  <c r="L54" i="7"/>
  <c r="C60" i="9" s="1"/>
  <c r="Q54" i="7"/>
  <c r="H60" i="9" s="1"/>
  <c r="L56" i="7"/>
  <c r="C62" i="9" s="1"/>
  <c r="N57" i="7"/>
  <c r="E63" i="9" s="1"/>
  <c r="P58" i="7"/>
  <c r="G64" i="9" s="1"/>
  <c r="L60" i="7"/>
  <c r="C66" i="9" s="1"/>
  <c r="N61" i="7"/>
  <c r="E67" i="9" s="1"/>
  <c r="P62" i="7"/>
  <c r="G68" i="9" s="1"/>
  <c r="L64" i="7"/>
  <c r="C70" i="9" s="1"/>
  <c r="N65" i="7"/>
  <c r="E71" i="9" s="1"/>
  <c r="P66" i="7"/>
  <c r="G72" i="9" s="1"/>
  <c r="L68" i="7"/>
  <c r="C74" i="9" s="1"/>
  <c r="N69" i="7"/>
  <c r="E75" i="9" s="1"/>
  <c r="P70" i="7"/>
  <c r="G76" i="9" s="1"/>
  <c r="L72" i="7"/>
  <c r="C78" i="9" s="1"/>
  <c r="N73" i="7"/>
  <c r="E79" i="9" s="1"/>
  <c r="P74" i="7"/>
  <c r="G80" i="9" s="1"/>
  <c r="P6" i="10"/>
  <c r="H11" i="11" s="1"/>
  <c r="P7" i="10"/>
  <c r="H12" i="11" s="1"/>
  <c r="N8" i="10"/>
  <c r="F13" i="11" s="1"/>
  <c r="L9" i="10"/>
  <c r="D14" i="11" s="1"/>
  <c r="P9" i="10"/>
  <c r="H14" i="11" s="1"/>
  <c r="N10" i="10"/>
  <c r="F15" i="11" s="1"/>
  <c r="L11" i="10"/>
  <c r="D16" i="11" s="1"/>
  <c r="P11" i="10"/>
  <c r="H16" i="11" s="1"/>
  <c r="N12" i="10"/>
  <c r="F17" i="11" s="1"/>
  <c r="K14" i="10"/>
  <c r="C19" i="11" s="1"/>
  <c r="O14" i="10"/>
  <c r="G19" i="11" s="1"/>
  <c r="M15" i="10"/>
  <c r="E20" i="11" s="1"/>
  <c r="K16" i="10"/>
  <c r="C21" i="11" s="1"/>
  <c r="O16" i="10"/>
  <c r="G21" i="11" s="1"/>
  <c r="M17" i="10"/>
  <c r="E22" i="11" s="1"/>
  <c r="K18" i="10"/>
  <c r="C23" i="11" s="1"/>
  <c r="O18" i="10"/>
  <c r="G23" i="11" s="1"/>
  <c r="M20" i="10"/>
  <c r="E25" i="11" s="1"/>
  <c r="K21" i="10"/>
  <c r="C26" i="11" s="1"/>
  <c r="O21" i="10"/>
  <c r="G26" i="11" s="1"/>
  <c r="L28" i="18"/>
  <c r="C31" i="19" s="1"/>
  <c r="L29" i="18"/>
  <c r="C32" i="19" s="1"/>
  <c r="L27" i="18"/>
  <c r="Q22" i="18"/>
  <c r="H26" i="19" s="1"/>
  <c r="M22" i="18"/>
  <c r="D26" i="19" s="1"/>
  <c r="R22" i="18"/>
  <c r="I26" i="19" s="1"/>
  <c r="L22" i="18"/>
  <c r="C26" i="19" s="1"/>
  <c r="P22" i="18"/>
  <c r="G26" i="19" s="1"/>
  <c r="R21" i="18"/>
  <c r="I25" i="19" s="1"/>
  <c r="N21" i="18"/>
  <c r="E25" i="19" s="1"/>
  <c r="O22" i="18"/>
  <c r="F26" i="19" s="1"/>
  <c r="Q21" i="18"/>
  <c r="H25" i="19" s="1"/>
  <c r="M21" i="18"/>
  <c r="D25" i="19" s="1"/>
  <c r="O20" i="18"/>
  <c r="F24" i="19" s="1"/>
  <c r="P19" i="18"/>
  <c r="G23" i="19" s="1"/>
  <c r="L19" i="18"/>
  <c r="C23" i="19" s="1"/>
  <c r="O18" i="18"/>
  <c r="F22" i="19" s="1"/>
  <c r="R17" i="18"/>
  <c r="I21" i="19" s="1"/>
  <c r="N17" i="18"/>
  <c r="E21" i="19" s="1"/>
  <c r="Q16" i="18"/>
  <c r="H20" i="19" s="1"/>
  <c r="M16" i="18"/>
  <c r="D20" i="19" s="1"/>
  <c r="P15" i="18"/>
  <c r="G19" i="19" s="1"/>
  <c r="L15" i="18"/>
  <c r="C19" i="19" s="1"/>
  <c r="L13" i="18"/>
  <c r="C17" i="19" s="1"/>
  <c r="O12" i="18"/>
  <c r="F16" i="19" s="1"/>
  <c r="L11" i="18"/>
  <c r="C15" i="19" s="1"/>
  <c r="O10" i="18"/>
  <c r="F14" i="19" s="1"/>
  <c r="R9" i="18"/>
  <c r="I13" i="19" s="1"/>
  <c r="N9" i="18"/>
  <c r="E13" i="19" s="1"/>
  <c r="P8" i="18"/>
  <c r="G12" i="19" s="1"/>
  <c r="O7" i="18"/>
  <c r="F11" i="19" s="1"/>
  <c r="M8" i="18"/>
  <c r="D12" i="19" s="1"/>
  <c r="L9" i="18"/>
  <c r="C13" i="19" s="1"/>
  <c r="Q9" i="18"/>
  <c r="H13" i="19" s="1"/>
  <c r="P10" i="18"/>
  <c r="G14" i="19" s="1"/>
  <c r="O11" i="18"/>
  <c r="F15" i="19" s="1"/>
  <c r="M12" i="18"/>
  <c r="D16" i="19" s="1"/>
  <c r="R12" i="18"/>
  <c r="I16" i="19" s="1"/>
  <c r="M15" i="18"/>
  <c r="D19" i="19" s="1"/>
  <c r="R15" i="18"/>
  <c r="I19" i="19" s="1"/>
  <c r="P16" i="18"/>
  <c r="G20" i="19" s="1"/>
  <c r="O17" i="18"/>
  <c r="F21" i="19" s="1"/>
  <c r="M18" i="18"/>
  <c r="D22" i="19" s="1"/>
  <c r="R18" i="18"/>
  <c r="I22" i="19" s="1"/>
  <c r="Q19" i="18"/>
  <c r="H23" i="19" s="1"/>
  <c r="N22" i="18"/>
  <c r="E26" i="19" s="1"/>
  <c r="O20" i="10"/>
  <c r="G25" i="11" s="1"/>
  <c r="M21" i="10"/>
  <c r="E26" i="11" s="1"/>
  <c r="K26" i="10"/>
  <c r="I23" i="11" s="1"/>
  <c r="K25" i="10"/>
  <c r="I17" i="11" s="1"/>
  <c r="L7" i="10"/>
  <c r="D12" i="11" s="1"/>
  <c r="N19" i="10"/>
  <c r="F24" i="11" s="1"/>
  <c r="L6" i="10"/>
  <c r="D11" i="11" s="1"/>
  <c r="O6" i="10"/>
  <c r="G11" i="11" s="1"/>
  <c r="O7" i="10"/>
  <c r="G12" i="11" s="1"/>
  <c r="M8" i="10"/>
  <c r="E13" i="11" s="1"/>
  <c r="K9" i="10"/>
  <c r="C14" i="11" s="1"/>
  <c r="O9" i="10"/>
  <c r="G14" i="11" s="1"/>
  <c r="K11" i="10"/>
  <c r="C16" i="11" s="1"/>
  <c r="O11" i="10"/>
  <c r="G16" i="11" s="1"/>
  <c r="N14" i="10"/>
  <c r="F19" i="11" s="1"/>
  <c r="L15" i="10"/>
  <c r="D20" i="11" s="1"/>
  <c r="P15" i="10"/>
  <c r="H20" i="11" s="1"/>
  <c r="N16" i="10"/>
  <c r="F21" i="11" s="1"/>
  <c r="L17" i="10"/>
  <c r="D22" i="11" s="1"/>
  <c r="P17" i="10"/>
  <c r="H22" i="11" s="1"/>
  <c r="N18" i="10"/>
  <c r="F23" i="11" s="1"/>
  <c r="L20" i="10"/>
  <c r="D25" i="11" s="1"/>
  <c r="P20" i="10"/>
  <c r="H25" i="11" s="1"/>
  <c r="N21" i="10"/>
  <c r="F26" i="11" s="1"/>
  <c r="L18" i="18"/>
  <c r="C22" i="19" s="1"/>
  <c r="Q18" i="18"/>
  <c r="H22" i="19" s="1"/>
  <c r="O19" i="18"/>
  <c r="F23" i="19" s="1"/>
  <c r="P20" i="18"/>
  <c r="G24" i="19" s="1"/>
  <c r="P21" i="18"/>
  <c r="G25" i="19" s="1"/>
  <c r="I46" i="31"/>
  <c r="F51" i="32" s="1"/>
  <c r="I42" i="31"/>
  <c r="F47" i="32" s="1"/>
  <c r="I40" i="31"/>
  <c r="F45" i="32" s="1"/>
  <c r="I36" i="31"/>
  <c r="F41" i="32" s="1"/>
  <c r="H30" i="31"/>
  <c r="E35" i="32" s="1"/>
  <c r="H24" i="31"/>
  <c r="E29" i="32" s="1"/>
  <c r="I19" i="31"/>
  <c r="F23" i="32" s="1"/>
  <c r="I15" i="31"/>
  <c r="F19" i="32" s="1"/>
  <c r="I13" i="31"/>
  <c r="F17" i="32" s="1"/>
  <c r="I9" i="31"/>
  <c r="F13" i="32" s="1"/>
  <c r="H9" i="31"/>
  <c r="E13" i="32" s="1"/>
  <c r="H14" i="31"/>
  <c r="E18" i="32" s="1"/>
  <c r="I18" i="31"/>
  <c r="F22" i="32" s="1"/>
  <c r="H23" i="31"/>
  <c r="E28" i="32" s="1"/>
  <c r="H35" i="31"/>
  <c r="E40" i="32" s="1"/>
  <c r="I37" i="31"/>
  <c r="F42" i="32" s="1"/>
  <c r="H42" i="31"/>
  <c r="E47" i="32" s="1"/>
  <c r="H47" i="31"/>
  <c r="E52" i="32" s="1"/>
  <c r="C30" i="19"/>
  <c r="G18" i="22" a="1"/>
  <c r="P28" i="13" a="1"/>
  <c r="N49" i="13" a="1"/>
  <c r="R12" i="16" a="1"/>
  <c r="R58" i="16" a="1"/>
  <c r="Q9" i="16" a="1"/>
  <c r="G13" i="22" a="1"/>
  <c r="P11" i="16" a="1"/>
  <c r="J45" i="20" a="1"/>
  <c r="M28" i="16" a="1"/>
  <c r="L62" i="16" a="1"/>
  <c r="L40" i="16" a="1"/>
  <c r="I34" i="20" a="1"/>
  <c r="L41" i="13" a="1"/>
  <c r="O52" i="16" a="1"/>
  <c r="O50" i="16" a="1"/>
  <c r="K13" i="12" a="1"/>
  <c r="R49" i="13" a="1"/>
  <c r="O26" i="13" a="1"/>
  <c r="N30" i="13" a="1"/>
  <c r="M21" i="13" a="1"/>
  <c r="M45" i="16" a="1"/>
  <c r="O68" i="16" a="1"/>
  <c r="N46" i="13" a="1"/>
  <c r="L63" i="16" a="1"/>
  <c r="N59" i="13" a="1"/>
  <c r="R21" i="16" a="1"/>
  <c r="I13" i="12" a="1"/>
  <c r="O41" i="13" a="1"/>
  <c r="M14" i="13" a="1"/>
  <c r="G9" i="22" a="1"/>
  <c r="M17" i="16" a="1"/>
  <c r="L26" i="13" a="1"/>
  <c r="N32" i="13" a="1"/>
  <c r="H13" i="24" a="1"/>
  <c r="N39" i="13" a="1"/>
  <c r="N56" i="16" a="1"/>
  <c r="H28" i="22" a="1"/>
  <c r="G49" i="22" a="1"/>
  <c r="L22" i="16" a="1"/>
  <c r="P60" i="16" a="1"/>
  <c r="H10" i="24" a="1"/>
  <c r="R75" i="16" a="1"/>
  <c r="L15" i="13" a="1"/>
  <c r="R55" i="16" a="1"/>
  <c r="G47" i="22" a="1"/>
  <c r="R61" i="16" a="1"/>
  <c r="Q12" i="16" a="1"/>
  <c r="J8" i="20" a="1"/>
  <c r="N58" i="16" a="1"/>
  <c r="J12" i="20" a="1"/>
  <c r="O20" i="16" a="1"/>
  <c r="O69" i="16" a="1"/>
  <c r="Q65" i="16" a="1"/>
  <c r="P58" i="16" a="1"/>
  <c r="Q18" i="16" a="1"/>
  <c r="M24" i="16" a="1"/>
  <c r="L8" i="12" a="1"/>
  <c r="P41" i="16" a="1"/>
  <c r="M27" i="13" a="1"/>
  <c r="O18" i="13" a="1"/>
  <c r="L51" i="16" a="1"/>
  <c r="M33" i="16" a="1"/>
  <c r="R18" i="16" a="1"/>
  <c r="M59" i="16" a="1"/>
  <c r="Q16" i="16" a="1"/>
  <c r="O55" i="13" a="1"/>
  <c r="Q46" i="16" a="1"/>
  <c r="J14" i="24" a="1"/>
  <c r="L44" i="13" a="1"/>
  <c r="Q28" i="13" a="1"/>
  <c r="P38" i="13" a="1"/>
  <c r="I8" i="12" a="1"/>
  <c r="O70" i="16" a="1"/>
  <c r="P45" i="16" a="1"/>
  <c r="M41" i="13" a="1"/>
  <c r="Q32" i="16" a="1"/>
  <c r="P54" i="16" a="1"/>
  <c r="Q47" i="13" a="1"/>
  <c r="L66" i="16" a="1"/>
  <c r="M58" i="16" a="1"/>
  <c r="M42" i="13" a="1"/>
  <c r="N71" i="16" a="1"/>
  <c r="R38" i="16" a="1"/>
  <c r="P12" i="16" a="1"/>
  <c r="O66" i="16" a="1"/>
  <c r="M18" i="16" a="1"/>
  <c r="P51" i="16" a="1"/>
  <c r="M21" i="16" a="1"/>
  <c r="Q19" i="16" a="1"/>
  <c r="P28" i="16" a="1"/>
  <c r="N61" i="16" a="1"/>
  <c r="Q39" i="13" a="1"/>
  <c r="H45" i="20" a="1"/>
  <c r="P61" i="16" a="1"/>
  <c r="Q63" i="16" a="1"/>
  <c r="O16" i="16" a="1"/>
  <c r="N55" i="16" a="1"/>
  <c r="O51" i="16" a="1"/>
  <c r="P59" i="13" a="1"/>
  <c r="M75" i="16" a="1"/>
  <c r="N11" i="16" a="1"/>
  <c r="P15" i="16" a="1"/>
  <c r="P50" i="13" a="1"/>
  <c r="N57" i="13" a="1"/>
  <c r="Q11" i="13" a="1"/>
  <c r="P33" i="16" a="1"/>
  <c r="H10" i="22" a="1"/>
  <c r="N33" i="13" a="1"/>
  <c r="Q56" i="16" a="1"/>
  <c r="M22" i="16" a="1"/>
  <c r="G19" i="26" a="1"/>
  <c r="P54" i="13" a="1"/>
  <c r="R65" i="16" a="1"/>
  <c r="G26" i="26" a="1"/>
  <c r="R42" i="13" a="1"/>
  <c r="M47" i="16" a="1"/>
  <c r="Q39" i="16" a="1"/>
  <c r="O12" i="16" a="1"/>
  <c r="N38" i="13" a="1"/>
  <c r="O14" i="13" a="1"/>
  <c r="R10" i="16" a="1"/>
  <c r="Q17" i="16" a="1"/>
  <c r="Q21" i="13" a="1"/>
  <c r="L8" i="16" a="1"/>
  <c r="Q23" i="13" a="1"/>
  <c r="G45" i="22" a="1"/>
  <c r="R13" i="13" a="1"/>
  <c r="O27" i="16" a="1"/>
  <c r="R38" i="13" a="1"/>
  <c r="I22" i="20" a="1"/>
  <c r="G26" i="22" a="1"/>
  <c r="O65" i="16" a="1"/>
  <c r="H35" i="20" a="1"/>
  <c r="N39" i="16" a="1"/>
  <c r="M12" i="16" a="1"/>
  <c r="J10" i="20" a="1"/>
  <c r="P17" i="16" a="1"/>
  <c r="P67" i="16" a="1"/>
  <c r="O64" i="16" a="1"/>
  <c r="R25" i="13" a="1"/>
  <c r="G32" i="22" a="1"/>
  <c r="G36" i="26" a="1"/>
  <c r="N65" i="16" a="1"/>
  <c r="O26" i="16" a="1"/>
  <c r="Q66" i="16" a="1"/>
  <c r="L38" i="16" a="1"/>
  <c r="Q51" i="13" a="1"/>
  <c r="H19" i="20" a="1"/>
  <c r="H18" i="22" a="1"/>
  <c r="L65" i="16" a="1"/>
  <c r="R60" i="16" a="1"/>
  <c r="G12" i="22" a="1"/>
  <c r="H35" i="22" a="1"/>
  <c r="O49" i="13" a="1"/>
  <c r="P26" i="16" a="1"/>
  <c r="N22" i="16" a="1"/>
  <c r="L13" i="13" a="1"/>
  <c r="N14" i="16" a="1"/>
  <c r="M34" i="16" a="1"/>
  <c r="P65" i="16" a="1"/>
  <c r="L47" i="13" a="1"/>
  <c r="O31" i="16" a="1"/>
  <c r="Q46" i="13" a="1"/>
  <c r="M8" i="16" a="1"/>
  <c r="H29" i="22" a="1"/>
  <c r="H44" i="20" a="1"/>
  <c r="O9" i="16" a="1"/>
  <c r="L75" i="16" a="1"/>
  <c r="M20" i="16" a="1"/>
  <c r="L52" i="16" a="1"/>
  <c r="G25" i="22" a="1"/>
  <c r="G38" i="22" a="1"/>
  <c r="P25" i="16" a="1"/>
  <c r="J13" i="12" a="1"/>
  <c r="Q24" i="16" a="1"/>
  <c r="M7" i="16" a="1"/>
  <c r="L57" i="16" a="1"/>
  <c r="L45" i="13" a="1"/>
  <c r="M71" i="16" a="1"/>
  <c r="O32" i="16" a="1"/>
  <c r="Q43" i="16" a="1"/>
  <c r="R46" i="16" a="1"/>
  <c r="R22" i="13" a="1"/>
  <c r="N9" i="16" a="1"/>
  <c r="M37" i="13" a="1"/>
  <c r="P37" i="13" a="1"/>
  <c r="P9" i="16" a="1"/>
  <c r="M46" i="16" a="1"/>
  <c r="M40" i="16" a="1"/>
  <c r="G17" i="22" a="1"/>
  <c r="M48" i="16" a="1"/>
  <c r="H33" i="22" a="1"/>
  <c r="N62" i="16" a="1"/>
  <c r="I9" i="20" a="1"/>
  <c r="R67" i="16" a="1"/>
  <c r="G43" i="22" a="1"/>
  <c r="G42" i="22" a="1"/>
  <c r="O25" i="13" a="1"/>
  <c r="J35" i="20" a="1"/>
  <c r="L46" i="16" a="1"/>
  <c r="P48" i="16" a="1"/>
  <c r="M61" i="16" a="1"/>
  <c r="M31" i="16" a="1"/>
  <c r="R21" i="13" a="1"/>
  <c r="H46" i="22" a="1"/>
  <c r="P40" i="16" a="1"/>
  <c r="G14" i="26" a="1"/>
  <c r="P29" i="16" a="1"/>
  <c r="G28" i="22" a="1"/>
  <c r="O58" i="16" a="1"/>
  <c r="Q53" i="13" a="1"/>
  <c r="O60" i="16" a="1"/>
  <c r="R19" i="13" a="1"/>
  <c r="L44" i="16" a="1"/>
  <c r="P74" i="16" a="1"/>
  <c r="R35" i="16" a="1"/>
  <c r="Q58" i="13" a="1"/>
  <c r="Q55" i="13" a="1"/>
  <c r="N28" i="16" a="1"/>
  <c r="M56" i="16" a="1"/>
  <c r="J27" i="20" a="1"/>
  <c r="Q62" i="16" a="1"/>
  <c r="R56" i="16" a="1"/>
  <c r="Q30" i="16" a="1"/>
  <c r="Q42" i="16" a="1"/>
  <c r="G29" i="26" a="1"/>
  <c r="O31" i="13" a="1"/>
  <c r="R58" i="13" a="1"/>
  <c r="R57" i="13" a="1"/>
  <c r="M7" i="13" a="1"/>
  <c r="H27" i="20" a="1"/>
  <c r="P45" i="13" a="1"/>
  <c r="M11" i="13" a="1"/>
  <c r="R26" i="13" a="1"/>
  <c r="Q58" i="16" a="1"/>
  <c r="J15" i="20" a="1"/>
  <c r="G10" i="22" a="1"/>
  <c r="P50" i="16" a="1"/>
  <c r="L24" i="13" a="1"/>
  <c r="I15" i="20" a="1"/>
  <c r="N10" i="16" a="1"/>
  <c r="R54" i="13" a="1"/>
  <c r="L11" i="13" a="1"/>
  <c r="J17" i="20" a="1"/>
  <c r="O53" i="13" a="1"/>
  <c r="P29" i="13" a="1"/>
  <c r="M22" i="13" a="1"/>
  <c r="J44" i="20" a="1"/>
  <c r="P62" i="16" a="1"/>
  <c r="M28" i="13" a="1"/>
  <c r="R50" i="16" a="1"/>
  <c r="N51" i="13" a="1"/>
  <c r="R48" i="16" a="1"/>
  <c r="N17" i="16" a="1"/>
  <c r="R15" i="16" a="1"/>
  <c r="N21" i="16" a="1"/>
  <c r="P72" i="16" a="1"/>
  <c r="N64" i="16" a="1"/>
  <c r="H32" i="22" a="1"/>
  <c r="P7" i="16" a="1"/>
  <c r="Q15" i="16" a="1"/>
  <c r="M40" i="13" a="1"/>
  <c r="N43" i="16" a="1"/>
  <c r="L56" i="16" a="1"/>
  <c r="R51" i="16" a="1"/>
  <c r="L69" i="16" a="1"/>
  <c r="J26" i="20" a="1"/>
  <c r="O49" i="16" a="1"/>
  <c r="Q57" i="13" a="1"/>
  <c r="M23" i="16" a="1"/>
  <c r="N31" i="16" a="1"/>
  <c r="N31" i="13" a="1"/>
  <c r="P56" i="16" a="1"/>
  <c r="N54" i="13" a="1"/>
  <c r="Q48" i="16" a="1"/>
  <c r="I12" i="24" a="1"/>
  <c r="G33" i="26" a="1"/>
  <c r="N44" i="16" a="1"/>
  <c r="P22" i="16" a="1"/>
  <c r="H8" i="24" a="1"/>
  <c r="Q45" i="13" a="1"/>
  <c r="P34" i="16" a="1"/>
  <c r="O27" i="13" a="1"/>
  <c r="P64" i="16" a="1"/>
  <c r="L32" i="16" a="1"/>
  <c r="J14" i="12" a="1"/>
  <c r="M37" i="16" a="1"/>
  <c r="N30" i="16" a="1"/>
  <c r="I10" i="20" a="1"/>
  <c r="G35" i="22" a="1"/>
  <c r="O22" i="16" a="1"/>
  <c r="N7" i="16" a="1"/>
  <c r="R39" i="16" a="1"/>
  <c r="G15" i="22" a="1"/>
  <c r="N35" i="16" a="1"/>
  <c r="P73" i="16" a="1"/>
  <c r="J9" i="20" a="1"/>
  <c r="P40" i="13" a="1"/>
  <c r="O24" i="13" a="1"/>
  <c r="P56" i="13" a="1"/>
  <c r="J29" i="20" a="1"/>
  <c r="R72" i="16" a="1"/>
  <c r="J9" i="24" a="1"/>
  <c r="H9" i="20" a="1"/>
  <c r="I28" i="20" a="1"/>
  <c r="M72" i="16" a="1"/>
  <c r="H38" i="22" a="1"/>
  <c r="Q55" i="16" a="1"/>
  <c r="O23" i="16" a="1"/>
  <c r="L70" i="16" a="1"/>
  <c r="L30" i="13" a="1"/>
  <c r="N23" i="13" a="1"/>
  <c r="P27" i="16" a="1"/>
  <c r="O17" i="13" a="1"/>
  <c r="Q20" i="16" a="1"/>
  <c r="R45" i="13" a="1"/>
  <c r="J23" i="20" a="1"/>
  <c r="L57" i="13" a="1"/>
  <c r="H33" i="20" a="1"/>
  <c r="Q44" i="13" a="1"/>
  <c r="G15" i="26" a="1"/>
  <c r="Q64" i="16" a="1"/>
  <c r="H39" i="22" a="1"/>
  <c r="L26" i="16" a="1"/>
  <c r="Q73" i="16" a="1"/>
  <c r="O36" i="16" a="1"/>
  <c r="M64" i="16" a="1"/>
  <c r="H47" i="22" a="1"/>
  <c r="O54" i="16" a="1"/>
  <c r="R17" i="16" a="1"/>
  <c r="N55" i="13" a="1"/>
  <c r="G54" i="22" a="1"/>
  <c r="G28" i="26" a="1"/>
  <c r="H11" i="22" a="1"/>
  <c r="J20" i="20" a="1"/>
  <c r="G34" i="26" a="1"/>
  <c r="P13" i="16" a="1"/>
  <c r="L10" i="16" a="1"/>
  <c r="L29" i="13" a="1"/>
  <c r="H23" i="22" a="1"/>
  <c r="O30" i="16" a="1"/>
  <c r="O11" i="16" a="1"/>
  <c r="H51" i="22" a="1"/>
  <c r="G16" i="26" a="1"/>
  <c r="Q33" i="13" a="1"/>
  <c r="N13" i="16" a="1"/>
  <c r="P22" i="13" a="1"/>
  <c r="N73" i="16" a="1"/>
  <c r="N34" i="16" a="1"/>
  <c r="H22" i="22" a="1"/>
  <c r="M45" i="13" a="1"/>
  <c r="L31" i="16" a="1"/>
  <c r="O55" i="16" a="1"/>
  <c r="L12" i="13" a="1"/>
  <c r="P30" i="13" a="1"/>
  <c r="M44" i="16" a="1"/>
  <c r="P34" i="13" a="1"/>
  <c r="O23" i="13" a="1"/>
  <c r="P32" i="13" a="1"/>
  <c r="O62" i="16" a="1"/>
  <c r="R44" i="16" a="1"/>
  <c r="O45" i="16" a="1"/>
  <c r="Q10" i="13" a="1"/>
  <c r="P23" i="16" a="1"/>
  <c r="N35" i="13" a="1"/>
  <c r="O61" i="16" a="1"/>
  <c r="L38" i="13" a="1"/>
  <c r="L15" i="16" a="1"/>
  <c r="O39" i="13" a="1"/>
  <c r="M70" i="16" a="1"/>
  <c r="L59" i="16" a="1"/>
  <c r="Q30" i="13" a="1"/>
  <c r="H12" i="20" a="1"/>
  <c r="R20" i="16" a="1"/>
  <c r="H17" i="20" a="1"/>
  <c r="M19" i="16" a="1"/>
  <c r="J11" i="24" a="1"/>
  <c r="N67" i="16" a="1"/>
  <c r="L52" i="13" a="1"/>
  <c r="J24" i="20" a="1"/>
  <c r="M49" i="13" a="1"/>
  <c r="Q12" i="13" a="1"/>
  <c r="L35" i="16" a="1"/>
  <c r="Q69" i="16" a="1"/>
  <c r="L24" i="16" a="1"/>
  <c r="P30" i="16" a="1"/>
  <c r="Q52" i="16" a="1"/>
  <c r="H11" i="24" a="1"/>
  <c r="R53" i="16" a="1"/>
  <c r="L64" i="16" a="1"/>
  <c r="N25" i="16" a="1"/>
  <c r="H42" i="20" a="1"/>
  <c r="R73" i="16" a="1"/>
  <c r="M38" i="16" a="1"/>
  <c r="P69" i="16" a="1"/>
  <c r="G27" i="22" a="1"/>
  <c r="N57" i="16" a="1"/>
  <c r="P53" i="16" a="1"/>
  <c r="R53" i="13" a="1"/>
  <c r="O46" i="16" a="1"/>
  <c r="L30" i="16" a="1"/>
  <c r="Q74" i="16" a="1"/>
  <c r="R34" i="16" a="1"/>
  <c r="J14" i="20" a="1"/>
  <c r="M44" i="13" a="1"/>
  <c r="M31" i="13" a="1"/>
  <c r="M69" i="16" a="1"/>
  <c r="O35" i="16" a="1"/>
  <c r="G46" i="22" a="1"/>
  <c r="P49" i="16" a="1"/>
  <c r="O56" i="13" a="1"/>
  <c r="H12" i="24" a="1"/>
  <c r="G36" i="22" a="1"/>
  <c r="M62" i="16" a="1"/>
  <c r="G44" i="22" a="1"/>
  <c r="O25" i="16" a="1"/>
  <c r="G53" i="22" a="1"/>
  <c r="G35" i="26" a="1"/>
  <c r="N50" i="13" a="1"/>
  <c r="N12" i="16" a="1"/>
  <c r="R54" i="16" a="1"/>
  <c r="R27" i="16" a="1"/>
  <c r="I13" i="20" a="1"/>
  <c r="M48" i="13" a="1"/>
  <c r="H20" i="20" a="1"/>
  <c r="O45" i="13" a="1"/>
  <c r="O10" i="13" a="1"/>
  <c r="M41" i="16" a="1"/>
  <c r="L25" i="13" a="1"/>
  <c r="R43" i="13" a="1"/>
  <c r="R37" i="16" a="1"/>
  <c r="N27" i="16" a="1"/>
  <c r="H29" i="20" a="1"/>
  <c r="Q8" i="13" a="1"/>
  <c r="P32" i="16" a="1"/>
  <c r="R13" i="16" a="1"/>
  <c r="H12" i="22" a="1"/>
  <c r="H25" i="22" a="1"/>
  <c r="N42" i="16" a="1"/>
  <c r="R30" i="16" a="1"/>
  <c r="R44" i="13" a="1"/>
  <c r="M26" i="16" a="1"/>
  <c r="H28" i="20" a="1"/>
  <c r="O8" i="16" a="1"/>
  <c r="I43" i="20" a="1"/>
  <c r="M54" i="16" a="1"/>
  <c r="Q70" i="16" a="1"/>
  <c r="R11" i="16" a="1"/>
  <c r="N48" i="13" a="1"/>
  <c r="P49" i="13" a="1"/>
  <c r="G17" i="26" a="1"/>
  <c r="N49" i="16" a="1"/>
  <c r="R9" i="16" a="1"/>
  <c r="R64" i="16" a="1"/>
  <c r="L27" i="13" a="1"/>
  <c r="O28" i="13" a="1"/>
  <c r="H14" i="24" a="1"/>
  <c r="J31" i="20" a="1"/>
  <c r="N72" i="16" a="1"/>
  <c r="H9" i="22" a="1"/>
  <c r="N68" i="16" a="1"/>
  <c r="M66" i="16" a="1"/>
  <c r="I33" i="20" a="1"/>
  <c r="H41" i="22" a="1"/>
  <c r="L20" i="16" a="1"/>
  <c r="N40" i="13" a="1"/>
  <c r="L46" i="13" a="1"/>
  <c r="R36" i="13" a="1"/>
  <c r="O47" i="16" a="1"/>
  <c r="G20" i="26" a="1"/>
  <c r="N45" i="16" a="1"/>
  <c r="M25" i="13" a="1"/>
  <c r="I7" i="12" a="1"/>
  <c r="H16" i="22" a="1"/>
  <c r="M10" i="16" a="1"/>
  <c r="H15" i="22" a="1"/>
  <c r="Q60" i="16" a="1"/>
  <c r="O36" i="13" a="1"/>
  <c r="G21" i="26" a="1"/>
  <c r="M56" i="13" a="1"/>
  <c r="M63" i="16" a="1"/>
  <c r="P43" i="16" a="1"/>
  <c r="L37" i="13" a="1"/>
  <c r="H43" i="20" a="1"/>
  <c r="P59" i="16" a="1"/>
  <c r="L23" i="13" a="1"/>
  <c r="H26" i="20" a="1"/>
  <c r="G41" i="22" a="1"/>
  <c r="O15" i="13" a="1"/>
  <c r="L19" i="16" a="1"/>
  <c r="N15" i="13" a="1"/>
  <c r="J10" i="24" a="1"/>
  <c r="H21" i="22" a="1"/>
  <c r="R33" i="13" a="1"/>
  <c r="L16" i="13" a="1"/>
  <c r="J43" i="20" a="1"/>
  <c r="L58" i="16" a="1"/>
  <c r="P42" i="16" a="1"/>
  <c r="I44" i="20" a="1"/>
  <c r="G19" i="22" a="1"/>
  <c r="N8" i="13" a="1"/>
  <c r="J30" i="20" a="1"/>
  <c r="L16" i="16" a="1"/>
  <c r="N15" i="16" a="1"/>
  <c r="O6" i="13" a="1"/>
  <c r="Q20" i="13" a="1"/>
  <c r="N74" i="16" a="1"/>
  <c r="H24" i="22" a="1"/>
  <c r="G24" i="22" a="1"/>
  <c r="R19" i="16" a="1"/>
  <c r="O57" i="16" a="1"/>
  <c r="O43" i="13" a="1"/>
  <c r="J11" i="20" a="1"/>
  <c r="H21" i="20" a="1"/>
  <c r="O42" i="13" a="1"/>
  <c r="P52" i="16" a="1"/>
  <c r="R28" i="16" a="1"/>
  <c r="M32" i="13" a="1"/>
  <c r="I23" i="20" a="1"/>
  <c r="P71" i="16" a="1"/>
  <c r="G40" i="22" a="1"/>
  <c r="O56" i="16" a="1"/>
  <c r="M68" i="16" a="1"/>
  <c r="H27" i="22" a="1"/>
  <c r="M9" i="13" a="1"/>
  <c r="I26" i="20" a="1"/>
  <c r="M35" i="16" a="1"/>
  <c r="M16" i="16" a="1"/>
  <c r="L12" i="12" a="1"/>
  <c r="H37" i="22" a="1"/>
  <c r="G51" i="22" a="1"/>
  <c r="N14" i="13" a="1"/>
  <c r="R46" i="13" a="1"/>
  <c r="O44" i="13" a="1"/>
  <c r="M29" i="16" a="1"/>
  <c r="M20" i="13" a="1"/>
  <c r="L40" i="13" a="1"/>
  <c r="L14" i="12" a="1"/>
  <c r="O43" i="16" a="1"/>
  <c r="I19" i="20" a="1"/>
  <c r="I30" i="20" a="1"/>
  <c r="I17" i="20" a="1"/>
  <c r="L28" i="13" a="1"/>
  <c r="R74" i="16" a="1"/>
  <c r="H8" i="22" a="1"/>
  <c r="N17" i="13" a="1"/>
  <c r="P33" i="13" a="1"/>
  <c r="P47" i="13" a="1"/>
  <c r="L53" i="16" a="1"/>
  <c r="R33" i="16" a="1"/>
  <c r="R28" i="13" a="1"/>
  <c r="R49" i="16" a="1"/>
  <c r="N36" i="13" a="1"/>
  <c r="N18" i="16" a="1"/>
  <c r="G21" i="22" a="1"/>
  <c r="L41" i="16" a="1"/>
  <c r="N45" i="13" a="1"/>
  <c r="R24" i="16" a="1"/>
  <c r="P18" i="16" a="1"/>
  <c r="M46" i="13" a="1"/>
  <c r="P10" i="13" a="1"/>
  <c r="Q23" i="16" a="1"/>
  <c r="L53" i="13" a="1"/>
  <c r="M53" i="16" a="1"/>
  <c r="R59" i="13" a="1"/>
  <c r="L10" i="13" a="1"/>
  <c r="Q75" i="16" a="1"/>
  <c r="R69" i="16" a="1"/>
  <c r="I18" i="20" a="1"/>
  <c r="M17" i="13" a="1"/>
  <c r="R9" i="13" a="1"/>
  <c r="H23" i="20" a="1"/>
  <c r="P24" i="16" a="1"/>
  <c r="L33" i="16" a="1"/>
  <c r="O20" i="13" a="1"/>
  <c r="N46" i="16" a="1"/>
  <c r="P6" i="13" a="1"/>
  <c r="N40" i="16" a="1"/>
  <c r="H42" i="22" a="1"/>
  <c r="H30" i="22" a="1"/>
  <c r="K8" i="12" a="1"/>
  <c r="L34" i="16" a="1"/>
  <c r="O22" i="13" a="1"/>
  <c r="L43" i="13" a="1"/>
  <c r="N75" i="16" a="1"/>
  <c r="N41" i="16" a="1"/>
  <c r="L17" i="16" a="1"/>
  <c r="R55" i="13" a="1"/>
  <c r="K10" i="12" a="1"/>
  <c r="R14" i="13" a="1"/>
  <c r="H45" i="22" a="1"/>
  <c r="L9" i="13" a="1"/>
  <c r="R18" i="13" a="1"/>
  <c r="O53" i="16" a="1"/>
  <c r="L54" i="13" a="1"/>
  <c r="O29" i="13" a="1"/>
  <c r="P21" i="16" a="1"/>
  <c r="N9" i="13" a="1"/>
  <c r="L34" i="13" a="1"/>
  <c r="L7" i="13" a="1"/>
  <c r="O10" i="16" a="1"/>
  <c r="N48" i="16" a="1"/>
  <c r="M50" i="16" a="1"/>
  <c r="I45" i="20" a="1"/>
  <c r="R8" i="13" a="1"/>
  <c r="L42" i="16" a="1"/>
  <c r="M52" i="13" a="1"/>
  <c r="J28" i="20" a="1"/>
  <c r="M49" i="16" a="1"/>
  <c r="R48" i="13" a="1"/>
  <c r="N70" i="16" a="1"/>
  <c r="O72" i="16" a="1"/>
  <c r="M26" i="13" a="1"/>
  <c r="M57" i="16" a="1"/>
  <c r="M43" i="13" a="1"/>
  <c r="L49" i="13" a="1"/>
  <c r="L19" i="13" a="1"/>
  <c r="R10" i="13" a="1"/>
  <c r="P46" i="13" a="1"/>
  <c r="R52" i="16" a="1"/>
  <c r="P26" i="13" a="1"/>
  <c r="L8" i="13" a="1"/>
  <c r="J10" i="12" a="1"/>
  <c r="L9" i="12" a="1"/>
  <c r="Q36" i="13" a="1"/>
  <c r="L21" i="13" a="1"/>
  <c r="H26" i="22" a="1"/>
  <c r="I14" i="24" a="1"/>
  <c r="L23" i="16" a="1"/>
  <c r="N69" i="16" a="1"/>
  <c r="P51" i="13" a="1"/>
  <c r="O54" i="13" a="1"/>
  <c r="R27" i="13" a="1"/>
  <c r="Q18" i="13" a="1"/>
  <c r="O37" i="16" a="1"/>
  <c r="O71" i="16" a="1"/>
  <c r="L55" i="13" a="1"/>
  <c r="N59" i="16" a="1"/>
  <c r="O11" i="13" a="1"/>
  <c r="L25" i="16" a="1"/>
  <c r="R36" i="16" a="1"/>
  <c r="N24" i="16" a="1"/>
  <c r="R40" i="16" a="1"/>
  <c r="Q37" i="16" a="1"/>
  <c r="O15" i="16" a="1"/>
  <c r="P16" i="13" a="1"/>
  <c r="Q61" i="16" a="1"/>
  <c r="Q7" i="13" a="1"/>
  <c r="I14" i="20" a="1"/>
  <c r="M73" i="16" a="1"/>
  <c r="I12" i="12" a="1"/>
  <c r="R56" i="13" a="1"/>
  <c r="H54" i="22" a="1"/>
  <c r="J19" i="20" a="1"/>
  <c r="J7" i="12" a="1"/>
  <c r="P38" i="16" a="1"/>
  <c r="Q38" i="13" a="1"/>
  <c r="O38" i="13" a="1"/>
  <c r="Q37" i="13" a="1"/>
  <c r="H53" i="22" a="1"/>
  <c r="N33" i="16" a="1"/>
  <c r="M36" i="16" a="1"/>
  <c r="N52" i="16" a="1"/>
  <c r="R32" i="16" a="1"/>
  <c r="R47" i="16" a="1"/>
  <c r="H43" i="22" a="1"/>
  <c r="H16" i="20" a="1"/>
  <c r="Q8" i="16" a="1"/>
  <c r="N23" i="16" a="1"/>
  <c r="M34" i="13" a="1"/>
  <c r="O74" i="16" a="1"/>
  <c r="P41" i="13" a="1"/>
  <c r="N50" i="16" a="1"/>
  <c r="L68" i="16" a="1"/>
  <c r="G29" i="22" a="1"/>
  <c r="Q22" i="16" a="1"/>
  <c r="Q28" i="16" a="1"/>
  <c r="J9" i="12" a="1"/>
  <c r="N11" i="13" a="1"/>
  <c r="M15" i="16" a="1"/>
  <c r="P39" i="16" a="1"/>
  <c r="I11" i="24" a="1"/>
  <c r="M38" i="13" a="1"/>
  <c r="L36" i="16" a="1"/>
  <c r="M27" i="16" a="1"/>
  <c r="N38" i="16" a="1"/>
  <c r="G30" i="26" a="1"/>
  <c r="I32" i="20" a="1"/>
  <c r="M47" i="13" a="1"/>
  <c r="H31" i="20" a="1"/>
  <c r="P36" i="16" a="1"/>
  <c r="G18" i="26" a="1"/>
  <c r="Q27" i="13" a="1"/>
  <c r="L39" i="13" a="1"/>
  <c r="L43" i="16" a="1"/>
  <c r="Q29" i="13" a="1"/>
  <c r="R59" i="16" a="1"/>
  <c r="M24" i="13" a="1"/>
  <c r="L27" i="16" a="1"/>
  <c r="R23" i="16" a="1"/>
  <c r="Q34" i="13" a="1"/>
  <c r="M25" i="16" a="1"/>
  <c r="M39" i="16" a="1"/>
  <c r="P17" i="13" a="1"/>
  <c r="Q13" i="16" a="1"/>
  <c r="P52" i="13" a="1"/>
  <c r="K14" i="12" a="1"/>
  <c r="R7" i="13" a="1"/>
  <c r="M39" i="13" a="1"/>
  <c r="N37" i="16" a="1"/>
  <c r="O67" i="16" a="1"/>
  <c r="P14" i="13" a="1"/>
  <c r="Q10" i="16" a="1"/>
  <c r="P7" i="13" a="1"/>
  <c r="Q9" i="13" a="1"/>
  <c r="R40" i="13" a="1"/>
  <c r="I8" i="24" a="1"/>
  <c r="J8" i="12" a="1"/>
  <c r="R51" i="13" a="1"/>
  <c r="P35" i="13" a="1"/>
  <c r="I8" i="20" a="1"/>
  <c r="R23" i="13" a="1"/>
  <c r="Q14" i="16" a="1"/>
  <c r="R70" i="16" a="1"/>
  <c r="P44" i="13" a="1"/>
  <c r="G31" i="22" a="1"/>
  <c r="G32" i="26" a="1"/>
  <c r="J32" i="20" a="1"/>
  <c r="M9" i="16" a="1"/>
  <c r="N52" i="13" a="1"/>
  <c r="I9" i="24" a="1"/>
  <c r="I11" i="12" a="1"/>
  <c r="Q57" i="16" a="1"/>
  <c r="N16" i="16" a="1"/>
  <c r="I35" i="20" a="1"/>
  <c r="L36" i="13" a="1"/>
  <c r="Q43" i="13" a="1"/>
  <c r="G22" i="22" a="1"/>
  <c r="O48" i="13" a="1"/>
  <c r="R37" i="13" a="1"/>
  <c r="L60" i="16" a="1"/>
  <c r="R68" i="16" a="1"/>
  <c r="L31" i="13" a="1"/>
  <c r="M18" i="13" a="1"/>
  <c r="Q36" i="16" a="1"/>
  <c r="Q59" i="13" a="1"/>
  <c r="L14" i="16" a="1"/>
  <c r="N47" i="16" a="1"/>
  <c r="R16" i="16" a="1"/>
  <c r="G30" i="22" a="1"/>
  <c r="M32" i="16" a="1"/>
  <c r="I9" i="12" a="1"/>
  <c r="M60" i="16" a="1"/>
  <c r="R39" i="13" a="1"/>
  <c r="R26" i="16" a="1"/>
  <c r="H13" i="22" a="1"/>
  <c r="L45" i="16" a="1"/>
  <c r="O48" i="16" a="1"/>
  <c r="Q54" i="16" a="1"/>
  <c r="I21" i="20" a="1"/>
  <c r="Q22" i="13" a="1"/>
  <c r="H9" i="24" a="1"/>
  <c r="R45" i="16" a="1"/>
  <c r="P57" i="13" a="1"/>
  <c r="P55" i="16" a="1"/>
  <c r="H48" i="22" a="1"/>
  <c r="J33" i="20" a="1"/>
  <c r="Q71" i="16" a="1"/>
  <c r="P35" i="16" a="1"/>
  <c r="Q48" i="13" a="1"/>
  <c r="M19" i="13" a="1"/>
  <c r="M35" i="13" a="1"/>
  <c r="R62" i="16" a="1"/>
  <c r="N58" i="13" a="1"/>
  <c r="N29" i="13" a="1"/>
  <c r="R43" i="16" a="1"/>
  <c r="H52" i="22" a="1"/>
  <c r="R22" i="16" a="1"/>
  <c r="P10" i="16" a="1"/>
  <c r="L72" i="16" a="1"/>
  <c r="O44" i="16" a="1"/>
  <c r="R24" i="13" a="1"/>
  <c r="O59" i="13" a="1"/>
  <c r="J25" i="20" a="1"/>
  <c r="P68" i="16" a="1"/>
  <c r="Q25" i="16" a="1"/>
  <c r="H7" i="20" a="1"/>
  <c r="Q42" i="13" a="1"/>
  <c r="L67" i="16" a="1"/>
  <c r="P42" i="13" a="1"/>
  <c r="O18" i="16" a="1"/>
  <c r="Q27" i="16" a="1"/>
  <c r="Q32" i="13" a="1"/>
  <c r="Q52" i="13" a="1"/>
  <c r="P8" i="16" a="1"/>
  <c r="L11" i="16" a="1"/>
  <c r="G11" i="22" a="1"/>
  <c r="H22" i="20" a="1"/>
  <c r="Q33" i="16" a="1"/>
  <c r="N20" i="16" a="1"/>
  <c r="P21" i="13" a="1"/>
  <c r="L39" i="16" a="1"/>
  <c r="O42" i="16" a="1"/>
  <c r="L55" i="16" a="1"/>
  <c r="R35" i="13" a="1"/>
  <c r="N16" i="13" a="1"/>
  <c r="L61" i="16" a="1"/>
  <c r="O58" i="13" a="1"/>
  <c r="I13" i="24" a="1"/>
  <c r="H44" i="22" a="1"/>
  <c r="M74" i="16" a="1"/>
  <c r="H34" i="20" a="1"/>
  <c r="Q34" i="16" a="1"/>
  <c r="M55" i="13" a="1"/>
  <c r="K12" i="12" a="1"/>
  <c r="N53" i="16" a="1"/>
  <c r="N24" i="13" a="1"/>
  <c r="M11" i="16" a="1"/>
  <c r="I25" i="20" a="1"/>
  <c r="M65" i="16" a="1"/>
  <c r="H17" i="22" a="1"/>
  <c r="P31" i="13" a="1"/>
  <c r="N43" i="13" a="1"/>
  <c r="P48" i="13" a="1"/>
  <c r="M51" i="13" a="1"/>
  <c r="L37" i="16" a="1"/>
  <c r="H40" i="22" a="1"/>
  <c r="Q44" i="16" a="1"/>
  <c r="L48" i="16" a="1"/>
  <c r="P37" i="16" a="1"/>
  <c r="O41" i="16" a="1"/>
  <c r="P53" i="13" a="1"/>
  <c r="N34" i="13" a="1"/>
  <c r="H11" i="20" a="1"/>
  <c r="G52" i="22" a="1"/>
  <c r="M30" i="13" a="1"/>
  <c r="O12" i="13" a="1"/>
  <c r="Q53" i="16" a="1"/>
  <c r="N7" i="13" a="1"/>
  <c r="R42" i="16" a="1"/>
  <c r="J12" i="24" a="1"/>
  <c r="K7" i="12" a="1"/>
  <c r="R32" i="13" a="1"/>
  <c r="Q54" i="13" a="1"/>
  <c r="O63" i="16" a="1"/>
  <c r="O13" i="13" a="1"/>
  <c r="O59" i="16" a="1"/>
  <c r="Q45" i="16" a="1"/>
  <c r="L10" i="12" a="1"/>
  <c r="P14" i="16" a="1"/>
  <c r="M13" i="13" a="1"/>
  <c r="O57" i="13" a="1"/>
  <c r="J18" i="20" a="1"/>
  <c r="Q21" i="16" a="1"/>
  <c r="K11" i="12" a="1"/>
  <c r="N47" i="13" a="1"/>
  <c r="M12" i="13" a="1"/>
  <c r="G48" i="22" a="1"/>
  <c r="P24" i="13" a="1"/>
  <c r="O33" i="16" a="1"/>
  <c r="P57" i="16" a="1"/>
  <c r="H8" i="20" a="1"/>
  <c r="O14" i="16" a="1"/>
  <c r="P36" i="13" a="1"/>
  <c r="Q16" i="13" a="1"/>
  <c r="Q51" i="16" a="1"/>
  <c r="L58" i="13" a="1"/>
  <c r="I11" i="20" a="1"/>
  <c r="K9" i="12" a="1"/>
  <c r="Q40" i="16" a="1"/>
  <c r="O33" i="13" a="1"/>
  <c r="L49" i="16" a="1"/>
  <c r="R63" i="16" a="1"/>
  <c r="R8" i="16" a="1"/>
  <c r="O46" i="13" a="1"/>
  <c r="P23" i="13" a="1"/>
  <c r="Q13" i="13" a="1"/>
  <c r="Q49" i="16" a="1"/>
  <c r="L50" i="13" a="1"/>
  <c r="N42" i="13" a="1"/>
  <c r="O30" i="13" a="1"/>
  <c r="J21" i="20" a="1"/>
  <c r="G37" i="22" a="1"/>
  <c r="H13" i="20" a="1"/>
  <c r="L7" i="16" a="1"/>
  <c r="P63" i="16" a="1"/>
  <c r="Q35" i="16" a="1"/>
  <c r="P18" i="13" a="1"/>
  <c r="R50" i="13" a="1"/>
  <c r="P55" i="13" a="1"/>
  <c r="L59" i="13" a="1"/>
  <c r="O38" i="16" a="1"/>
  <c r="M10" i="13" a="1"/>
  <c r="P31" i="16" a="1"/>
  <c r="L48" i="13" a="1"/>
  <c r="N53" i="13" a="1"/>
  <c r="G37" i="26" a="1"/>
  <c r="O40" i="16" a="1"/>
  <c r="P8" i="13" a="1"/>
  <c r="O29" i="16" a="1"/>
  <c r="P70" i="16" a="1"/>
  <c r="M42" i="16" a="1"/>
  <c r="R57" i="16" a="1"/>
  <c r="G50" i="22" a="1"/>
  <c r="Q41" i="16" a="1"/>
  <c r="O19" i="13" a="1"/>
  <c r="G34" i="22" a="1"/>
  <c r="G20" i="22" a="1"/>
  <c r="R14" i="16" a="1"/>
  <c r="N27" i="13" a="1"/>
  <c r="P16" i="16" a="1"/>
  <c r="Q38" i="16" a="1"/>
  <c r="R34" i="13" a="1"/>
  <c r="I31" i="20" a="1"/>
  <c r="Q26" i="16" a="1"/>
  <c r="L13" i="16" a="1"/>
  <c r="N63" i="16" a="1"/>
  <c r="L12" i="16" a="1"/>
  <c r="R16" i="13" a="1"/>
  <c r="P43" i="13" a="1"/>
  <c r="P20" i="16" a="1"/>
  <c r="O28" i="16" a="1"/>
  <c r="R71" i="16" a="1"/>
  <c r="Q29" i="16" a="1"/>
  <c r="L9" i="16" a="1"/>
  <c r="N10" i="13" a="1"/>
  <c r="N26" i="16" a="1"/>
  <c r="J13" i="20" a="1"/>
  <c r="R31" i="16" a="1"/>
  <c r="O75" i="16" a="1"/>
  <c r="J42" i="20" a="1"/>
  <c r="H18" i="20" a="1"/>
  <c r="Q15" i="13" a="1"/>
  <c r="O50" i="13" a="1"/>
  <c r="M16" i="13" a="1"/>
  <c r="P11" i="13" a="1"/>
  <c r="N37" i="13" a="1"/>
  <c r="L33" i="13" a="1"/>
  <c r="Q40" i="13" a="1"/>
  <c r="P44" i="16" a="1"/>
  <c r="R15" i="13" a="1"/>
  <c r="M59" i="13" a="1"/>
  <c r="O13" i="16" a="1"/>
  <c r="L7" i="12" a="1"/>
  <c r="N13" i="13" a="1"/>
  <c r="M14" i="16" a="1"/>
  <c r="R41" i="16" a="1"/>
  <c r="Q56" i="13" a="1"/>
  <c r="G31" i="26" a="1"/>
  <c r="I14" i="12" a="1"/>
  <c r="I12" i="20" a="1"/>
  <c r="J22" i="20" a="1"/>
  <c r="L29" i="16" a="1"/>
  <c r="H36" i="22" a="1"/>
  <c r="M55" i="16" a="1"/>
  <c r="M51" i="16" a="1"/>
  <c r="Q19" i="13" a="1"/>
  <c r="P19" i="16" a="1"/>
  <c r="L14" i="13" a="1"/>
  <c r="Q26" i="13" a="1"/>
  <c r="R7" i="16" a="1"/>
  <c r="M30" i="16" a="1"/>
  <c r="O9" i="13" a="1"/>
  <c r="M13" i="16" a="1"/>
  <c r="G14" i="22" a="1"/>
  <c r="N56" i="13" a="1"/>
  <c r="N19" i="13" a="1"/>
  <c r="O34" i="13" a="1"/>
  <c r="R11" i="13" a="1"/>
  <c r="N29" i="16" a="1"/>
  <c r="R6" i="13" a="1"/>
  <c r="H34" i="22" a="1"/>
  <c r="Q14" i="13" a="1"/>
  <c r="L54" i="16" a="1"/>
  <c r="P46" i="16" a="1"/>
  <c r="P13" i="13" a="1"/>
  <c r="N41" i="13" a="1"/>
  <c r="P75" i="16" a="1"/>
  <c r="O39" i="16" a="1"/>
  <c r="O24" i="16" a="1"/>
  <c r="R52" i="13" a="1"/>
  <c r="Q7" i="16" a="1"/>
  <c r="H25" i="20" a="1"/>
  <c r="G8" i="22" a="1"/>
  <c r="I7" i="20" a="1"/>
  <c r="N54" i="16" a="1"/>
  <c r="M8" i="13" a="1"/>
  <c r="O7" i="16" a="1"/>
  <c r="L56" i="13" a="1"/>
  <c r="N28" i="13" a="1"/>
  <c r="I29" i="20" a="1"/>
  <c r="Q31" i="16" a="1"/>
  <c r="Q41" i="13" a="1"/>
  <c r="M57" i="13" a="1"/>
  <c r="H15" i="20" a="1"/>
  <c r="M36" i="13" a="1"/>
  <c r="M29" i="13" a="1"/>
  <c r="J7" i="20" a="1"/>
  <c r="L20" i="13" a="1"/>
  <c r="O21" i="13" a="1"/>
  <c r="H14" i="20" a="1"/>
  <c r="P66" i="16" a="1"/>
  <c r="Q31" i="13" a="1"/>
  <c r="P47" i="16" a="1"/>
  <c r="R25" i="16" a="1"/>
  <c r="I24" i="20" a="1"/>
  <c r="Q49" i="13" a="1"/>
  <c r="M15" i="13" a="1"/>
  <c r="G27" i="26" a="1"/>
  <c r="R29" i="16" a="1"/>
  <c r="H24" i="20" a="1"/>
  <c r="R41" i="13" a="1"/>
  <c r="L17" i="13" a="1"/>
  <c r="O51" i="13" a="1"/>
  <c r="P15" i="13" a="1"/>
  <c r="G33" i="22" a="1"/>
  <c r="H50" i="22" a="1"/>
  <c r="N19" i="16" a="1"/>
  <c r="O16" i="13" a="1"/>
  <c r="Q6" i="13" a="1"/>
  <c r="I42" i="20" a="1"/>
  <c r="M54" i="13" a="1"/>
  <c r="N36" i="16" a="1"/>
  <c r="P27" i="13" a="1"/>
  <c r="O47" i="13" a="1"/>
  <c r="N18" i="13" a="1"/>
  <c r="L71" i="16" a="1"/>
  <c r="M6" i="13" a="1"/>
  <c r="Q50" i="16" a="1"/>
  <c r="R20" i="13" a="1"/>
  <c r="I27" i="20" a="1"/>
  <c r="L35" i="13" a="1"/>
  <c r="Q50" i="13" a="1"/>
  <c r="P19" i="13" a="1"/>
  <c r="O34" i="16" a="1"/>
  <c r="N21" i="13" a="1"/>
  <c r="R47" i="13" a="1"/>
  <c r="M50" i="13" a="1"/>
  <c r="N66" i="16" a="1"/>
  <c r="P39" i="13" a="1"/>
  <c r="P20" i="13" a="1"/>
  <c r="R31" i="13" a="1"/>
  <c r="O17" i="16" a="1"/>
  <c r="Q25" i="13" a="1"/>
  <c r="I10" i="24" a="1"/>
  <c r="P25" i="13" a="1"/>
  <c r="Q67" i="16" a="1"/>
  <c r="O19" i="16" a="1"/>
  <c r="Q17" i="13" a="1"/>
  <c r="H20" i="22" a="1"/>
  <c r="N12" i="13" a="1"/>
  <c r="R29" i="13" a="1"/>
  <c r="R17" i="13" a="1"/>
  <c r="L6" i="13" a="1"/>
  <c r="L28" i="16" a="1"/>
  <c r="O21" i="16" a="1"/>
  <c r="L21" i="16" a="1"/>
  <c r="J34" i="20" a="1"/>
  <c r="M43" i="16" a="1"/>
  <c r="G23" i="22" a="1"/>
  <c r="L42" i="13" a="1"/>
  <c r="I16" i="20" a="1"/>
  <c r="O7" i="13" a="1"/>
  <c r="Q11" i="16" a="1"/>
  <c r="L11" i="12" a="1"/>
  <c r="Q59" i="16" a="1"/>
  <c r="P58" i="13" a="1"/>
  <c r="L22" i="13" a="1"/>
  <c r="Q35" i="13" a="1"/>
  <c r="M58" i="13" a="1"/>
  <c r="L73" i="16" a="1"/>
  <c r="G39" i="22" a="1"/>
  <c r="N20" i="13" a="1"/>
  <c r="N51" i="16" a="1"/>
  <c r="G13" i="26" a="1"/>
  <c r="J13" i="24" a="1"/>
  <c r="N26" i="13" a="1"/>
  <c r="H10" i="20" a="1"/>
  <c r="Q68" i="16" a="1"/>
  <c r="L74" i="16" a="1"/>
  <c r="L32" i="13" a="1"/>
  <c r="M53" i="13" a="1"/>
  <c r="L51" i="13" a="1"/>
  <c r="Q24" i="13" a="1"/>
  <c r="L47" i="16" a="1"/>
  <c r="L18" i="16" a="1"/>
  <c r="N25" i="13" a="1"/>
  <c r="J16" i="20" a="1"/>
  <c r="M67" i="16" a="1"/>
  <c r="J12" i="12" a="1"/>
  <c r="H31" i="22" a="1"/>
  <c r="O32" i="13" a="1"/>
  <c r="H19" i="22" a="1"/>
  <c r="J11" i="12" a="1"/>
  <c r="N44" i="13" a="1"/>
  <c r="M33" i="13" a="1"/>
  <c r="N22" i="13" a="1"/>
  <c r="P12" i="13" a="1"/>
  <c r="N6" i="13" a="1"/>
  <c r="N32" i="16" a="1"/>
  <c r="O52" i="13" a="1"/>
  <c r="N8" i="16" a="1"/>
  <c r="O8" i="13" a="1"/>
  <c r="L18" i="13" a="1"/>
  <c r="J8" i="24" a="1"/>
  <c r="H30" i="20" a="1"/>
  <c r="O35" i="13" a="1"/>
  <c r="O73" i="16" a="1"/>
  <c r="O40" i="13" a="1"/>
  <c r="G16" i="22" a="1"/>
  <c r="R12" i="13" a="1"/>
  <c r="N60" i="16" a="1"/>
  <c r="O37" i="13" a="1"/>
  <c r="L50" i="16" a="1"/>
  <c r="I10" i="12" a="1"/>
  <c r="I20" i="20" a="1"/>
  <c r="Q72" i="16" a="1"/>
  <c r="M23" i="13" a="1"/>
  <c r="R30" i="13" a="1"/>
  <c r="H14" i="22" a="1"/>
  <c r="H49" i="22" a="1"/>
  <c r="H32" i="20" a="1"/>
  <c r="Q47" i="16" a="1"/>
  <c r="M52" i="16" a="1"/>
  <c r="P9" i="13" a="1"/>
  <c r="L13" i="12" a="1"/>
  <c r="R66" i="16" a="1"/>
  <c r="R66" i="16" l="1"/>
  <c r="I70" i="17" s="1"/>
  <c r="L13" i="12"/>
  <c r="F17" i="14" s="1"/>
  <c r="P9" i="13"/>
  <c r="G14" i="15" s="1"/>
  <c r="M52" i="16"/>
  <c r="D56" i="17" s="1"/>
  <c r="Q47" i="16"/>
  <c r="H51" i="17" s="1"/>
  <c r="H32" i="20"/>
  <c r="C36" i="21" s="1"/>
  <c r="H49" i="22"/>
  <c r="D52" i="23" s="1"/>
  <c r="H14" i="22"/>
  <c r="D17" i="23" s="1"/>
  <c r="R30" i="13"/>
  <c r="I35" i="15" s="1"/>
  <c r="M23" i="13"/>
  <c r="D28" i="15" s="1"/>
  <c r="Q72" i="16"/>
  <c r="H76" i="17" s="1"/>
  <c r="I20" i="20"/>
  <c r="D24" i="21" s="1"/>
  <c r="I10" i="12"/>
  <c r="C14" i="14" s="1"/>
  <c r="L50" i="16"/>
  <c r="C54" i="17" s="1"/>
  <c r="O37" i="13"/>
  <c r="F42" i="15" s="1"/>
  <c r="N60" i="16"/>
  <c r="E64" i="17" s="1"/>
  <c r="R12" i="13"/>
  <c r="I17" i="15" s="1"/>
  <c r="G16" i="22"/>
  <c r="C19" i="23" s="1"/>
  <c r="O40" i="13"/>
  <c r="F45" i="15" s="1"/>
  <c r="O73" i="16"/>
  <c r="F77" i="17" s="1"/>
  <c r="O35" i="13"/>
  <c r="F40" i="15" s="1"/>
  <c r="H30" i="20"/>
  <c r="C34" i="21" s="1"/>
  <c r="J8" i="24"/>
  <c r="E11" i="25" s="1"/>
  <c r="L18" i="13"/>
  <c r="C23" i="15" s="1"/>
  <c r="O8" i="13"/>
  <c r="F13" i="15" s="1"/>
  <c r="N8" i="16"/>
  <c r="E12" i="17" s="1"/>
  <c r="O52" i="13"/>
  <c r="F57" i="15" s="1"/>
  <c r="N32" i="16"/>
  <c r="E36" i="17" s="1"/>
  <c r="N6" i="13"/>
  <c r="E11" i="15" s="1"/>
  <c r="P12" i="13"/>
  <c r="G17" i="15" s="1"/>
  <c r="N22" i="13"/>
  <c r="E27" i="15" s="1"/>
  <c r="M33" i="13"/>
  <c r="D38" i="15" s="1"/>
  <c r="N44" i="13"/>
  <c r="E49" i="15" s="1"/>
  <c r="J11" i="12"/>
  <c r="D15" i="14" s="1"/>
  <c r="H19" i="22"/>
  <c r="D22" i="23" s="1"/>
  <c r="O32" i="13"/>
  <c r="F37" i="15" s="1"/>
  <c r="H31" i="22"/>
  <c r="D34" i="23" s="1"/>
  <c r="J12" i="12"/>
  <c r="D16" i="14" s="1"/>
  <c r="M67" i="16"/>
  <c r="D71" i="17" s="1"/>
  <c r="J16" i="20"/>
  <c r="E20" i="21" s="1"/>
  <c r="N25" i="13"/>
  <c r="E30" i="15" s="1"/>
  <c r="L18" i="16"/>
  <c r="C22" i="17" s="1"/>
  <c r="L47" i="16"/>
  <c r="C51" i="17" s="1"/>
  <c r="Q24" i="13"/>
  <c r="H29" i="15" s="1"/>
  <c r="L51" i="13"/>
  <c r="C56" i="15" s="1"/>
  <c r="M53" i="13"/>
  <c r="D58" i="15" s="1"/>
  <c r="L32" i="13"/>
  <c r="C37" i="15" s="1"/>
  <c r="L74" i="16"/>
  <c r="C78" i="17" s="1"/>
  <c r="Q68" i="16"/>
  <c r="H72" i="17" s="1"/>
  <c r="H10" i="20"/>
  <c r="C14" i="21" s="1"/>
  <c r="N26" i="13"/>
  <c r="E31" i="15" s="1"/>
  <c r="J13" i="24"/>
  <c r="E16" i="25" s="1"/>
  <c r="G13" i="26"/>
  <c r="D18" i="27" s="1"/>
  <c r="N51" i="16"/>
  <c r="E55" i="17" s="1"/>
  <c r="N20" i="13"/>
  <c r="E25" i="15" s="1"/>
  <c r="G39" i="22"/>
  <c r="C42" i="23" s="1"/>
  <c r="L73" i="16"/>
  <c r="C77" i="17" s="1"/>
  <c r="M58" i="13"/>
  <c r="D63" i="15" s="1"/>
  <c r="Q35" i="13"/>
  <c r="H40" i="15" s="1"/>
  <c r="L22" i="13"/>
  <c r="C27" i="15" s="1"/>
  <c r="P58" i="13"/>
  <c r="G63" i="15" s="1"/>
  <c r="Q59" i="16"/>
  <c r="H63" i="17" s="1"/>
  <c r="L11" i="12"/>
  <c r="F15" i="14" s="1"/>
  <c r="Q11" i="16"/>
  <c r="H15" i="17" s="1"/>
  <c r="O7" i="13"/>
  <c r="F12" i="15" s="1"/>
  <c r="I16" i="20"/>
  <c r="D20" i="21" s="1"/>
  <c r="L42" i="13"/>
  <c r="C47" i="15" s="1"/>
  <c r="G23" i="22"/>
  <c r="C26" i="23" s="1"/>
  <c r="M43" i="16"/>
  <c r="D47" i="17" s="1"/>
  <c r="J34" i="20"/>
  <c r="E38" i="21" s="1"/>
  <c r="L21" i="16"/>
  <c r="C25" i="17" s="1"/>
  <c r="O21" i="16"/>
  <c r="F25" i="17" s="1"/>
  <c r="L28" i="16"/>
  <c r="C32" i="17" s="1"/>
  <c r="L6" i="13"/>
  <c r="C11" i="15" s="1"/>
  <c r="R17" i="13"/>
  <c r="I22" i="15" s="1"/>
  <c r="R29" i="13"/>
  <c r="I34" i="15" s="1"/>
  <c r="N12" i="13"/>
  <c r="E17" i="15" s="1"/>
  <c r="H20" i="22"/>
  <c r="D23" i="23" s="1"/>
  <c r="Q17" i="13"/>
  <c r="H22" i="15" s="1"/>
  <c r="O19" i="16"/>
  <c r="F23" i="17" s="1"/>
  <c r="Q67" i="16"/>
  <c r="H71" i="17" s="1"/>
  <c r="P25" i="13"/>
  <c r="G30" i="15" s="1"/>
  <c r="I10" i="24"/>
  <c r="D13" i="25" s="1"/>
  <c r="Q25" i="13"/>
  <c r="H30" i="15" s="1"/>
  <c r="O17" i="16"/>
  <c r="F21" i="17" s="1"/>
  <c r="R31" i="13"/>
  <c r="I36" i="15" s="1"/>
  <c r="P20" i="13"/>
  <c r="G25" i="15" s="1"/>
  <c r="P39" i="13"/>
  <c r="G44" i="15" s="1"/>
  <c r="N66" i="16"/>
  <c r="E70" i="17" s="1"/>
  <c r="M50" i="13"/>
  <c r="D55" i="15" s="1"/>
  <c r="R47" i="13"/>
  <c r="I52" i="15" s="1"/>
  <c r="N21" i="13"/>
  <c r="E26" i="15" s="1"/>
  <c r="O34" i="16"/>
  <c r="F38" i="17" s="1"/>
  <c r="P19" i="13"/>
  <c r="G24" i="15" s="1"/>
  <c r="Q50" i="13"/>
  <c r="H55" i="15" s="1"/>
  <c r="L35" i="13"/>
  <c r="C40" i="15" s="1"/>
  <c r="I27" i="20"/>
  <c r="D31" i="21" s="1"/>
  <c r="R20" i="13"/>
  <c r="I25" i="15" s="1"/>
  <c r="Q50" i="16"/>
  <c r="H54" i="17" s="1"/>
  <c r="M6" i="13"/>
  <c r="D11" i="15" s="1"/>
  <c r="L71" i="16"/>
  <c r="C75" i="17" s="1"/>
  <c r="N18" i="13"/>
  <c r="E23" i="15" s="1"/>
  <c r="O47" i="13"/>
  <c r="F52" i="15" s="1"/>
  <c r="P27" i="13"/>
  <c r="G32" i="15" s="1"/>
  <c r="N36" i="16"/>
  <c r="E40" i="17" s="1"/>
  <c r="M54" i="13"/>
  <c r="D59" i="15" s="1"/>
  <c r="I42" i="20"/>
  <c r="D42" i="21" s="1"/>
  <c r="Q6" i="13"/>
  <c r="H11" i="15" s="1"/>
  <c r="O16" i="13"/>
  <c r="F21" i="15" s="1"/>
  <c r="N19" i="16"/>
  <c r="E23" i="17" s="1"/>
  <c r="H50" i="22"/>
  <c r="D53" i="23" s="1"/>
  <c r="G33" i="22"/>
  <c r="C36" i="23" s="1"/>
  <c r="P15" i="13"/>
  <c r="G20" i="15" s="1"/>
  <c r="O51" i="13"/>
  <c r="F56" i="15" s="1"/>
  <c r="L17" i="13"/>
  <c r="C22" i="15" s="1"/>
  <c r="R41" i="13"/>
  <c r="I46" i="15" s="1"/>
  <c r="H24" i="20"/>
  <c r="C28" i="21" s="1"/>
  <c r="R29" i="16"/>
  <c r="I33" i="17" s="1"/>
  <c r="G27" i="26"/>
  <c r="D29" i="27" s="1"/>
  <c r="M15" i="13"/>
  <c r="D20" i="15" s="1"/>
  <c r="Q49" i="13"/>
  <c r="H54" i="15" s="1"/>
  <c r="I24" i="20"/>
  <c r="D28" i="21" s="1"/>
  <c r="R25" i="16"/>
  <c r="I29" i="17" s="1"/>
  <c r="P47" i="16"/>
  <c r="G51" i="17" s="1"/>
  <c r="Q31" i="13"/>
  <c r="H36" i="15" s="1"/>
  <c r="P66" i="16"/>
  <c r="G70" i="17" s="1"/>
  <c r="H14" i="20"/>
  <c r="C18" i="21" s="1"/>
  <c r="O21" i="13"/>
  <c r="F26" i="15" s="1"/>
  <c r="L20" i="13"/>
  <c r="C25" i="15" s="1"/>
  <c r="J7" i="20"/>
  <c r="E11" i="21" s="1"/>
  <c r="M29" i="13"/>
  <c r="D34" i="15" s="1"/>
  <c r="M36" i="13"/>
  <c r="D41" i="15" s="1"/>
  <c r="H15" i="20"/>
  <c r="C19" i="21" s="1"/>
  <c r="M57" i="13"/>
  <c r="D62" i="15" s="1"/>
  <c r="Q41" i="13"/>
  <c r="H46" i="15" s="1"/>
  <c r="Q31" i="16"/>
  <c r="H35" i="17" s="1"/>
  <c r="I29" i="20"/>
  <c r="D33" i="21" s="1"/>
  <c r="N28" i="13"/>
  <c r="E33" i="15" s="1"/>
  <c r="L56" i="13"/>
  <c r="C61" i="15" s="1"/>
  <c r="O7" i="16"/>
  <c r="F11" i="17" s="1"/>
  <c r="M8" i="13"/>
  <c r="D13" i="15" s="1"/>
  <c r="N54" i="16"/>
  <c r="E58" i="17" s="1"/>
  <c r="I7" i="20"/>
  <c r="D11" i="21" s="1"/>
  <c r="G8" i="22"/>
  <c r="C11" i="23" s="1"/>
  <c r="H25" i="20"/>
  <c r="C29" i="21" s="1"/>
  <c r="Q7" i="16"/>
  <c r="H11" i="17" s="1"/>
  <c r="R52" i="13"/>
  <c r="I57" i="15" s="1"/>
  <c r="O24" i="16"/>
  <c r="F28" i="17" s="1"/>
  <c r="O39" i="16"/>
  <c r="F43" i="17" s="1"/>
  <c r="P75" i="16"/>
  <c r="G79" i="17" s="1"/>
  <c r="N41" i="13"/>
  <c r="E46" i="15" s="1"/>
  <c r="P13" i="13"/>
  <c r="G18" i="15" s="1"/>
  <c r="P46" i="16"/>
  <c r="G50" i="17" s="1"/>
  <c r="L54" i="16"/>
  <c r="C58" i="17" s="1"/>
  <c r="Q14" i="13"/>
  <c r="H19" i="15" s="1"/>
  <c r="H34" i="22"/>
  <c r="D37" i="23" s="1"/>
  <c r="R6" i="13"/>
  <c r="I11" i="15" s="1"/>
  <c r="N29" i="16"/>
  <c r="E33" i="17" s="1"/>
  <c r="R11" i="13"/>
  <c r="I16" i="15" s="1"/>
  <c r="O34" i="13"/>
  <c r="F39" i="15" s="1"/>
  <c r="N19" i="13"/>
  <c r="E24" i="15" s="1"/>
  <c r="N56" i="13"/>
  <c r="E61" i="15" s="1"/>
  <c r="G14" i="22"/>
  <c r="C17" i="23" s="1"/>
  <c r="M13" i="16"/>
  <c r="D17" i="17" s="1"/>
  <c r="O9" i="13"/>
  <c r="F14" i="15" s="1"/>
  <c r="M30" i="16"/>
  <c r="D34" i="17" s="1"/>
  <c r="R7" i="16"/>
  <c r="I11" i="17" s="1"/>
  <c r="Q26" i="13"/>
  <c r="H31" i="15" s="1"/>
  <c r="L14" i="13"/>
  <c r="C19" i="15" s="1"/>
  <c r="P19" i="16"/>
  <c r="G23" i="17" s="1"/>
  <c r="Q19" i="13"/>
  <c r="H24" i="15" s="1"/>
  <c r="M51" i="16"/>
  <c r="D55" i="17" s="1"/>
  <c r="M55" i="16"/>
  <c r="D59" i="17" s="1"/>
  <c r="H36" i="22"/>
  <c r="D39" i="23" s="1"/>
  <c r="L29" i="16"/>
  <c r="C33" i="17" s="1"/>
  <c r="J22" i="20"/>
  <c r="E26" i="21" s="1"/>
  <c r="I12" i="20"/>
  <c r="D16" i="21" s="1"/>
  <c r="I14" i="12"/>
  <c r="C18" i="14" s="1"/>
  <c r="G31" i="26"/>
  <c r="D34" i="27" s="1"/>
  <c r="Q56" i="13"/>
  <c r="H61" i="15" s="1"/>
  <c r="R41" i="16"/>
  <c r="I45" i="17" s="1"/>
  <c r="M14" i="16"/>
  <c r="D18" i="17" s="1"/>
  <c r="N13" i="13"/>
  <c r="E18" i="15" s="1"/>
  <c r="L7" i="12"/>
  <c r="F11" i="14" s="1"/>
  <c r="O13" i="16"/>
  <c r="F17" i="17" s="1"/>
  <c r="M59" i="13"/>
  <c r="R15" i="13"/>
  <c r="I20" i="15" s="1"/>
  <c r="P44" i="16"/>
  <c r="G48" i="17" s="1"/>
  <c r="Q40" i="13"/>
  <c r="H45" i="15" s="1"/>
  <c r="L33" i="13"/>
  <c r="C38" i="15" s="1"/>
  <c r="N37" i="13"/>
  <c r="E42" i="15" s="1"/>
  <c r="P11" i="13"/>
  <c r="G16" i="15" s="1"/>
  <c r="M16" i="13"/>
  <c r="D21" i="15" s="1"/>
  <c r="O50" i="13"/>
  <c r="F55" i="15" s="1"/>
  <c r="Q15" i="13"/>
  <c r="H20" i="15" s="1"/>
  <c r="H18" i="20"/>
  <c r="C22" i="21" s="1"/>
  <c r="J42" i="20"/>
  <c r="E42" i="21" s="1"/>
  <c r="O75" i="16"/>
  <c r="F79" i="17" s="1"/>
  <c r="R31" i="16"/>
  <c r="I35" i="17" s="1"/>
  <c r="J13" i="20"/>
  <c r="E17" i="21" s="1"/>
  <c r="N26" i="16"/>
  <c r="E30" i="17" s="1"/>
  <c r="N10" i="13"/>
  <c r="E15" i="15" s="1"/>
  <c r="L9" i="16"/>
  <c r="C13" i="17" s="1"/>
  <c r="Q29" i="16"/>
  <c r="H33" i="17" s="1"/>
  <c r="R71" i="16"/>
  <c r="I75" i="17" s="1"/>
  <c r="O28" i="16"/>
  <c r="F32" i="17" s="1"/>
  <c r="P20" i="16"/>
  <c r="G24" i="17" s="1"/>
  <c r="P43" i="13"/>
  <c r="G48" i="15" s="1"/>
  <c r="R16" i="13"/>
  <c r="I21" i="15" s="1"/>
  <c r="L12" i="16"/>
  <c r="C16" i="17" s="1"/>
  <c r="N63" i="16"/>
  <c r="E67" i="17" s="1"/>
  <c r="L13" i="16"/>
  <c r="C17" i="17" s="1"/>
  <c r="Q26" i="16"/>
  <c r="H30" i="17" s="1"/>
  <c r="I31" i="20"/>
  <c r="D35" i="21" s="1"/>
  <c r="R34" i="13"/>
  <c r="I39" i="15" s="1"/>
  <c r="Q38" i="16"/>
  <c r="H42" i="17" s="1"/>
  <c r="P16" i="16"/>
  <c r="G20" i="17" s="1"/>
  <c r="N27" i="13"/>
  <c r="E32" i="15" s="1"/>
  <c r="R14" i="16"/>
  <c r="I18" i="17" s="1"/>
  <c r="G20" i="22"/>
  <c r="C23" i="23" s="1"/>
  <c r="G34" i="22"/>
  <c r="C37" i="23" s="1"/>
  <c r="O19" i="13"/>
  <c r="F24" i="15" s="1"/>
  <c r="Q41" i="16"/>
  <c r="H45" i="17" s="1"/>
  <c r="G50" i="22"/>
  <c r="C53" i="23" s="1"/>
  <c r="R57" i="16"/>
  <c r="I61" i="17" s="1"/>
  <c r="M42" i="16"/>
  <c r="D46" i="17" s="1"/>
  <c r="P70" i="16"/>
  <c r="G74" i="17" s="1"/>
  <c r="O29" i="16"/>
  <c r="F33" i="17" s="1"/>
  <c r="P8" i="13"/>
  <c r="G13" i="15" s="1"/>
  <c r="O40" i="16"/>
  <c r="F44" i="17" s="1"/>
  <c r="G37" i="26"/>
  <c r="D42" i="27" s="1"/>
  <c r="N53" i="13"/>
  <c r="E58" i="15" s="1"/>
  <c r="L48" i="13"/>
  <c r="C53" i="15" s="1"/>
  <c r="P31" i="16"/>
  <c r="G35" i="17" s="1"/>
  <c r="M10" i="13"/>
  <c r="D15" i="15" s="1"/>
  <c r="O38" i="16"/>
  <c r="F42" i="17" s="1"/>
  <c r="L59" i="13"/>
  <c r="P55" i="13"/>
  <c r="G60" i="15" s="1"/>
  <c r="R50" i="13"/>
  <c r="I55" i="15" s="1"/>
  <c r="P18" i="13"/>
  <c r="G23" i="15" s="1"/>
  <c r="Q35" i="16"/>
  <c r="H39" i="17" s="1"/>
  <c r="P63" i="16"/>
  <c r="G67" i="17" s="1"/>
  <c r="L7" i="16"/>
  <c r="C11" i="17" s="1"/>
  <c r="H13" i="20"/>
  <c r="C17" i="21" s="1"/>
  <c r="G37" i="22"/>
  <c r="C40" i="23" s="1"/>
  <c r="J21" i="20"/>
  <c r="E25" i="21" s="1"/>
  <c r="O30" i="13"/>
  <c r="F35" i="15" s="1"/>
  <c r="N42" i="13"/>
  <c r="E47" i="15" s="1"/>
  <c r="L50" i="13"/>
  <c r="C55" i="15" s="1"/>
  <c r="Q49" i="16"/>
  <c r="H53" i="17" s="1"/>
  <c r="Q13" i="13"/>
  <c r="H18" i="15" s="1"/>
  <c r="P23" i="13"/>
  <c r="G28" i="15" s="1"/>
  <c r="O46" i="13"/>
  <c r="F51" i="15" s="1"/>
  <c r="R8" i="16"/>
  <c r="I12" i="17" s="1"/>
  <c r="R63" i="16"/>
  <c r="I67" i="17" s="1"/>
  <c r="L49" i="16"/>
  <c r="C53" i="17" s="1"/>
  <c r="O33" i="13"/>
  <c r="F38" i="15" s="1"/>
  <c r="Q40" i="16"/>
  <c r="H44" i="17" s="1"/>
  <c r="K9" i="12"/>
  <c r="E13" i="14" s="1"/>
  <c r="I11" i="20"/>
  <c r="D15" i="21" s="1"/>
  <c r="L58" i="13"/>
  <c r="C63" i="15" s="1"/>
  <c r="Q51" i="16"/>
  <c r="H55" i="17" s="1"/>
  <c r="Q16" i="13"/>
  <c r="H21" i="15" s="1"/>
  <c r="P36" i="13"/>
  <c r="G41" i="15" s="1"/>
  <c r="O14" i="16"/>
  <c r="F18" i="17" s="1"/>
  <c r="H8" i="20"/>
  <c r="C12" i="21" s="1"/>
  <c r="P57" i="16"/>
  <c r="G61" i="17" s="1"/>
  <c r="O33" i="16"/>
  <c r="F37" i="17" s="1"/>
  <c r="P24" i="13"/>
  <c r="G29" i="15" s="1"/>
  <c r="G48" i="22"/>
  <c r="C51" i="23" s="1"/>
  <c r="M12" i="13"/>
  <c r="D17" i="15" s="1"/>
  <c r="N47" i="13"/>
  <c r="E52" i="15" s="1"/>
  <c r="K11" i="12"/>
  <c r="E15" i="14" s="1"/>
  <c r="Q21" i="16"/>
  <c r="H25" i="17" s="1"/>
  <c r="J18" i="20"/>
  <c r="E22" i="21" s="1"/>
  <c r="O57" i="13"/>
  <c r="F62" i="15" s="1"/>
  <c r="M13" i="13"/>
  <c r="D18" i="15" s="1"/>
  <c r="P14" i="16"/>
  <c r="G18" i="17" s="1"/>
  <c r="L10" i="12"/>
  <c r="F14" i="14" s="1"/>
  <c r="Q45" i="16"/>
  <c r="H49" i="17" s="1"/>
  <c r="O59" i="16"/>
  <c r="F63" i="17" s="1"/>
  <c r="O13" i="13"/>
  <c r="F18" i="15" s="1"/>
  <c r="O63" i="16"/>
  <c r="F67" i="17" s="1"/>
  <c r="Q54" i="13"/>
  <c r="H59" i="15" s="1"/>
  <c r="R32" i="13"/>
  <c r="I37" i="15" s="1"/>
  <c r="K7" i="12"/>
  <c r="E11" i="14" s="1"/>
  <c r="J12" i="24"/>
  <c r="E15" i="25" s="1"/>
  <c r="R42" i="16"/>
  <c r="I46" i="17" s="1"/>
  <c r="N7" i="13"/>
  <c r="E12" i="15" s="1"/>
  <c r="Q53" i="16"/>
  <c r="H57" i="17" s="1"/>
  <c r="O12" i="13"/>
  <c r="F17" i="15" s="1"/>
  <c r="M30" i="13"/>
  <c r="D35" i="15" s="1"/>
  <c r="G52" i="22"/>
  <c r="C55" i="23" s="1"/>
  <c r="H11" i="20"/>
  <c r="C15" i="21" s="1"/>
  <c r="N34" i="13"/>
  <c r="E39" i="15" s="1"/>
  <c r="P53" i="13"/>
  <c r="G58" i="15" s="1"/>
  <c r="O41" i="16"/>
  <c r="F45" i="17" s="1"/>
  <c r="P37" i="16"/>
  <c r="G41" i="17" s="1"/>
  <c r="L48" i="16"/>
  <c r="C52" i="17" s="1"/>
  <c r="Q44" i="16"/>
  <c r="H48" i="17" s="1"/>
  <c r="H40" i="22"/>
  <c r="D43" i="23" s="1"/>
  <c r="L37" i="16"/>
  <c r="C41" i="17" s="1"/>
  <c r="M51" i="13"/>
  <c r="D56" i="15" s="1"/>
  <c r="P48" i="13"/>
  <c r="G53" i="15" s="1"/>
  <c r="N43" i="13"/>
  <c r="E48" i="15" s="1"/>
  <c r="P31" i="13"/>
  <c r="G36" i="15" s="1"/>
  <c r="H17" i="22"/>
  <c r="D20" i="23" s="1"/>
  <c r="M65" i="16"/>
  <c r="D69" i="17" s="1"/>
  <c r="I25" i="20"/>
  <c r="D29" i="21" s="1"/>
  <c r="M11" i="16"/>
  <c r="D15" i="17" s="1"/>
  <c r="N24" i="13"/>
  <c r="E29" i="15" s="1"/>
  <c r="N53" i="16"/>
  <c r="E57" i="17" s="1"/>
  <c r="K12" i="12"/>
  <c r="E16" i="14" s="1"/>
  <c r="M55" i="13"/>
  <c r="D60" i="15" s="1"/>
  <c r="Q34" i="16"/>
  <c r="H38" i="17" s="1"/>
  <c r="H34" i="20"/>
  <c r="C38" i="21" s="1"/>
  <c r="M74" i="16"/>
  <c r="D78" i="17" s="1"/>
  <c r="H44" i="22"/>
  <c r="D47" i="23" s="1"/>
  <c r="I13" i="24"/>
  <c r="D16" i="25" s="1"/>
  <c r="O58" i="13"/>
  <c r="F63" i="15" s="1"/>
  <c r="L61" i="16"/>
  <c r="C65" i="17" s="1"/>
  <c r="N16" i="13"/>
  <c r="E21" i="15" s="1"/>
  <c r="R35" i="13"/>
  <c r="I40" i="15" s="1"/>
  <c r="L55" i="16"/>
  <c r="C59" i="17" s="1"/>
  <c r="O42" i="16"/>
  <c r="F46" i="17" s="1"/>
  <c r="L39" i="16"/>
  <c r="C43" i="17" s="1"/>
  <c r="P21" i="13"/>
  <c r="G26" i="15" s="1"/>
  <c r="N20" i="16"/>
  <c r="E24" i="17" s="1"/>
  <c r="Q33" i="16"/>
  <c r="H37" i="17" s="1"/>
  <c r="H22" i="20"/>
  <c r="C26" i="21" s="1"/>
  <c r="G11" i="22"/>
  <c r="C14" i="23" s="1"/>
  <c r="L11" i="16"/>
  <c r="C15" i="17" s="1"/>
  <c r="P8" i="16"/>
  <c r="G12" i="17" s="1"/>
  <c r="Q52" i="13"/>
  <c r="H57" i="15" s="1"/>
  <c r="Q32" i="13"/>
  <c r="H37" i="15" s="1"/>
  <c r="Q27" i="16"/>
  <c r="H31" i="17" s="1"/>
  <c r="O18" i="16"/>
  <c r="F22" i="17" s="1"/>
  <c r="P42" i="13"/>
  <c r="G47" i="15" s="1"/>
  <c r="L67" i="16"/>
  <c r="C71" i="17" s="1"/>
  <c r="Q42" i="13"/>
  <c r="H47" i="15" s="1"/>
  <c r="H7" i="20"/>
  <c r="C11" i="21" s="1"/>
  <c r="Q25" i="16"/>
  <c r="H29" i="17" s="1"/>
  <c r="P68" i="16"/>
  <c r="G72" i="17" s="1"/>
  <c r="J25" i="20"/>
  <c r="E29" i="21" s="1"/>
  <c r="O59" i="13"/>
  <c r="R24" i="13"/>
  <c r="I29" i="15" s="1"/>
  <c r="O44" i="16"/>
  <c r="F48" i="17" s="1"/>
  <c r="L72" i="16"/>
  <c r="C76" i="17" s="1"/>
  <c r="P10" i="16"/>
  <c r="G14" i="17" s="1"/>
  <c r="R22" i="16"/>
  <c r="I26" i="17" s="1"/>
  <c r="H52" i="22"/>
  <c r="D55" i="23" s="1"/>
  <c r="R43" i="16"/>
  <c r="I47" i="17" s="1"/>
  <c r="N29" i="13"/>
  <c r="E34" i="15" s="1"/>
  <c r="N58" i="13"/>
  <c r="E63" i="15" s="1"/>
  <c r="R62" i="16"/>
  <c r="I66" i="17" s="1"/>
  <c r="M35" i="13"/>
  <c r="D40" i="15" s="1"/>
  <c r="M19" i="13"/>
  <c r="D24" i="15" s="1"/>
  <c r="Q48" i="13"/>
  <c r="H53" i="15" s="1"/>
  <c r="P35" i="16"/>
  <c r="G39" i="17" s="1"/>
  <c r="Q71" i="16"/>
  <c r="H75" i="17" s="1"/>
  <c r="J33" i="20"/>
  <c r="E37" i="21" s="1"/>
  <c r="H48" i="22"/>
  <c r="D51" i="23" s="1"/>
  <c r="P55" i="16"/>
  <c r="G59" i="17" s="1"/>
  <c r="P57" i="13"/>
  <c r="G62" i="15" s="1"/>
  <c r="R45" i="16"/>
  <c r="I49" i="17" s="1"/>
  <c r="H9" i="24"/>
  <c r="C12" i="25" s="1"/>
  <c r="Q22" i="13"/>
  <c r="H27" i="15" s="1"/>
  <c r="I21" i="20"/>
  <c r="D25" i="21" s="1"/>
  <c r="Q54" i="16"/>
  <c r="H58" i="17" s="1"/>
  <c r="O48" i="16"/>
  <c r="F52" i="17" s="1"/>
  <c r="L45" i="16"/>
  <c r="C49" i="17" s="1"/>
  <c r="H13" i="22"/>
  <c r="D16" i="23" s="1"/>
  <c r="R26" i="16"/>
  <c r="I30" i="17" s="1"/>
  <c r="R39" i="13"/>
  <c r="I44" i="15" s="1"/>
  <c r="M60" i="16"/>
  <c r="D64" i="17" s="1"/>
  <c r="I9" i="12"/>
  <c r="C13" i="14" s="1"/>
  <c r="M32" i="16"/>
  <c r="D36" i="17" s="1"/>
  <c r="G30" i="22"/>
  <c r="C33" i="23" s="1"/>
  <c r="R16" i="16"/>
  <c r="I20" i="17" s="1"/>
  <c r="N47" i="16"/>
  <c r="E51" i="17" s="1"/>
  <c r="L14" i="16"/>
  <c r="C18" i="17" s="1"/>
  <c r="Q59" i="13"/>
  <c r="Q36" i="16"/>
  <c r="H40" i="17" s="1"/>
  <c r="M18" i="13"/>
  <c r="D23" i="15" s="1"/>
  <c r="L31" i="13"/>
  <c r="C36" i="15" s="1"/>
  <c r="R68" i="16"/>
  <c r="I72" i="17" s="1"/>
  <c r="L60" i="16"/>
  <c r="C64" i="17" s="1"/>
  <c r="R37" i="13"/>
  <c r="I42" i="15" s="1"/>
  <c r="O48" i="13"/>
  <c r="F53" i="15" s="1"/>
  <c r="G22" i="22"/>
  <c r="C25" i="23" s="1"/>
  <c r="Q43" i="13"/>
  <c r="H48" i="15" s="1"/>
  <c r="L36" i="13"/>
  <c r="C41" i="15" s="1"/>
  <c r="I35" i="20"/>
  <c r="D39" i="21" s="1"/>
  <c r="N16" i="16"/>
  <c r="E20" i="17" s="1"/>
  <c r="Q57" i="16"/>
  <c r="H61" i="17" s="1"/>
  <c r="I11" i="12"/>
  <c r="C15" i="14" s="1"/>
  <c r="I9" i="24"/>
  <c r="D12" i="25" s="1"/>
  <c r="N52" i="13"/>
  <c r="E57" i="15" s="1"/>
  <c r="M9" i="16"/>
  <c r="D13" i="17" s="1"/>
  <c r="J32" i="20"/>
  <c r="E36" i="21" s="1"/>
  <c r="G32" i="26"/>
  <c r="D35" i="27" s="1"/>
  <c r="G31" i="22"/>
  <c r="C34" i="23" s="1"/>
  <c r="P44" i="13"/>
  <c r="G49" i="15" s="1"/>
  <c r="R70" i="16"/>
  <c r="I74" i="17" s="1"/>
  <c r="Q14" i="16"/>
  <c r="H18" i="17" s="1"/>
  <c r="R23" i="13"/>
  <c r="I28" i="15" s="1"/>
  <c r="I8" i="20"/>
  <c r="D12" i="21" s="1"/>
  <c r="P35" i="13"/>
  <c r="G40" i="15" s="1"/>
  <c r="R51" i="13"/>
  <c r="I56" i="15" s="1"/>
  <c r="J8" i="12"/>
  <c r="D12" i="14" s="1"/>
  <c r="I8" i="24"/>
  <c r="D11" i="25" s="1"/>
  <c r="R40" i="13"/>
  <c r="I45" i="15" s="1"/>
  <c r="Q9" i="13"/>
  <c r="H14" i="15" s="1"/>
  <c r="P7" i="13"/>
  <c r="G12" i="15" s="1"/>
  <c r="Q10" i="16"/>
  <c r="H14" i="17" s="1"/>
  <c r="P14" i="13"/>
  <c r="G19" i="15" s="1"/>
  <c r="O67" i="16"/>
  <c r="F71" i="17" s="1"/>
  <c r="N37" i="16"/>
  <c r="E41" i="17" s="1"/>
  <c r="M39" i="13"/>
  <c r="D44" i="15" s="1"/>
  <c r="R7" i="13"/>
  <c r="I12" i="15" s="1"/>
  <c r="K14" i="12"/>
  <c r="E18" i="14" s="1"/>
  <c r="P52" i="13"/>
  <c r="G57" i="15" s="1"/>
  <c r="Q13" i="16"/>
  <c r="H17" i="17" s="1"/>
  <c r="P17" i="13"/>
  <c r="G22" i="15" s="1"/>
  <c r="M39" i="16"/>
  <c r="D43" i="17" s="1"/>
  <c r="M25" i="16"/>
  <c r="D29" i="17" s="1"/>
  <c r="Q34" i="13"/>
  <c r="H39" i="15" s="1"/>
  <c r="R23" i="16"/>
  <c r="I27" i="17" s="1"/>
  <c r="L27" i="16"/>
  <c r="C31" i="17" s="1"/>
  <c r="M24" i="13"/>
  <c r="D29" i="15" s="1"/>
  <c r="R59" i="16"/>
  <c r="I63" i="17" s="1"/>
  <c r="Q29" i="13"/>
  <c r="H34" i="15" s="1"/>
  <c r="L43" i="16"/>
  <c r="C47" i="17" s="1"/>
  <c r="L39" i="13"/>
  <c r="C44" i="15" s="1"/>
  <c r="Q27" i="13"/>
  <c r="H32" i="15" s="1"/>
  <c r="G18" i="26"/>
  <c r="D23" i="27" s="1"/>
  <c r="P36" i="16"/>
  <c r="G40" i="17" s="1"/>
  <c r="H31" i="20"/>
  <c r="C35" i="21" s="1"/>
  <c r="M47" i="13"/>
  <c r="D52" i="15" s="1"/>
  <c r="I32" i="20"/>
  <c r="D36" i="21" s="1"/>
  <c r="G30" i="26"/>
  <c r="D32" i="27" s="1"/>
  <c r="N38" i="16"/>
  <c r="E42" i="17" s="1"/>
  <c r="M27" i="16"/>
  <c r="D31" i="17" s="1"/>
  <c r="L36" i="16"/>
  <c r="C40" i="17" s="1"/>
  <c r="M38" i="13"/>
  <c r="D43" i="15" s="1"/>
  <c r="I11" i="24"/>
  <c r="D14" i="25" s="1"/>
  <c r="P39" i="16"/>
  <c r="G43" i="17" s="1"/>
  <c r="M15" i="16"/>
  <c r="D19" i="17" s="1"/>
  <c r="N11" i="13"/>
  <c r="E16" i="15" s="1"/>
  <c r="J9" i="12"/>
  <c r="D13" i="14" s="1"/>
  <c r="Q28" i="16"/>
  <c r="H32" i="17" s="1"/>
  <c r="Q22" i="16"/>
  <c r="H26" i="17" s="1"/>
  <c r="G29" i="22"/>
  <c r="C32" i="23" s="1"/>
  <c r="L68" i="16"/>
  <c r="C72" i="17" s="1"/>
  <c r="N50" i="16"/>
  <c r="E54" i="17" s="1"/>
  <c r="P41" i="13"/>
  <c r="G46" i="15" s="1"/>
  <c r="O74" i="16"/>
  <c r="F78" i="17" s="1"/>
  <c r="M34" i="13"/>
  <c r="D39" i="15" s="1"/>
  <c r="N23" i="16"/>
  <c r="E27" i="17" s="1"/>
  <c r="Q8" i="16"/>
  <c r="H12" i="17" s="1"/>
  <c r="H16" i="20"/>
  <c r="C20" i="21" s="1"/>
  <c r="H43" i="22"/>
  <c r="D46" i="23" s="1"/>
  <c r="R47" i="16"/>
  <c r="I51" i="17" s="1"/>
  <c r="R32" i="16"/>
  <c r="I36" i="17" s="1"/>
  <c r="N52" i="16"/>
  <c r="E56" i="17" s="1"/>
  <c r="M36" i="16"/>
  <c r="D40" i="17" s="1"/>
  <c r="N33" i="16"/>
  <c r="E37" i="17" s="1"/>
  <c r="H53" i="22"/>
  <c r="D56" i="23" s="1"/>
  <c r="Q37" i="13"/>
  <c r="H42" i="15" s="1"/>
  <c r="O38" i="13"/>
  <c r="F43" i="15" s="1"/>
  <c r="Q38" i="13"/>
  <c r="H43" i="15" s="1"/>
  <c r="P38" i="16"/>
  <c r="G42" i="17" s="1"/>
  <c r="J7" i="12"/>
  <c r="D11" i="14" s="1"/>
  <c r="J19" i="20"/>
  <c r="E23" i="21" s="1"/>
  <c r="H54" i="22"/>
  <c r="D57" i="23" s="1"/>
  <c r="R56" i="13"/>
  <c r="I61" i="15" s="1"/>
  <c r="I12" i="12"/>
  <c r="C16" i="14" s="1"/>
  <c r="M73" i="16"/>
  <c r="D77" i="17" s="1"/>
  <c r="I14" i="20"/>
  <c r="D18" i="21" s="1"/>
  <c r="Q7" i="13"/>
  <c r="H12" i="15" s="1"/>
  <c r="Q61" i="16"/>
  <c r="H65" i="17" s="1"/>
  <c r="P16" i="13"/>
  <c r="G21" i="15" s="1"/>
  <c r="O15" i="16"/>
  <c r="F19" i="17" s="1"/>
  <c r="Q37" i="16"/>
  <c r="H41" i="17" s="1"/>
  <c r="R40" i="16"/>
  <c r="I44" i="17" s="1"/>
  <c r="N24" i="16"/>
  <c r="E28" i="17" s="1"/>
  <c r="R36" i="16"/>
  <c r="I40" i="17" s="1"/>
  <c r="L25" i="16"/>
  <c r="C29" i="17" s="1"/>
  <c r="O11" i="13"/>
  <c r="F16" i="15" s="1"/>
  <c r="N59" i="16"/>
  <c r="E63" i="17" s="1"/>
  <c r="L55" i="13"/>
  <c r="C60" i="15" s="1"/>
  <c r="O71" i="16"/>
  <c r="F75" i="17" s="1"/>
  <c r="O37" i="16"/>
  <c r="F41" i="17" s="1"/>
  <c r="Q18" i="13"/>
  <c r="H23" i="15" s="1"/>
  <c r="R27" i="13"/>
  <c r="I32" i="15" s="1"/>
  <c r="O54" i="13"/>
  <c r="F59" i="15" s="1"/>
  <c r="P51" i="13"/>
  <c r="G56" i="15" s="1"/>
  <c r="N69" i="16"/>
  <c r="E73" i="17" s="1"/>
  <c r="L23" i="16"/>
  <c r="C27" i="17" s="1"/>
  <c r="I14" i="24"/>
  <c r="H26" i="22"/>
  <c r="D29" i="23" s="1"/>
  <c r="L21" i="13"/>
  <c r="C26" i="15" s="1"/>
  <c r="Q36" i="13"/>
  <c r="H41" i="15" s="1"/>
  <c r="L9" i="12"/>
  <c r="F13" i="14" s="1"/>
  <c r="J10" i="12"/>
  <c r="D14" i="14" s="1"/>
  <c r="L8" i="13"/>
  <c r="C13" i="15" s="1"/>
  <c r="P26" i="13"/>
  <c r="G31" i="15" s="1"/>
  <c r="R52" i="16"/>
  <c r="I56" i="17" s="1"/>
  <c r="P46" i="13"/>
  <c r="G51" i="15" s="1"/>
  <c r="R10" i="13"/>
  <c r="I15" i="15" s="1"/>
  <c r="L19" i="13"/>
  <c r="C24" i="15" s="1"/>
  <c r="L49" i="13"/>
  <c r="C54" i="15" s="1"/>
  <c r="M43" i="13"/>
  <c r="D48" i="15" s="1"/>
  <c r="M57" i="16"/>
  <c r="D61" i="17" s="1"/>
  <c r="M26" i="13"/>
  <c r="D31" i="15" s="1"/>
  <c r="O72" i="16"/>
  <c r="F76" i="17" s="1"/>
  <c r="N70" i="16"/>
  <c r="E74" i="17" s="1"/>
  <c r="R48" i="13"/>
  <c r="I53" i="15" s="1"/>
  <c r="M49" i="16"/>
  <c r="D53" i="17" s="1"/>
  <c r="J28" i="20"/>
  <c r="E32" i="21" s="1"/>
  <c r="M52" i="13"/>
  <c r="D57" i="15" s="1"/>
  <c r="L42" i="16"/>
  <c r="C46" i="17" s="1"/>
  <c r="R8" i="13"/>
  <c r="I13" i="15" s="1"/>
  <c r="I45" i="20"/>
  <c r="D45" i="21" s="1"/>
  <c r="M50" i="16"/>
  <c r="D54" i="17" s="1"/>
  <c r="N48" i="16"/>
  <c r="E52" i="17" s="1"/>
  <c r="O10" i="16"/>
  <c r="F14" i="17" s="1"/>
  <c r="L7" i="13"/>
  <c r="C12" i="15" s="1"/>
  <c r="L34" i="13"/>
  <c r="C39" i="15" s="1"/>
  <c r="N9" i="13"/>
  <c r="E14" i="15" s="1"/>
  <c r="P21" i="16"/>
  <c r="G25" i="17" s="1"/>
  <c r="O29" i="13"/>
  <c r="F34" i="15" s="1"/>
  <c r="L54" i="13"/>
  <c r="C59" i="15" s="1"/>
  <c r="O53" i="16"/>
  <c r="F57" i="17" s="1"/>
  <c r="R18" i="13"/>
  <c r="I23" i="15" s="1"/>
  <c r="L9" i="13"/>
  <c r="C14" i="15" s="1"/>
  <c r="H45" i="22"/>
  <c r="D48" i="23" s="1"/>
  <c r="R14" i="13"/>
  <c r="I19" i="15" s="1"/>
  <c r="K10" i="12"/>
  <c r="E14" i="14" s="1"/>
  <c r="R55" i="13"/>
  <c r="I60" i="15" s="1"/>
  <c r="L17" i="16"/>
  <c r="C21" i="17" s="1"/>
  <c r="N41" i="16"/>
  <c r="E45" i="17" s="1"/>
  <c r="N75" i="16"/>
  <c r="E79" i="17" s="1"/>
  <c r="L43" i="13"/>
  <c r="C48" i="15" s="1"/>
  <c r="O22" i="13"/>
  <c r="F27" i="15" s="1"/>
  <c r="L34" i="16"/>
  <c r="C38" i="17" s="1"/>
  <c r="K8" i="12"/>
  <c r="E12" i="14" s="1"/>
  <c r="H30" i="22"/>
  <c r="D33" i="23" s="1"/>
  <c r="H42" i="22"/>
  <c r="D45" i="23" s="1"/>
  <c r="N40" i="16"/>
  <c r="E44" i="17" s="1"/>
  <c r="P6" i="13"/>
  <c r="G11" i="15" s="1"/>
  <c r="N46" i="16"/>
  <c r="E50" i="17" s="1"/>
  <c r="O20" i="13"/>
  <c r="F25" i="15" s="1"/>
  <c r="L33" i="16"/>
  <c r="C37" i="17" s="1"/>
  <c r="P24" i="16"/>
  <c r="G28" i="17" s="1"/>
  <c r="H23" i="20"/>
  <c r="C27" i="21" s="1"/>
  <c r="R9" i="13"/>
  <c r="I14" i="15" s="1"/>
  <c r="M17" i="13"/>
  <c r="D22" i="15" s="1"/>
  <c r="I18" i="20"/>
  <c r="D22" i="21" s="1"/>
  <c r="R69" i="16"/>
  <c r="I73" i="17" s="1"/>
  <c r="Q75" i="16"/>
  <c r="H79" i="17" s="1"/>
  <c r="L10" i="13"/>
  <c r="C15" i="15" s="1"/>
  <c r="R59" i="13"/>
  <c r="M53" i="16"/>
  <c r="D57" i="17" s="1"/>
  <c r="L53" i="13"/>
  <c r="C58" i="15" s="1"/>
  <c r="Q23" i="16"/>
  <c r="H27" i="17" s="1"/>
  <c r="P10" i="13"/>
  <c r="G15" i="15" s="1"/>
  <c r="M46" i="13"/>
  <c r="D51" i="15" s="1"/>
  <c r="P18" i="16"/>
  <c r="G22" i="17" s="1"/>
  <c r="R24" i="16"/>
  <c r="I28" i="17" s="1"/>
  <c r="N45" i="13"/>
  <c r="E50" i="15" s="1"/>
  <c r="L41" i="16"/>
  <c r="C45" i="17" s="1"/>
  <c r="G21" i="22"/>
  <c r="C24" i="23" s="1"/>
  <c r="N18" i="16"/>
  <c r="E22" i="17" s="1"/>
  <c r="N36" i="13"/>
  <c r="E41" i="15" s="1"/>
  <c r="R49" i="16"/>
  <c r="I53" i="17" s="1"/>
  <c r="R28" i="13"/>
  <c r="I33" i="15" s="1"/>
  <c r="R33" i="16"/>
  <c r="I37" i="17" s="1"/>
  <c r="L53" i="16"/>
  <c r="C57" i="17" s="1"/>
  <c r="P47" i="13"/>
  <c r="G52" i="15" s="1"/>
  <c r="P33" i="13"/>
  <c r="G38" i="15" s="1"/>
  <c r="N17" i="13"/>
  <c r="E22" i="15" s="1"/>
  <c r="H8" i="22"/>
  <c r="D11" i="23" s="1"/>
  <c r="R74" i="16"/>
  <c r="I78" i="17" s="1"/>
  <c r="L28" i="13"/>
  <c r="C33" i="15" s="1"/>
  <c r="I17" i="20"/>
  <c r="D21" i="21" s="1"/>
  <c r="I30" i="20"/>
  <c r="D34" i="21" s="1"/>
  <c r="I19" i="20"/>
  <c r="D23" i="21" s="1"/>
  <c r="O43" i="16"/>
  <c r="F47" i="17" s="1"/>
  <c r="L14" i="12"/>
  <c r="F18" i="14" s="1"/>
  <c r="L40" i="13"/>
  <c r="C45" i="15" s="1"/>
  <c r="M20" i="13"/>
  <c r="D25" i="15" s="1"/>
  <c r="M29" i="16"/>
  <c r="D33" i="17" s="1"/>
  <c r="O44" i="13"/>
  <c r="F49" i="15" s="1"/>
  <c r="R46" i="13"/>
  <c r="I51" i="15" s="1"/>
  <c r="N14" i="13"/>
  <c r="E19" i="15" s="1"/>
  <c r="G51" i="22"/>
  <c r="C54" i="23" s="1"/>
  <c r="H37" i="22"/>
  <c r="D40" i="23" s="1"/>
  <c r="L12" i="12"/>
  <c r="F16" i="14" s="1"/>
  <c r="M16" i="16"/>
  <c r="D20" i="17" s="1"/>
  <c r="M35" i="16"/>
  <c r="D39" i="17" s="1"/>
  <c r="I26" i="20"/>
  <c r="D30" i="21" s="1"/>
  <c r="M9" i="13"/>
  <c r="D14" i="15" s="1"/>
  <c r="H27" i="22"/>
  <c r="D30" i="23" s="1"/>
  <c r="M68" i="16"/>
  <c r="D72" i="17" s="1"/>
  <c r="O56" i="16"/>
  <c r="F60" i="17" s="1"/>
  <c r="G40" i="22"/>
  <c r="C43" i="23" s="1"/>
  <c r="P71" i="16"/>
  <c r="G75" i="17" s="1"/>
  <c r="I23" i="20"/>
  <c r="D27" i="21" s="1"/>
  <c r="M32" i="13"/>
  <c r="D37" i="15" s="1"/>
  <c r="R28" i="16"/>
  <c r="I32" i="17" s="1"/>
  <c r="P52" i="16"/>
  <c r="G56" i="17" s="1"/>
  <c r="O42" i="13"/>
  <c r="F47" i="15" s="1"/>
  <c r="H21" i="20"/>
  <c r="C25" i="21" s="1"/>
  <c r="J11" i="20"/>
  <c r="E15" i="21" s="1"/>
  <c r="O43" i="13"/>
  <c r="F48" i="15" s="1"/>
  <c r="O57" i="16"/>
  <c r="F61" i="17" s="1"/>
  <c r="R19" i="16"/>
  <c r="I23" i="17" s="1"/>
  <c r="G24" i="22"/>
  <c r="C27" i="23" s="1"/>
  <c r="H24" i="22"/>
  <c r="D27" i="23" s="1"/>
  <c r="N74" i="16"/>
  <c r="E78" i="17" s="1"/>
  <c r="Q20" i="13"/>
  <c r="H25" i="15" s="1"/>
  <c r="O6" i="13"/>
  <c r="F11" i="15" s="1"/>
  <c r="N15" i="16"/>
  <c r="E19" i="17" s="1"/>
  <c r="L16" i="16"/>
  <c r="C20" i="17" s="1"/>
  <c r="J30" i="20"/>
  <c r="E34" i="21" s="1"/>
  <c r="N8" i="13"/>
  <c r="E13" i="15" s="1"/>
  <c r="G19" i="22"/>
  <c r="C22" i="23" s="1"/>
  <c r="I44" i="20"/>
  <c r="D44" i="21" s="1"/>
  <c r="P42" i="16"/>
  <c r="G46" i="17" s="1"/>
  <c r="L58" i="16"/>
  <c r="C62" i="17" s="1"/>
  <c r="J43" i="20"/>
  <c r="E43" i="21" s="1"/>
  <c r="L16" i="13"/>
  <c r="C21" i="15" s="1"/>
  <c r="R33" i="13"/>
  <c r="I38" i="15" s="1"/>
  <c r="H21" i="22"/>
  <c r="D24" i="23" s="1"/>
  <c r="J10" i="24"/>
  <c r="E13" i="25" s="1"/>
  <c r="N15" i="13"/>
  <c r="E20" i="15" s="1"/>
  <c r="L19" i="16"/>
  <c r="C23" i="17" s="1"/>
  <c r="O15" i="13"/>
  <c r="F20" i="15" s="1"/>
  <c r="G41" i="22"/>
  <c r="C44" i="23" s="1"/>
  <c r="H26" i="20"/>
  <c r="C30" i="21" s="1"/>
  <c r="L23" i="13"/>
  <c r="C28" i="15" s="1"/>
  <c r="P59" i="16"/>
  <c r="G63" i="17" s="1"/>
  <c r="H43" i="20"/>
  <c r="C43" i="21" s="1"/>
  <c r="L37" i="13"/>
  <c r="C42" i="15" s="1"/>
  <c r="P43" i="16"/>
  <c r="G47" i="17" s="1"/>
  <c r="M63" i="16"/>
  <c r="D67" i="17" s="1"/>
  <c r="M56" i="13"/>
  <c r="D61" i="15" s="1"/>
  <c r="G21" i="26"/>
  <c r="D26" i="27" s="1"/>
  <c r="O36" i="13"/>
  <c r="F41" i="15" s="1"/>
  <c r="Q60" i="16"/>
  <c r="H64" i="17" s="1"/>
  <c r="H15" i="22"/>
  <c r="D18" i="23" s="1"/>
  <c r="M10" i="16"/>
  <c r="D14" i="17" s="1"/>
  <c r="H16" i="22"/>
  <c r="D19" i="23" s="1"/>
  <c r="I7" i="12"/>
  <c r="C11" i="14" s="1"/>
  <c r="M25" i="13"/>
  <c r="D30" i="15" s="1"/>
  <c r="N45" i="16"/>
  <c r="E49" i="17" s="1"/>
  <c r="G20" i="26"/>
  <c r="D25" i="27" s="1"/>
  <c r="O47" i="16"/>
  <c r="F51" i="17" s="1"/>
  <c r="R36" i="13"/>
  <c r="I41" i="15" s="1"/>
  <c r="L46" i="13"/>
  <c r="C51" i="15" s="1"/>
  <c r="N40" i="13"/>
  <c r="E45" i="15" s="1"/>
  <c r="L20" i="16"/>
  <c r="C24" i="17" s="1"/>
  <c r="H41" i="22"/>
  <c r="D44" i="23" s="1"/>
  <c r="I33" i="20"/>
  <c r="D37" i="21" s="1"/>
  <c r="M66" i="16"/>
  <c r="D70" i="17" s="1"/>
  <c r="N68" i="16"/>
  <c r="E72" i="17" s="1"/>
  <c r="H9" i="22"/>
  <c r="D12" i="23" s="1"/>
  <c r="N72" i="16"/>
  <c r="E76" i="17" s="1"/>
  <c r="J31" i="20"/>
  <c r="E35" i="21" s="1"/>
  <c r="H14" i="24"/>
  <c r="C17" i="25" s="1"/>
  <c r="O28" i="13"/>
  <c r="F33" i="15" s="1"/>
  <c r="L27" i="13"/>
  <c r="C32" i="15" s="1"/>
  <c r="R64" i="16"/>
  <c r="I68" i="17" s="1"/>
  <c r="R9" i="16"/>
  <c r="I13" i="17" s="1"/>
  <c r="N49" i="16"/>
  <c r="E53" i="17" s="1"/>
  <c r="G17" i="26"/>
  <c r="D22" i="27" s="1"/>
  <c r="P49" i="13"/>
  <c r="G54" i="15" s="1"/>
  <c r="N48" i="13"/>
  <c r="E53" i="15" s="1"/>
  <c r="R11" i="16"/>
  <c r="I15" i="17" s="1"/>
  <c r="Q70" i="16"/>
  <c r="H74" i="17" s="1"/>
  <c r="M54" i="16"/>
  <c r="D58" i="17" s="1"/>
  <c r="I43" i="20"/>
  <c r="D43" i="21" s="1"/>
  <c r="O8" i="16"/>
  <c r="F12" i="17" s="1"/>
  <c r="H28" i="20"/>
  <c r="C32" i="21" s="1"/>
  <c r="M26" i="16"/>
  <c r="D30" i="17" s="1"/>
  <c r="R44" i="13"/>
  <c r="I49" i="15" s="1"/>
  <c r="R30" i="16"/>
  <c r="I34" i="17" s="1"/>
  <c r="N42" i="16"/>
  <c r="E46" i="17" s="1"/>
  <c r="H25" i="22"/>
  <c r="D28" i="23" s="1"/>
  <c r="H12" i="22"/>
  <c r="D15" i="23" s="1"/>
  <c r="R13" i="16"/>
  <c r="I17" i="17" s="1"/>
  <c r="P32" i="16"/>
  <c r="G36" i="17" s="1"/>
  <c r="Q8" i="13"/>
  <c r="H13" i="15" s="1"/>
  <c r="H29" i="20"/>
  <c r="C33" i="21" s="1"/>
  <c r="N27" i="16"/>
  <c r="E31" i="17" s="1"/>
  <c r="R37" i="16"/>
  <c r="I41" i="17" s="1"/>
  <c r="R43" i="13"/>
  <c r="I48" i="15" s="1"/>
  <c r="L25" i="13"/>
  <c r="C30" i="15" s="1"/>
  <c r="M41" i="16"/>
  <c r="D45" i="17" s="1"/>
  <c r="O10" i="13"/>
  <c r="F15" i="15" s="1"/>
  <c r="O45" i="13"/>
  <c r="F50" i="15" s="1"/>
  <c r="H20" i="20"/>
  <c r="C24" i="21" s="1"/>
  <c r="M48" i="13"/>
  <c r="D53" i="15" s="1"/>
  <c r="I13" i="20"/>
  <c r="D17" i="21" s="1"/>
  <c r="R27" i="16"/>
  <c r="I31" i="17" s="1"/>
  <c r="R54" i="16"/>
  <c r="I58" i="17" s="1"/>
  <c r="N12" i="16"/>
  <c r="E16" i="17" s="1"/>
  <c r="N50" i="13"/>
  <c r="E55" i="15" s="1"/>
  <c r="G35" i="26"/>
  <c r="D39" i="27" s="1"/>
  <c r="G53" i="22"/>
  <c r="C56" i="23" s="1"/>
  <c r="O25" i="16"/>
  <c r="F29" i="17" s="1"/>
  <c r="G44" i="22"/>
  <c r="C47" i="23" s="1"/>
  <c r="M62" i="16"/>
  <c r="D66" i="17" s="1"/>
  <c r="G36" i="22"/>
  <c r="C39" i="23" s="1"/>
  <c r="H12" i="24"/>
  <c r="C15" i="25" s="1"/>
  <c r="O56" i="13"/>
  <c r="F61" i="15" s="1"/>
  <c r="P49" i="16"/>
  <c r="G53" i="17" s="1"/>
  <c r="G46" i="22"/>
  <c r="C49" i="23" s="1"/>
  <c r="O35" i="16"/>
  <c r="F39" i="17" s="1"/>
  <c r="M69" i="16"/>
  <c r="D73" i="17" s="1"/>
  <c r="M31" i="13"/>
  <c r="D36" i="15" s="1"/>
  <c r="M44" i="13"/>
  <c r="D49" i="15" s="1"/>
  <c r="J14" i="20"/>
  <c r="E18" i="21" s="1"/>
  <c r="R34" i="16"/>
  <c r="I38" i="17" s="1"/>
  <c r="Q74" i="16"/>
  <c r="H78" i="17" s="1"/>
  <c r="L30" i="16"/>
  <c r="C34" i="17" s="1"/>
  <c r="O46" i="16"/>
  <c r="F50" i="17" s="1"/>
  <c r="R53" i="13"/>
  <c r="I58" i="15" s="1"/>
  <c r="P53" i="16"/>
  <c r="G57" i="17" s="1"/>
  <c r="N57" i="16"/>
  <c r="E61" i="17" s="1"/>
  <c r="G27" i="22"/>
  <c r="C30" i="23" s="1"/>
  <c r="P69" i="16"/>
  <c r="G73" i="17" s="1"/>
  <c r="M38" i="16"/>
  <c r="D42" i="17" s="1"/>
  <c r="R73" i="16"/>
  <c r="I77" i="17" s="1"/>
  <c r="H42" i="20"/>
  <c r="C42" i="21" s="1"/>
  <c r="N25" i="16"/>
  <c r="E29" i="17" s="1"/>
  <c r="L64" i="16"/>
  <c r="C68" i="17" s="1"/>
  <c r="R53" i="16"/>
  <c r="I57" i="17" s="1"/>
  <c r="H11" i="24"/>
  <c r="C14" i="25" s="1"/>
  <c r="Q52" i="16"/>
  <c r="H56" i="17" s="1"/>
  <c r="P30" i="16"/>
  <c r="G34" i="17" s="1"/>
  <c r="L24" i="16"/>
  <c r="C28" i="17" s="1"/>
  <c r="Q69" i="16"/>
  <c r="H73" i="17" s="1"/>
  <c r="L35" i="16"/>
  <c r="C39" i="17" s="1"/>
  <c r="Q12" i="13"/>
  <c r="H17" i="15" s="1"/>
  <c r="M49" i="13"/>
  <c r="D54" i="15" s="1"/>
  <c r="J24" i="20"/>
  <c r="E28" i="21" s="1"/>
  <c r="L52" i="13"/>
  <c r="C57" i="15" s="1"/>
  <c r="N67" i="16"/>
  <c r="E71" i="17" s="1"/>
  <c r="J11" i="24"/>
  <c r="E14" i="25" s="1"/>
  <c r="M19" i="16"/>
  <c r="D23" i="17" s="1"/>
  <c r="H17" i="20"/>
  <c r="C21" i="21" s="1"/>
  <c r="R20" i="16"/>
  <c r="I24" i="17" s="1"/>
  <c r="H12" i="20"/>
  <c r="C16" i="21" s="1"/>
  <c r="Q30" i="13"/>
  <c r="H35" i="15" s="1"/>
  <c r="L59" i="16"/>
  <c r="C63" i="17" s="1"/>
  <c r="M70" i="16"/>
  <c r="D74" i="17" s="1"/>
  <c r="O39" i="13"/>
  <c r="F44" i="15" s="1"/>
  <c r="L15" i="16"/>
  <c r="C19" i="17" s="1"/>
  <c r="L38" i="13"/>
  <c r="C43" i="15" s="1"/>
  <c r="O61" i="16"/>
  <c r="F65" i="17" s="1"/>
  <c r="N35" i="13"/>
  <c r="E40" i="15" s="1"/>
  <c r="P23" i="16"/>
  <c r="G27" i="17" s="1"/>
  <c r="Q10" i="13"/>
  <c r="H15" i="15" s="1"/>
  <c r="O45" i="16"/>
  <c r="F49" i="17" s="1"/>
  <c r="R44" i="16"/>
  <c r="I48" i="17" s="1"/>
  <c r="O62" i="16"/>
  <c r="F66" i="17" s="1"/>
  <c r="P32" i="13"/>
  <c r="G37" i="15" s="1"/>
  <c r="O23" i="13"/>
  <c r="F28" i="15" s="1"/>
  <c r="P34" i="13"/>
  <c r="G39" i="15" s="1"/>
  <c r="M44" i="16"/>
  <c r="D48" i="17" s="1"/>
  <c r="P30" i="13"/>
  <c r="G35" i="15" s="1"/>
  <c r="L12" i="13"/>
  <c r="C17" i="15" s="1"/>
  <c r="O55" i="16"/>
  <c r="F59" i="17" s="1"/>
  <c r="L31" i="16"/>
  <c r="C35" i="17" s="1"/>
  <c r="M45" i="13"/>
  <c r="D50" i="15" s="1"/>
  <c r="H22" i="22"/>
  <c r="D25" i="23" s="1"/>
  <c r="N34" i="16"/>
  <c r="E38" i="17" s="1"/>
  <c r="N73" i="16"/>
  <c r="E77" i="17" s="1"/>
  <c r="P22" i="13"/>
  <c r="G27" i="15" s="1"/>
  <c r="N13" i="16"/>
  <c r="E17" i="17" s="1"/>
  <c r="Q33" i="13"/>
  <c r="H38" i="15" s="1"/>
  <c r="G16" i="26"/>
  <c r="D21" i="27" s="1"/>
  <c r="H51" i="22"/>
  <c r="D54" i="23" s="1"/>
  <c r="O11" i="16"/>
  <c r="F15" i="17" s="1"/>
  <c r="O30" i="16"/>
  <c r="F34" i="17" s="1"/>
  <c r="H23" i="22"/>
  <c r="D26" i="23" s="1"/>
  <c r="L29" i="13"/>
  <c r="C34" i="15" s="1"/>
  <c r="L10" i="16"/>
  <c r="C14" i="17" s="1"/>
  <c r="P13" i="16"/>
  <c r="G17" i="17" s="1"/>
  <c r="G34" i="26"/>
  <c r="D38" i="27" s="1"/>
  <c r="J20" i="20"/>
  <c r="E24" i="21" s="1"/>
  <c r="H11" i="22"/>
  <c r="D14" i="23" s="1"/>
  <c r="G28" i="26"/>
  <c r="D30" i="27" s="1"/>
  <c r="G54" i="22"/>
  <c r="C57" i="23" s="1"/>
  <c r="N55" i="13"/>
  <c r="E60" i="15" s="1"/>
  <c r="R17" i="16"/>
  <c r="I21" i="17" s="1"/>
  <c r="O54" i="16"/>
  <c r="F58" i="17" s="1"/>
  <c r="H47" i="22"/>
  <c r="D50" i="23" s="1"/>
  <c r="M64" i="16"/>
  <c r="D68" i="17" s="1"/>
  <c r="O36" i="16"/>
  <c r="F40" i="17" s="1"/>
  <c r="Q73" i="16"/>
  <c r="H77" i="17" s="1"/>
  <c r="L26" i="16"/>
  <c r="C30" i="17" s="1"/>
  <c r="H39" i="22"/>
  <c r="D42" i="23" s="1"/>
  <c r="Q64" i="16"/>
  <c r="H68" i="17" s="1"/>
  <c r="G15" i="26"/>
  <c r="D20" i="27" s="1"/>
  <c r="Q44" i="13"/>
  <c r="H49" i="15" s="1"/>
  <c r="H33" i="20"/>
  <c r="C37" i="21" s="1"/>
  <c r="L57" i="13"/>
  <c r="C62" i="15" s="1"/>
  <c r="J23" i="20"/>
  <c r="E27" i="21" s="1"/>
  <c r="R45" i="13"/>
  <c r="I50" i="15" s="1"/>
  <c r="Q20" i="16"/>
  <c r="H24" i="17" s="1"/>
  <c r="O17" i="13"/>
  <c r="F22" i="15" s="1"/>
  <c r="P27" i="16"/>
  <c r="G31" i="17" s="1"/>
  <c r="N23" i="13"/>
  <c r="E28" i="15" s="1"/>
  <c r="L30" i="13"/>
  <c r="C35" i="15" s="1"/>
  <c r="L70" i="16"/>
  <c r="C74" i="17" s="1"/>
  <c r="O23" i="16"/>
  <c r="F27" i="17" s="1"/>
  <c r="Q55" i="16"/>
  <c r="H59" i="17" s="1"/>
  <c r="H38" i="22"/>
  <c r="D41" i="23" s="1"/>
  <c r="M72" i="16"/>
  <c r="D76" i="17" s="1"/>
  <c r="I28" i="20"/>
  <c r="D32" i="21" s="1"/>
  <c r="H9" i="20"/>
  <c r="C13" i="21" s="1"/>
  <c r="J9" i="24"/>
  <c r="E12" i="25" s="1"/>
  <c r="R72" i="16"/>
  <c r="I76" i="17" s="1"/>
  <c r="J29" i="20"/>
  <c r="E33" i="21" s="1"/>
  <c r="P56" i="13"/>
  <c r="G61" i="15" s="1"/>
  <c r="O24" i="13"/>
  <c r="F29" i="15" s="1"/>
  <c r="P40" i="13"/>
  <c r="G45" i="15" s="1"/>
  <c r="J9" i="20"/>
  <c r="E13" i="21" s="1"/>
  <c r="P73" i="16"/>
  <c r="G77" i="17" s="1"/>
  <c r="N35" i="16"/>
  <c r="E39" i="17" s="1"/>
  <c r="G15" i="22"/>
  <c r="C18" i="23" s="1"/>
  <c r="R39" i="16"/>
  <c r="I43" i="17" s="1"/>
  <c r="N7" i="16"/>
  <c r="E11" i="17" s="1"/>
  <c r="O22" i="16"/>
  <c r="F26" i="17" s="1"/>
  <c r="G35" i="22"/>
  <c r="C38" i="23" s="1"/>
  <c r="I10" i="20"/>
  <c r="D14" i="21" s="1"/>
  <c r="N30" i="16"/>
  <c r="E34" i="17" s="1"/>
  <c r="M37" i="16"/>
  <c r="D41" i="17" s="1"/>
  <c r="J14" i="12"/>
  <c r="D18" i="14" s="1"/>
  <c r="L32" i="16"/>
  <c r="C36" i="17" s="1"/>
  <c r="P64" i="16"/>
  <c r="G68" i="17" s="1"/>
  <c r="O27" i="13"/>
  <c r="F32" i="15" s="1"/>
  <c r="P34" i="16"/>
  <c r="G38" i="17" s="1"/>
  <c r="Q45" i="13"/>
  <c r="H50" i="15" s="1"/>
  <c r="H8" i="24"/>
  <c r="C11" i="25" s="1"/>
  <c r="P22" i="16"/>
  <c r="G26" i="17" s="1"/>
  <c r="N44" i="16"/>
  <c r="E48" i="17" s="1"/>
  <c r="G33" i="26"/>
  <c r="D37" i="27" s="1"/>
  <c r="I12" i="24"/>
  <c r="D15" i="25" s="1"/>
  <c r="Q48" i="16"/>
  <c r="H52" i="17" s="1"/>
  <c r="N54" i="13"/>
  <c r="E59" i="15" s="1"/>
  <c r="P56" i="16"/>
  <c r="G60" i="17" s="1"/>
  <c r="N31" i="13"/>
  <c r="E36" i="15" s="1"/>
  <c r="N31" i="16"/>
  <c r="E35" i="17" s="1"/>
  <c r="M23" i="16"/>
  <c r="D27" i="17" s="1"/>
  <c r="Q57" i="13"/>
  <c r="H62" i="15" s="1"/>
  <c r="O49" i="16"/>
  <c r="F53" i="17" s="1"/>
  <c r="J26" i="20"/>
  <c r="E30" i="21" s="1"/>
  <c r="L69" i="16"/>
  <c r="C73" i="17" s="1"/>
  <c r="R51" i="16"/>
  <c r="I55" i="17" s="1"/>
  <c r="L56" i="16"/>
  <c r="C60" i="17" s="1"/>
  <c r="N43" i="16"/>
  <c r="E47" i="17" s="1"/>
  <c r="M40" i="13"/>
  <c r="D45" i="15" s="1"/>
  <c r="Q15" i="16"/>
  <c r="H19" i="17" s="1"/>
  <c r="P7" i="16"/>
  <c r="G11" i="17" s="1"/>
  <c r="H32" i="22"/>
  <c r="D35" i="23" s="1"/>
  <c r="N64" i="16"/>
  <c r="E68" i="17" s="1"/>
  <c r="P72" i="16"/>
  <c r="G76" i="17" s="1"/>
  <c r="N21" i="16"/>
  <c r="E25" i="17" s="1"/>
  <c r="R15" i="16"/>
  <c r="I19" i="17" s="1"/>
  <c r="N17" i="16"/>
  <c r="E21" i="17" s="1"/>
  <c r="R48" i="16"/>
  <c r="I52" i="17" s="1"/>
  <c r="N51" i="13"/>
  <c r="E56" i="15" s="1"/>
  <c r="R50" i="16"/>
  <c r="I54" i="17" s="1"/>
  <c r="M28" i="13"/>
  <c r="D33" i="15" s="1"/>
  <c r="P62" i="16"/>
  <c r="G66" i="17" s="1"/>
  <c r="J44" i="20"/>
  <c r="E44" i="21" s="1"/>
  <c r="M22" i="13"/>
  <c r="D27" i="15" s="1"/>
  <c r="P29" i="13"/>
  <c r="G34" i="15" s="1"/>
  <c r="O53" i="13"/>
  <c r="F58" i="15" s="1"/>
  <c r="J17" i="20"/>
  <c r="E21" i="21" s="1"/>
  <c r="L11" i="13"/>
  <c r="C16" i="15" s="1"/>
  <c r="R54" i="13"/>
  <c r="I59" i="15" s="1"/>
  <c r="N10" i="16"/>
  <c r="E14" i="17" s="1"/>
  <c r="I15" i="20"/>
  <c r="D19" i="21" s="1"/>
  <c r="L24" i="13"/>
  <c r="C29" i="15" s="1"/>
  <c r="P50" i="16"/>
  <c r="G54" i="17" s="1"/>
  <c r="G10" i="22"/>
  <c r="C13" i="23" s="1"/>
  <c r="J15" i="20"/>
  <c r="E19" i="21" s="1"/>
  <c r="Q58" i="16"/>
  <c r="H62" i="17" s="1"/>
  <c r="R26" i="13"/>
  <c r="I31" i="15" s="1"/>
  <c r="M11" i="13"/>
  <c r="D16" i="15" s="1"/>
  <c r="P45" i="13"/>
  <c r="G50" i="15" s="1"/>
  <c r="H27" i="20"/>
  <c r="C31" i="21" s="1"/>
  <c r="M7" i="13"/>
  <c r="D12" i="15" s="1"/>
  <c r="R57" i="13"/>
  <c r="I62" i="15" s="1"/>
  <c r="R58" i="13"/>
  <c r="I63" i="15" s="1"/>
  <c r="O31" i="13"/>
  <c r="F36" i="15" s="1"/>
  <c r="G29" i="26"/>
  <c r="D31" i="27" s="1"/>
  <c r="Q42" i="16"/>
  <c r="H46" i="17" s="1"/>
  <c r="Q30" i="16"/>
  <c r="H34" i="17" s="1"/>
  <c r="R56" i="16"/>
  <c r="I60" i="17" s="1"/>
  <c r="Q62" i="16"/>
  <c r="H66" i="17" s="1"/>
  <c r="J27" i="20"/>
  <c r="E31" i="21" s="1"/>
  <c r="M56" i="16"/>
  <c r="D60" i="17" s="1"/>
  <c r="N28" i="16"/>
  <c r="E32" i="17" s="1"/>
  <c r="Q55" i="13"/>
  <c r="H60" i="15" s="1"/>
  <c r="Q58" i="13"/>
  <c r="H63" i="15" s="1"/>
  <c r="R35" i="16"/>
  <c r="I39" i="17" s="1"/>
  <c r="P74" i="16"/>
  <c r="G78" i="17" s="1"/>
  <c r="L44" i="16"/>
  <c r="C48" i="17" s="1"/>
  <c r="R19" i="13"/>
  <c r="I24" i="15" s="1"/>
  <c r="O60" i="16"/>
  <c r="F64" i="17" s="1"/>
  <c r="Q53" i="13"/>
  <c r="H58" i="15" s="1"/>
  <c r="O58" i="16"/>
  <c r="F62" i="17" s="1"/>
  <c r="G28" i="22"/>
  <c r="C31" i="23" s="1"/>
  <c r="P29" i="16"/>
  <c r="G33" i="17" s="1"/>
  <c r="G14" i="26"/>
  <c r="D19" i="27" s="1"/>
  <c r="P40" i="16"/>
  <c r="G44" i="17" s="1"/>
  <c r="H46" i="22"/>
  <c r="D49" i="23" s="1"/>
  <c r="R21" i="13"/>
  <c r="I26" i="15" s="1"/>
  <c r="M31" i="16"/>
  <c r="D35" i="17" s="1"/>
  <c r="M61" i="16"/>
  <c r="D65" i="17" s="1"/>
  <c r="P48" i="16"/>
  <c r="G52" i="17" s="1"/>
  <c r="L46" i="16"/>
  <c r="C50" i="17" s="1"/>
  <c r="J35" i="20"/>
  <c r="E39" i="21" s="1"/>
  <c r="O25" i="13"/>
  <c r="F30" i="15" s="1"/>
  <c r="G42" i="22"/>
  <c r="C45" i="23" s="1"/>
  <c r="G43" i="22"/>
  <c r="C46" i="23" s="1"/>
  <c r="R67" i="16"/>
  <c r="I71" i="17" s="1"/>
  <c r="I9" i="20"/>
  <c r="D13" i="21" s="1"/>
  <c r="N62" i="16"/>
  <c r="E66" i="17" s="1"/>
  <c r="H33" i="22"/>
  <c r="D36" i="23" s="1"/>
  <c r="M48" i="16"/>
  <c r="D52" i="17" s="1"/>
  <c r="G17" i="22"/>
  <c r="C20" i="23" s="1"/>
  <c r="M40" i="16"/>
  <c r="D44" i="17" s="1"/>
  <c r="M46" i="16"/>
  <c r="D50" i="17" s="1"/>
  <c r="P9" i="16"/>
  <c r="G13" i="17" s="1"/>
  <c r="P37" i="13"/>
  <c r="G42" i="15" s="1"/>
  <c r="M37" i="13"/>
  <c r="D42" i="15" s="1"/>
  <c r="N9" i="16"/>
  <c r="E13" i="17" s="1"/>
  <c r="R22" i="13"/>
  <c r="I27" i="15" s="1"/>
  <c r="R46" i="16"/>
  <c r="I50" i="17" s="1"/>
  <c r="Q43" i="16"/>
  <c r="H47" i="17" s="1"/>
  <c r="O32" i="16"/>
  <c r="F36" i="17" s="1"/>
  <c r="M71" i="16"/>
  <c r="D75" i="17" s="1"/>
  <c r="L45" i="13"/>
  <c r="C50" i="15" s="1"/>
  <c r="L57" i="16"/>
  <c r="C61" i="17" s="1"/>
  <c r="M7" i="16"/>
  <c r="D11" i="17" s="1"/>
  <c r="Q24" i="16"/>
  <c r="H28" i="17" s="1"/>
  <c r="J13" i="12"/>
  <c r="D17" i="14" s="1"/>
  <c r="P25" i="16"/>
  <c r="G29" i="17" s="1"/>
  <c r="G38" i="22"/>
  <c r="C41" i="23" s="1"/>
  <c r="G25" i="22"/>
  <c r="C28" i="23" s="1"/>
  <c r="L52" i="16"/>
  <c r="C56" i="17" s="1"/>
  <c r="M20" i="16"/>
  <c r="D24" i="17" s="1"/>
  <c r="L75" i="16"/>
  <c r="C79" i="17" s="1"/>
  <c r="O9" i="16"/>
  <c r="F13" i="17" s="1"/>
  <c r="H44" i="20"/>
  <c r="C44" i="21" s="1"/>
  <c r="H29" i="22"/>
  <c r="D32" i="23" s="1"/>
  <c r="M8" i="16"/>
  <c r="D12" i="17" s="1"/>
  <c r="Q46" i="13"/>
  <c r="H51" i="15" s="1"/>
  <c r="O31" i="16"/>
  <c r="F35" i="17" s="1"/>
  <c r="L47" i="13"/>
  <c r="C52" i="15" s="1"/>
  <c r="P65" i="16"/>
  <c r="G69" i="17" s="1"/>
  <c r="M34" i="16"/>
  <c r="D38" i="17" s="1"/>
  <c r="N14" i="16"/>
  <c r="E18" i="17" s="1"/>
  <c r="L13" i="13"/>
  <c r="C18" i="15" s="1"/>
  <c r="N22" i="16"/>
  <c r="E26" i="17" s="1"/>
  <c r="P26" i="16"/>
  <c r="G30" i="17" s="1"/>
  <c r="O49" i="13"/>
  <c r="F54" i="15" s="1"/>
  <c r="H35" i="22"/>
  <c r="D38" i="23" s="1"/>
  <c r="G12" i="22"/>
  <c r="C15" i="23" s="1"/>
  <c r="R60" i="16"/>
  <c r="I64" i="17" s="1"/>
  <c r="L65" i="16"/>
  <c r="C69" i="17" s="1"/>
  <c r="H18" i="22"/>
  <c r="D21" i="23" s="1"/>
  <c r="H19" i="20"/>
  <c r="C23" i="21" s="1"/>
  <c r="Q51" i="13"/>
  <c r="H56" i="15" s="1"/>
  <c r="L38" i="16"/>
  <c r="C42" i="17" s="1"/>
  <c r="Q66" i="16"/>
  <c r="H70" i="17" s="1"/>
  <c r="O26" i="16"/>
  <c r="F30" i="17" s="1"/>
  <c r="N65" i="16"/>
  <c r="E69" i="17" s="1"/>
  <c r="G36" i="26"/>
  <c r="D41" i="27" s="1"/>
  <c r="G32" i="22"/>
  <c r="C35" i="23" s="1"/>
  <c r="R25" i="13"/>
  <c r="I30" i="15" s="1"/>
  <c r="O64" i="16"/>
  <c r="F68" i="17" s="1"/>
  <c r="P67" i="16"/>
  <c r="G71" i="17" s="1"/>
  <c r="P17" i="16"/>
  <c r="G21" i="17" s="1"/>
  <c r="J10" i="20"/>
  <c r="E14" i="21" s="1"/>
  <c r="M12" i="16"/>
  <c r="D16" i="17" s="1"/>
  <c r="N39" i="16"/>
  <c r="E43" i="17" s="1"/>
  <c r="H35" i="20"/>
  <c r="C39" i="21" s="1"/>
  <c r="O65" i="16"/>
  <c r="F69" i="17" s="1"/>
  <c r="G26" i="22"/>
  <c r="C29" i="23" s="1"/>
  <c r="I22" i="20"/>
  <c r="D26" i="21" s="1"/>
  <c r="R38" i="13"/>
  <c r="I43" i="15" s="1"/>
  <c r="O27" i="16"/>
  <c r="F31" i="17" s="1"/>
  <c r="R13" i="13"/>
  <c r="I18" i="15" s="1"/>
  <c r="G45" i="22"/>
  <c r="C48" i="23" s="1"/>
  <c r="Q23" i="13"/>
  <c r="H28" i="15" s="1"/>
  <c r="L8" i="16"/>
  <c r="C12" i="17" s="1"/>
  <c r="Q21" i="13"/>
  <c r="H26" i="15" s="1"/>
  <c r="Q17" i="16"/>
  <c r="H21" i="17" s="1"/>
  <c r="R10" i="16"/>
  <c r="I14" i="17" s="1"/>
  <c r="O14" i="13"/>
  <c r="F19" i="15" s="1"/>
  <c r="N38" i="13"/>
  <c r="E43" i="15" s="1"/>
  <c r="O12" i="16"/>
  <c r="F16" i="17" s="1"/>
  <c r="Q39" i="16"/>
  <c r="H43" i="17" s="1"/>
  <c r="M47" i="16"/>
  <c r="D51" i="17" s="1"/>
  <c r="R42" i="13"/>
  <c r="I47" i="15" s="1"/>
  <c r="G26" i="26"/>
  <c r="D27" i="27" s="1"/>
  <c r="R65" i="16"/>
  <c r="I69" i="17" s="1"/>
  <c r="P54" i="13"/>
  <c r="G59" i="15" s="1"/>
  <c r="G19" i="26"/>
  <c r="D24" i="27" s="1"/>
  <c r="M22" i="16"/>
  <c r="D26" i="17" s="1"/>
  <c r="Q56" i="16"/>
  <c r="H60" i="17" s="1"/>
  <c r="N33" i="13"/>
  <c r="E38" i="15" s="1"/>
  <c r="H10" i="22"/>
  <c r="D13" i="23" s="1"/>
  <c r="P33" i="16"/>
  <c r="G37" i="17" s="1"/>
  <c r="Q11" i="13"/>
  <c r="H16" i="15" s="1"/>
  <c r="N57" i="13"/>
  <c r="E62" i="15" s="1"/>
  <c r="P50" i="13"/>
  <c r="G55" i="15" s="1"/>
  <c r="P15" i="16"/>
  <c r="G19" i="17" s="1"/>
  <c r="N11" i="16"/>
  <c r="E15" i="17" s="1"/>
  <c r="M75" i="16"/>
  <c r="D79" i="17" s="1"/>
  <c r="P59" i="13"/>
  <c r="O51" i="16"/>
  <c r="F55" i="17" s="1"/>
  <c r="N55" i="16"/>
  <c r="E59" i="17" s="1"/>
  <c r="O16" i="16"/>
  <c r="F20" i="17" s="1"/>
  <c r="Q63" i="16"/>
  <c r="H67" i="17" s="1"/>
  <c r="P61" i="16"/>
  <c r="G65" i="17" s="1"/>
  <c r="H45" i="20"/>
  <c r="C45" i="21" s="1"/>
  <c r="Q39" i="13"/>
  <c r="H44" i="15" s="1"/>
  <c r="N61" i="16"/>
  <c r="E65" i="17" s="1"/>
  <c r="P28" i="16"/>
  <c r="G32" i="17" s="1"/>
  <c r="Q19" i="16"/>
  <c r="H23" i="17" s="1"/>
  <c r="M21" i="16"/>
  <c r="D25" i="17" s="1"/>
  <c r="P51" i="16"/>
  <c r="G55" i="17" s="1"/>
  <c r="M18" i="16"/>
  <c r="D22" i="17" s="1"/>
  <c r="O66" i="16"/>
  <c r="F70" i="17" s="1"/>
  <c r="P12" i="16"/>
  <c r="G16" i="17" s="1"/>
  <c r="R38" i="16"/>
  <c r="I42" i="17" s="1"/>
  <c r="N71" i="16"/>
  <c r="E75" i="17" s="1"/>
  <c r="M42" i="13"/>
  <c r="D47" i="15" s="1"/>
  <c r="M58" i="16"/>
  <c r="D62" i="17" s="1"/>
  <c r="L66" i="16"/>
  <c r="C70" i="17" s="1"/>
  <c r="Q47" i="13"/>
  <c r="H52" i="15" s="1"/>
  <c r="P54" i="16"/>
  <c r="G58" i="17" s="1"/>
  <c r="Q32" i="16"/>
  <c r="H36" i="17" s="1"/>
  <c r="M41" i="13"/>
  <c r="D46" i="15" s="1"/>
  <c r="P45" i="16"/>
  <c r="G49" i="17" s="1"/>
  <c r="O70" i="16"/>
  <c r="F74" i="17" s="1"/>
  <c r="I8" i="12"/>
  <c r="C12" i="14" s="1"/>
  <c r="P38" i="13"/>
  <c r="G43" i="15" s="1"/>
  <c r="Q28" i="13"/>
  <c r="H33" i="15" s="1"/>
  <c r="L44" i="13"/>
  <c r="C49" i="15" s="1"/>
  <c r="J14" i="24"/>
  <c r="Q46" i="16"/>
  <c r="H50" i="17" s="1"/>
  <c r="O55" i="13"/>
  <c r="F60" i="15" s="1"/>
  <c r="Q16" i="16"/>
  <c r="H20" i="17" s="1"/>
  <c r="M59" i="16"/>
  <c r="D63" i="17" s="1"/>
  <c r="R18" i="16"/>
  <c r="I22" i="17" s="1"/>
  <c r="M33" i="16"/>
  <c r="D37" i="17" s="1"/>
  <c r="L51" i="16"/>
  <c r="C55" i="17" s="1"/>
  <c r="O18" i="13"/>
  <c r="F23" i="15" s="1"/>
  <c r="M27" i="13"/>
  <c r="D32" i="15" s="1"/>
  <c r="P41" i="16"/>
  <c r="G45" i="17" s="1"/>
  <c r="L8" i="12"/>
  <c r="F12" i="14" s="1"/>
  <c r="M24" i="16"/>
  <c r="D28" i="17" s="1"/>
  <c r="Q18" i="16"/>
  <c r="H22" i="17" s="1"/>
  <c r="P58" i="16"/>
  <c r="G62" i="17" s="1"/>
  <c r="Q65" i="16"/>
  <c r="H69" i="17" s="1"/>
  <c r="O69" i="16"/>
  <c r="F73" i="17" s="1"/>
  <c r="O20" i="16"/>
  <c r="F24" i="17" s="1"/>
  <c r="J12" i="20"/>
  <c r="E16" i="21" s="1"/>
  <c r="N58" i="16"/>
  <c r="E62" i="17" s="1"/>
  <c r="J8" i="20"/>
  <c r="E12" i="21" s="1"/>
  <c r="Q12" i="16"/>
  <c r="H16" i="17" s="1"/>
  <c r="R61" i="16"/>
  <c r="I65" i="17" s="1"/>
  <c r="G47" i="22"/>
  <c r="C50" i="23" s="1"/>
  <c r="R55" i="16"/>
  <c r="I59" i="17" s="1"/>
  <c r="L15" i="13"/>
  <c r="C20" i="15" s="1"/>
  <c r="R75" i="16"/>
  <c r="I79" i="17" s="1"/>
  <c r="H10" i="24"/>
  <c r="C13" i="25" s="1"/>
  <c r="P60" i="16"/>
  <c r="G64" i="17" s="1"/>
  <c r="L22" i="16"/>
  <c r="C26" i="17" s="1"/>
  <c r="G49" i="22"/>
  <c r="C52" i="23" s="1"/>
  <c r="H28" i="22"/>
  <c r="D31" i="23" s="1"/>
  <c r="N56" i="16"/>
  <c r="E60" i="17" s="1"/>
  <c r="N39" i="13"/>
  <c r="E44" i="15" s="1"/>
  <c r="H13" i="24"/>
  <c r="C16" i="25" s="1"/>
  <c r="N32" i="13"/>
  <c r="E37" i="15" s="1"/>
  <c r="L26" i="13"/>
  <c r="C31" i="15" s="1"/>
  <c r="M17" i="16"/>
  <c r="D21" i="17" s="1"/>
  <c r="G9" i="22"/>
  <c r="C12" i="23" s="1"/>
  <c r="M14" i="13"/>
  <c r="D19" i="15" s="1"/>
  <c r="O41" i="13"/>
  <c r="F46" i="15" s="1"/>
  <c r="I13" i="12"/>
  <c r="C17" i="14" s="1"/>
  <c r="R21" i="16"/>
  <c r="I25" i="17" s="1"/>
  <c r="N59" i="13"/>
  <c r="L63" i="16"/>
  <c r="C67" i="17" s="1"/>
  <c r="N46" i="13"/>
  <c r="E51" i="15" s="1"/>
  <c r="O68" i="16"/>
  <c r="F72" i="17" s="1"/>
  <c r="M45" i="16"/>
  <c r="D49" i="17" s="1"/>
  <c r="M21" i="13"/>
  <c r="D26" i="15" s="1"/>
  <c r="N30" i="13"/>
  <c r="E35" i="15" s="1"/>
  <c r="O26" i="13"/>
  <c r="F31" i="15" s="1"/>
  <c r="R49" i="13"/>
  <c r="I54" i="15" s="1"/>
  <c r="K13" i="12"/>
  <c r="E17" i="14" s="1"/>
  <c r="O50" i="16"/>
  <c r="F54" i="17" s="1"/>
  <c r="O52" i="16"/>
  <c r="F56" i="17" s="1"/>
  <c r="L41" i="13"/>
  <c r="C46" i="15" s="1"/>
  <c r="I34" i="20"/>
  <c r="D38" i="21" s="1"/>
  <c r="L40" i="16"/>
  <c r="C44" i="17" s="1"/>
  <c r="L62" i="16"/>
  <c r="C66" i="17" s="1"/>
  <c r="M28" i="16"/>
  <c r="D32" i="17" s="1"/>
  <c r="J45" i="20"/>
  <c r="E45" i="21" s="1"/>
  <c r="P11" i="16"/>
  <c r="G15" i="17" s="1"/>
  <c r="G13" i="22"/>
  <c r="C16" i="23" s="1"/>
  <c r="Q9" i="16"/>
  <c r="H13" i="17" s="1"/>
  <c r="R58" i="16"/>
  <c r="I62" i="17" s="1"/>
  <c r="R12" i="16"/>
  <c r="I16" i="17" s="1"/>
  <c r="N49" i="13"/>
  <c r="E54" i="15" s="1"/>
  <c r="P28" i="13"/>
  <c r="G33" i="15" s="1"/>
  <c r="G18" i="22"/>
  <c r="C21" i="23" s="1"/>
</calcChain>
</file>

<file path=xl/sharedStrings.xml><?xml version="1.0" encoding="utf-8"?>
<sst xmlns="http://schemas.openxmlformats.org/spreadsheetml/2006/main" count="2193" uniqueCount="424">
  <si>
    <t>Flete</t>
  </si>
  <si>
    <t>Ganancia</t>
  </si>
  <si>
    <t>Mosq</t>
  </si>
  <si>
    <t>Repartido</t>
  </si>
  <si>
    <t>medidas</t>
  </si>
  <si>
    <t>sin vidrio</t>
  </si>
  <si>
    <t>60x0,40</t>
  </si>
  <si>
    <t>80x0,40</t>
  </si>
  <si>
    <t>100x0,40</t>
  </si>
  <si>
    <t>120x0,40</t>
  </si>
  <si>
    <t>150x0,40</t>
  </si>
  <si>
    <t>180x0,40</t>
  </si>
  <si>
    <t>200x0,40</t>
  </si>
  <si>
    <t>60x0,60</t>
  </si>
  <si>
    <t>80x0,60</t>
  </si>
  <si>
    <t>100x100</t>
  </si>
  <si>
    <t>150x100</t>
  </si>
  <si>
    <t>100x200</t>
  </si>
  <si>
    <t>vidrio rep</t>
  </si>
  <si>
    <t>VENTANA HERRERO PAPU</t>
  </si>
  <si>
    <t>VENTANAS HERRERO VENTA</t>
  </si>
  <si>
    <t>WHATSAPP 2314-483072</t>
  </si>
  <si>
    <t>AV.VENEZUELA 100-BOLIVAR</t>
  </si>
  <si>
    <t>HERRERO BLANCO</t>
  </si>
  <si>
    <t>Medidas</t>
  </si>
  <si>
    <t>Vidrio Entero</t>
  </si>
  <si>
    <t>Mosquitero</t>
  </si>
  <si>
    <t>Vidrio Rep</t>
  </si>
  <si>
    <t>COLOR</t>
  </si>
  <si>
    <t>NEGRO</t>
  </si>
  <si>
    <t>%</t>
  </si>
  <si>
    <t>BLANCO</t>
  </si>
  <si>
    <t>BRONCE</t>
  </si>
  <si>
    <t>SIMIL MADERA</t>
  </si>
  <si>
    <t>MODO</t>
  </si>
  <si>
    <t>MOSQUITERO</t>
  </si>
  <si>
    <t>60x0,50</t>
  </si>
  <si>
    <t>80x0,50</t>
  </si>
  <si>
    <t>100x0,50</t>
  </si>
  <si>
    <t>120x0,50</t>
  </si>
  <si>
    <t>150x0,50</t>
  </si>
  <si>
    <t>180x0,50</t>
  </si>
  <si>
    <t>200x0,50</t>
  </si>
  <si>
    <t>80x0,80</t>
  </si>
  <si>
    <t>100x0,80</t>
  </si>
  <si>
    <t>120x0,80</t>
  </si>
  <si>
    <t>150x0,80</t>
  </si>
  <si>
    <t>180x0,80</t>
  </si>
  <si>
    <t>200x0,80</t>
  </si>
  <si>
    <t>220x0,80</t>
  </si>
  <si>
    <t>240x0,80</t>
  </si>
  <si>
    <t>100x0,90</t>
  </si>
  <si>
    <t>120x0,90</t>
  </si>
  <si>
    <t>150x0,90</t>
  </si>
  <si>
    <t>180x0,90</t>
  </si>
  <si>
    <t>200x0,90</t>
  </si>
  <si>
    <t>220x0,90</t>
  </si>
  <si>
    <t>240x0,90</t>
  </si>
  <si>
    <t>100x110</t>
  </si>
  <si>
    <t>120x110</t>
  </si>
  <si>
    <t>150x110</t>
  </si>
  <si>
    <t>180x110</t>
  </si>
  <si>
    <t>200x110</t>
  </si>
  <si>
    <t>220x110</t>
  </si>
  <si>
    <t>240x110</t>
  </si>
  <si>
    <t>120x130</t>
  </si>
  <si>
    <t>150x130</t>
  </si>
  <si>
    <t>180x130</t>
  </si>
  <si>
    <t>200x130</t>
  </si>
  <si>
    <t>220x130</t>
  </si>
  <si>
    <t>240x130</t>
  </si>
  <si>
    <t>120x150</t>
  </si>
  <si>
    <t>150x150</t>
  </si>
  <si>
    <t>180x150</t>
  </si>
  <si>
    <t>200x150</t>
  </si>
  <si>
    <t>220x150</t>
  </si>
  <si>
    <t>240x150</t>
  </si>
  <si>
    <t>120x180</t>
  </si>
  <si>
    <t>150x180</t>
  </si>
  <si>
    <t>180x180</t>
  </si>
  <si>
    <t>200x180</t>
  </si>
  <si>
    <t>220x180</t>
  </si>
  <si>
    <t>240x180</t>
  </si>
  <si>
    <t>120x200</t>
  </si>
  <si>
    <t>150x200</t>
  </si>
  <si>
    <t>180x200</t>
  </si>
  <si>
    <t>200x200</t>
  </si>
  <si>
    <t>220x200</t>
  </si>
  <si>
    <t>240x200</t>
  </si>
  <si>
    <t>MOSQUITEROS (VENTANA COLOCADA)</t>
  </si>
  <si>
    <t>AZUL</t>
  </si>
  <si>
    <t>VERDE</t>
  </si>
  <si>
    <t>EMA</t>
  </si>
  <si>
    <t>GUILLE</t>
  </si>
  <si>
    <t>Cobra</t>
  </si>
  <si>
    <t>MOSQUITERO P/VENTANA COLOCADA</t>
  </si>
  <si>
    <t>VENTA</t>
  </si>
  <si>
    <t>100x0,60</t>
  </si>
  <si>
    <t>120x0,60</t>
  </si>
  <si>
    <t>150x0,60</t>
  </si>
  <si>
    <t>180x0,60</t>
  </si>
  <si>
    <t>200x0,60</t>
  </si>
  <si>
    <t>120x100</t>
  </si>
  <si>
    <t>180x100</t>
  </si>
  <si>
    <t>200x100</t>
  </si>
  <si>
    <t>220x100</t>
  </si>
  <si>
    <t>240x100</t>
  </si>
  <si>
    <t>100x120</t>
  </si>
  <si>
    <t>120x120</t>
  </si>
  <si>
    <t>150x120</t>
  </si>
  <si>
    <t>180x120</t>
  </si>
  <si>
    <t>200x120</t>
  </si>
  <si>
    <t>220x120</t>
  </si>
  <si>
    <t>240x120</t>
  </si>
  <si>
    <t>100x150</t>
  </si>
  <si>
    <t>240x205</t>
  </si>
  <si>
    <t>sin_vidrio</t>
  </si>
  <si>
    <t>guia</t>
  </si>
  <si>
    <t>mosquitero</t>
  </si>
  <si>
    <t>vidrio</t>
  </si>
  <si>
    <t>vidrio_entero</t>
  </si>
  <si>
    <t>Ventana c/guia</t>
  </si>
  <si>
    <t>3mm</t>
  </si>
  <si>
    <t>4mm</t>
  </si>
  <si>
    <t>5mm</t>
  </si>
  <si>
    <t>esmerilado</t>
  </si>
  <si>
    <t>fantasia</t>
  </si>
  <si>
    <t>3+3</t>
  </si>
  <si>
    <t>40x40</t>
  </si>
  <si>
    <t>50x40</t>
  </si>
  <si>
    <t>60x40</t>
  </si>
  <si>
    <t>70x40</t>
  </si>
  <si>
    <t>80x40</t>
  </si>
  <si>
    <t>90x40</t>
  </si>
  <si>
    <t>100x40</t>
  </si>
  <si>
    <t>40x50</t>
  </si>
  <si>
    <t>50x50</t>
  </si>
  <si>
    <t>60x50</t>
  </si>
  <si>
    <t>70x50</t>
  </si>
  <si>
    <t>80x50</t>
  </si>
  <si>
    <t>90x50</t>
  </si>
  <si>
    <t>100x50</t>
  </si>
  <si>
    <t>40x120</t>
  </si>
  <si>
    <t>50x120</t>
  </si>
  <si>
    <t>60x120</t>
  </si>
  <si>
    <t>70x120</t>
  </si>
  <si>
    <t>80x120</t>
  </si>
  <si>
    <t>90x120</t>
  </si>
  <si>
    <t>40x150</t>
  </si>
  <si>
    <t>50x150</t>
  </si>
  <si>
    <t>60x150</t>
  </si>
  <si>
    <t>70x150</t>
  </si>
  <si>
    <t>80x150</t>
  </si>
  <si>
    <t>90x150</t>
  </si>
  <si>
    <t>RAJA/BANDEROLA HERRERO BLANCO</t>
  </si>
  <si>
    <t>brazo de empuje manija mas grande Sumar $10000</t>
  </si>
  <si>
    <t>40x60</t>
  </si>
  <si>
    <t>50x60</t>
  </si>
  <si>
    <t>60x60</t>
  </si>
  <si>
    <t>70x60</t>
  </si>
  <si>
    <t>80x60</t>
  </si>
  <si>
    <t>90x60</t>
  </si>
  <si>
    <t>100x60</t>
  </si>
  <si>
    <t>40x70</t>
  </si>
  <si>
    <t>50x70</t>
  </si>
  <si>
    <t>60x70</t>
  </si>
  <si>
    <t>70x70</t>
  </si>
  <si>
    <t>80x70</t>
  </si>
  <si>
    <t>90x70</t>
  </si>
  <si>
    <t>100x70</t>
  </si>
  <si>
    <t>40x80</t>
  </si>
  <si>
    <t>50x80</t>
  </si>
  <si>
    <t>70x80</t>
  </si>
  <si>
    <t>80x80</t>
  </si>
  <si>
    <t>90x80</t>
  </si>
  <si>
    <t>100x80</t>
  </si>
  <si>
    <t>40x90</t>
  </si>
  <si>
    <t>50x90</t>
  </si>
  <si>
    <t>60x90</t>
  </si>
  <si>
    <t>70x90</t>
  </si>
  <si>
    <t>80x90</t>
  </si>
  <si>
    <t>90x90</t>
  </si>
  <si>
    <t>100x90</t>
  </si>
  <si>
    <t>40x100</t>
  </si>
  <si>
    <t>50x100</t>
  </si>
  <si>
    <t>60x100</t>
  </si>
  <si>
    <t>70x100</t>
  </si>
  <si>
    <t>80x100</t>
  </si>
  <si>
    <t>90x100</t>
  </si>
  <si>
    <t>40x110</t>
  </si>
  <si>
    <t>50x110</t>
  </si>
  <si>
    <t>60x110</t>
  </si>
  <si>
    <t>70x110</t>
  </si>
  <si>
    <t>80x110</t>
  </si>
  <si>
    <t>90x110</t>
  </si>
  <si>
    <t>PUERTAS HERRERO</t>
  </si>
  <si>
    <t>s/vidrio</t>
  </si>
  <si>
    <t>v/3mm</t>
  </si>
  <si>
    <t>v/4mm</t>
  </si>
  <si>
    <t>v/5mm</t>
  </si>
  <si>
    <t>v/fantasia</t>
  </si>
  <si>
    <t>v/esmerilado</t>
  </si>
  <si>
    <t>V3+3</t>
  </si>
  <si>
    <t>modelo 1</t>
  </si>
  <si>
    <t>-</t>
  </si>
  <si>
    <t>modelo 1 vr</t>
  </si>
  <si>
    <t>modelo 2</t>
  </si>
  <si>
    <t>modelo 3</t>
  </si>
  <si>
    <t>modelo 3 vr</t>
  </si>
  <si>
    <t xml:space="preserve">modelo 4 </t>
  </si>
  <si>
    <t xml:space="preserve">modelo 4 vr </t>
  </si>
  <si>
    <t>modelo 5</t>
  </si>
  <si>
    <t>modelo 6</t>
  </si>
  <si>
    <t>modelo 7</t>
  </si>
  <si>
    <t>modelo 8</t>
  </si>
  <si>
    <t>modelo 9</t>
  </si>
  <si>
    <t>modelo 10</t>
  </si>
  <si>
    <t>modelo 10 vr</t>
  </si>
  <si>
    <t>modelo 11</t>
  </si>
  <si>
    <t>modelo 12</t>
  </si>
  <si>
    <t>modelo panel</t>
  </si>
  <si>
    <t>ADICIONALES</t>
  </si>
  <si>
    <t>Barral curvo</t>
  </si>
  <si>
    <t>puerta de 90 + 10%</t>
  </si>
  <si>
    <t>barral recto</t>
  </si>
  <si>
    <t>puerta de 70 -7%</t>
  </si>
  <si>
    <t>Pta 70 -7%</t>
  </si>
  <si>
    <t>Pta 90 +10%</t>
  </si>
  <si>
    <t>Modelos</t>
  </si>
  <si>
    <t>Fantasia</t>
  </si>
  <si>
    <t>Esmerilado</t>
  </si>
  <si>
    <t>ADICION</t>
  </si>
  <si>
    <t>BARRAL CURVO</t>
  </si>
  <si>
    <t>BARRAL RECTO</t>
  </si>
  <si>
    <t>PICAPORTE</t>
  </si>
  <si>
    <t>1/2 PUERTA HERRERO</t>
  </si>
  <si>
    <t>modelo</t>
  </si>
  <si>
    <t>v4mm</t>
  </si>
  <si>
    <t>v/entero</t>
  </si>
  <si>
    <t>v/repartido</t>
  </si>
  <si>
    <t xml:space="preserve">3/4 v entero </t>
  </si>
  <si>
    <t>3/4 v repartido</t>
  </si>
  <si>
    <t>1/2 v entero</t>
  </si>
  <si>
    <t>1/2 v repartido</t>
  </si>
  <si>
    <t>4 travezaños</t>
  </si>
  <si>
    <r>
      <rPr>
        <b/>
        <sz val="10"/>
        <rFont val="Arial"/>
        <family val="2"/>
      </rPr>
      <t>1 travesaño</t>
    </r>
  </si>
  <si>
    <t>Modelo</t>
  </si>
  <si>
    <t>4 travesaños</t>
  </si>
  <si>
    <t>1 travesaño</t>
  </si>
  <si>
    <t xml:space="preserve">guia </t>
  </si>
  <si>
    <t>mosq</t>
  </si>
  <si>
    <t>vidrio 3mm</t>
  </si>
  <si>
    <t>v/3+3 lam</t>
  </si>
  <si>
    <t>camara dvh</t>
  </si>
  <si>
    <t>Guia</t>
  </si>
  <si>
    <t>DVH</t>
  </si>
  <si>
    <t xml:space="preserve">VENTANAS MODENA </t>
  </si>
  <si>
    <t>Rajas de abrir / banderolas modena</t>
  </si>
  <si>
    <t>vid/3mm</t>
  </si>
  <si>
    <t>V/3+3</t>
  </si>
  <si>
    <t>60x80</t>
  </si>
  <si>
    <t>RAJAS DE ABRIR Y BANDEROLAS MODENA</t>
  </si>
  <si>
    <t>puertas modena</t>
  </si>
  <si>
    <t>V/3MM</t>
  </si>
  <si>
    <t>V/4MM</t>
  </si>
  <si>
    <t>V/5MM</t>
  </si>
  <si>
    <t>modelo c/panel</t>
  </si>
  <si>
    <t>manija metalica</t>
  </si>
  <si>
    <t>PUERTAS MODENA</t>
  </si>
  <si>
    <t>PATAGONICAS MODENA</t>
  </si>
  <si>
    <t xml:space="preserve">s/vidrio </t>
  </si>
  <si>
    <t>120x60</t>
  </si>
  <si>
    <t>150x60</t>
  </si>
  <si>
    <t>180x60</t>
  </si>
  <si>
    <t>200x60</t>
  </si>
  <si>
    <t>120x80</t>
  </si>
  <si>
    <t>150x80</t>
  </si>
  <si>
    <t>180x80</t>
  </si>
  <si>
    <t>200x80</t>
  </si>
  <si>
    <t>c/ 2 luceras + pf 100</t>
  </si>
  <si>
    <t>c/2 rajas + pf 100</t>
  </si>
  <si>
    <t xml:space="preserve">PATAGONICAS MODENA </t>
  </si>
  <si>
    <t>POSTIGONES</t>
  </si>
  <si>
    <t>Corredizo</t>
  </si>
  <si>
    <t>De abrir</t>
  </si>
  <si>
    <t>Hojas</t>
  </si>
  <si>
    <t>2ó3</t>
  </si>
  <si>
    <t>3ó4</t>
  </si>
  <si>
    <t>hojas</t>
  </si>
  <si>
    <t>PUERTAS LIVIANAS 25mm</t>
  </si>
  <si>
    <t>v3mm</t>
  </si>
  <si>
    <t xml:space="preserve">modelo 1 vr </t>
  </si>
  <si>
    <t>modelo 3vr</t>
  </si>
  <si>
    <t>modelo 4</t>
  </si>
  <si>
    <t>PUERTAS LIVIANAS 25 mm</t>
  </si>
  <si>
    <t>RECARGOS</t>
  </si>
  <si>
    <r>
      <rPr>
        <b/>
        <sz val="11"/>
        <rFont val="Calibri"/>
        <family val="1"/>
      </rPr>
      <t>RECARGO 4 HOJAS</t>
    </r>
  </si>
  <si>
    <t>RECARGO 4 HOJAS</t>
  </si>
  <si>
    <r>
      <rPr>
        <b/>
        <sz val="11"/>
        <rFont val="Calibri"/>
        <family val="1"/>
      </rPr>
      <t>RECARGO 3 HOJAS</t>
    </r>
  </si>
  <si>
    <t>RECARGO 3 HOJAS</t>
  </si>
  <si>
    <r>
      <rPr>
        <b/>
        <sz val="11"/>
        <rFont val="Calibri"/>
        <family val="1"/>
      </rPr>
      <t>RECARGO ANODIZADO NATURAL</t>
    </r>
  </si>
  <si>
    <t>RECARGO ANODIZADO NATURAL</t>
  </si>
  <si>
    <r>
      <rPr>
        <b/>
        <sz val="11"/>
        <rFont val="Calibri"/>
        <family val="1"/>
      </rPr>
      <t>RECARGO BRONCE COLONIAL</t>
    </r>
  </si>
  <si>
    <t>RECARGO BRONCE COLONIAL</t>
  </si>
  <si>
    <r>
      <rPr>
        <b/>
        <sz val="11"/>
        <rFont val="Calibri"/>
        <family val="1"/>
      </rPr>
      <t>RECARGO  NEGRO</t>
    </r>
  </si>
  <si>
    <t>RECARGO  NEGRO</t>
  </si>
  <si>
    <t>METRO</t>
  </si>
  <si>
    <r>
      <rPr>
        <b/>
        <sz val="11"/>
        <rFont val="Calibri"/>
        <family val="1"/>
      </rPr>
      <t>PREMARCO</t>
    </r>
  </si>
  <si>
    <t>lineal</t>
  </si>
  <si>
    <t>PREMARCO</t>
  </si>
  <si>
    <r>
      <rPr>
        <b/>
        <sz val="11"/>
        <rFont val="Calibri"/>
        <family val="1"/>
      </rPr>
      <t>TAPAJUNTA</t>
    </r>
  </si>
  <si>
    <t>TAPAJUNTA</t>
  </si>
  <si>
    <r>
      <rPr>
        <b/>
        <sz val="11"/>
        <rFont val="Calibri"/>
        <family val="1"/>
      </rPr>
      <t>bipunto para corrediza modena por unidad</t>
    </r>
  </si>
  <si>
    <t>bipunto para corrediza modena por unidad</t>
  </si>
  <si>
    <t>oscilobatiente</t>
  </si>
  <si>
    <r>
      <rPr>
        <b/>
        <sz val="11"/>
        <rFont val="Calibri"/>
        <family val="1"/>
      </rPr>
      <t>PAÑO FIJO</t>
    </r>
  </si>
  <si>
    <t>PAÑO FIJO</t>
  </si>
  <si>
    <r>
      <rPr>
        <b/>
        <sz val="11"/>
        <rFont val="Calibri"/>
        <family val="1"/>
      </rPr>
      <t>TRAVESAÑO PAÑO FIJO</t>
    </r>
  </si>
  <si>
    <t>TRAVESAÑO PAÑO FIJO</t>
  </si>
  <si>
    <r>
      <rPr>
        <b/>
        <sz val="11"/>
        <rFont val="Calibri"/>
        <family val="1"/>
      </rPr>
      <t>PAÑO FIJO MODENA</t>
    </r>
  </si>
  <si>
    <t>PAÑO FIJO MODENA</t>
  </si>
  <si>
    <r>
      <rPr>
        <b/>
        <sz val="11"/>
        <rFont val="Calibri"/>
        <family val="1"/>
      </rPr>
      <t>TRAVESAÑO PAÑO FIJO MODENA</t>
    </r>
  </si>
  <si>
    <t>TRAVESAÑO PAÑO FIJO MODENA</t>
  </si>
  <si>
    <r>
      <rPr>
        <b/>
        <sz val="11"/>
        <rFont val="Calibri"/>
        <family val="1"/>
      </rPr>
      <t>PERFIL DE ACOPLE 180°</t>
    </r>
  </si>
  <si>
    <t>PERFIL DE ACOPLE 180°</t>
  </si>
  <si>
    <r>
      <rPr>
        <b/>
        <sz val="11"/>
        <rFont val="Calibri"/>
        <family val="1"/>
      </rPr>
      <t>camara de dvh</t>
    </r>
  </si>
  <si>
    <t>camara de dvh</t>
  </si>
  <si>
    <r>
      <rPr>
        <b/>
        <sz val="11"/>
        <rFont val="Calibri"/>
        <family val="1"/>
      </rPr>
      <t>FLOAT 3mm Incoloro</t>
    </r>
  </si>
  <si>
    <t>m2</t>
  </si>
  <si>
    <t>FLOAT 3mm Incoloro</t>
  </si>
  <si>
    <r>
      <rPr>
        <b/>
        <sz val="11"/>
        <rFont val="Calibri"/>
        <family val="1"/>
      </rPr>
      <t>FLOAT 4mm Incoloro</t>
    </r>
  </si>
  <si>
    <t>FLOAT 4mm Incoloro</t>
  </si>
  <si>
    <r>
      <rPr>
        <b/>
        <sz val="11"/>
        <rFont val="Calibri"/>
        <family val="1"/>
      </rPr>
      <t>FLOAT 5mm Incoloro</t>
    </r>
  </si>
  <si>
    <t>FLOAT 5mm Incoloro</t>
  </si>
  <si>
    <r>
      <rPr>
        <b/>
        <sz val="11"/>
        <rFont val="Calibri"/>
        <family val="1"/>
      </rPr>
      <t>FLOAT 6mm Incoloro</t>
    </r>
  </si>
  <si>
    <t>FLOAT 6mm Incoloro</t>
  </si>
  <si>
    <r>
      <rPr>
        <b/>
        <sz val="11"/>
        <rFont val="Calibri"/>
        <family val="1"/>
      </rPr>
      <t>FANTASIA 4mm Incoloro (stipolite/sicamore)</t>
    </r>
  </si>
  <si>
    <t>FANTASIA 4mm Incoloro (stipolite/sicamore)</t>
  </si>
  <si>
    <r>
      <rPr>
        <b/>
        <sz val="11"/>
        <rFont val="Calibri"/>
        <family val="1"/>
      </rPr>
      <t>ESPEJADO SOLARCOOL 4mm Bronce o Gris</t>
    </r>
  </si>
  <si>
    <t>ESPEJADO SOLARCOOL 4mm Bronce o Gris</t>
  </si>
  <si>
    <r>
      <rPr>
        <b/>
        <sz val="11"/>
        <rFont val="Calibri"/>
        <family val="1"/>
      </rPr>
      <t>LAMINADO BLISAN 3+3 incoloro</t>
    </r>
  </si>
  <si>
    <t>LAMINADO BLISAN 3+3 incoloro</t>
  </si>
  <si>
    <r>
      <rPr>
        <b/>
        <sz val="11"/>
        <rFont val="Calibri"/>
        <family val="1"/>
      </rPr>
      <t>LAMINADO BLISAN 4+4 incoloro</t>
    </r>
  </si>
  <si>
    <t>LAMINADO BLISAN 4+4 incoloro</t>
  </si>
  <si>
    <r>
      <rPr>
        <b/>
        <sz val="11"/>
        <rFont val="Calibri"/>
        <family val="1"/>
      </rPr>
      <t>LAMINADO BLISAN 5+5 incoloro</t>
    </r>
  </si>
  <si>
    <t>LAMINADO BLISAN 5+5 incoloro</t>
  </si>
  <si>
    <r>
      <rPr>
        <b/>
        <sz val="11"/>
        <rFont val="Calibri"/>
        <family val="1"/>
      </rPr>
      <t>esmerilado 3mm</t>
    </r>
  </si>
  <si>
    <t>esmerilado 3mm</t>
  </si>
  <si>
    <r>
      <rPr>
        <b/>
        <sz val="11"/>
        <rFont val="Calibri"/>
        <family val="1"/>
      </rPr>
      <t>esmerilado 4mm</t>
    </r>
  </si>
  <si>
    <t>esmerilado 4mm</t>
  </si>
  <si>
    <t>PLEGADIZAS PVC</t>
  </si>
  <si>
    <t>Detalle</t>
  </si>
  <si>
    <t>Blanco</t>
  </si>
  <si>
    <t>Natural</t>
  </si>
  <si>
    <t>Cedro</t>
  </si>
  <si>
    <t>Blanco Texturado</t>
  </si>
  <si>
    <t>Cedro Texturado</t>
  </si>
  <si>
    <t>72x210</t>
  </si>
  <si>
    <t>82x210</t>
  </si>
  <si>
    <t>92x210</t>
  </si>
  <si>
    <t>102x210</t>
  </si>
  <si>
    <t>112x210</t>
  </si>
  <si>
    <t>132x210</t>
  </si>
  <si>
    <t>CORTINAS PVC</t>
  </si>
  <si>
    <t xml:space="preserve"> STANDARD</t>
  </si>
  <si>
    <t>REFORZADA</t>
  </si>
  <si>
    <t>P55 CURVA REFORZADA</t>
  </si>
  <si>
    <t>S.REFORZADA BLANCA</t>
  </si>
  <si>
    <t>S.REFORZADA MARRON</t>
  </si>
  <si>
    <t>Completa M²</t>
  </si>
  <si>
    <t>Paño armado M²</t>
  </si>
  <si>
    <t>Varilla Metro Lineal</t>
  </si>
  <si>
    <t>Zócalo Metro Lineal</t>
  </si>
  <si>
    <t>S.REF BLANCA</t>
  </si>
  <si>
    <t>S.REF MARRON</t>
  </si>
  <si>
    <t>PUERTAS PLACAS</t>
  </si>
  <si>
    <t>Marco Finger</t>
  </si>
  <si>
    <t>Medida</t>
  </si>
  <si>
    <t>Marco 10</t>
  </si>
  <si>
    <t>Marco 15</t>
  </si>
  <si>
    <t>Hoja Pino</t>
  </si>
  <si>
    <t>Marco Pino</t>
  </si>
  <si>
    <t>Marco Cedro</t>
  </si>
  <si>
    <t>Hoja Cedro</t>
  </si>
  <si>
    <t>Marco Aluminio</t>
  </si>
  <si>
    <t>PUERTAS EMBUTIR</t>
  </si>
  <si>
    <t>Marco FINGER</t>
  </si>
  <si>
    <t>Hoja PINO</t>
  </si>
  <si>
    <t>Hoja CEDRO</t>
  </si>
  <si>
    <t>Marco CEDRO</t>
  </si>
  <si>
    <t>060x200</t>
  </si>
  <si>
    <t>Marco ALUMINIO</t>
  </si>
  <si>
    <t>Aluminio</t>
  </si>
  <si>
    <t>070x200</t>
  </si>
  <si>
    <t>080x200</t>
  </si>
  <si>
    <t>LINEA</t>
  </si>
  <si>
    <t>LISTA</t>
  </si>
  <si>
    <t>DESCUENTO</t>
  </si>
  <si>
    <t>HERRERO</t>
  </si>
  <si>
    <t>MODENA</t>
  </si>
  <si>
    <t>Lista</t>
  </si>
  <si>
    <t>AMARILLA</t>
  </si>
  <si>
    <t>RAJAS DE ABRIR HERRERO</t>
  </si>
  <si>
    <t>ANCHO</t>
  </si>
  <si>
    <t>ANCHO_PUERTAS</t>
  </si>
  <si>
    <t>VENTANAS MODENA</t>
  </si>
  <si>
    <t>TIPO</t>
  </si>
  <si>
    <t>FACTOR</t>
  </si>
  <si>
    <t>CORREDIZO</t>
  </si>
  <si>
    <t>ABRIR</t>
  </si>
  <si>
    <t>FLETE</t>
  </si>
  <si>
    <t>GANANCIA</t>
  </si>
  <si>
    <t>PVC</t>
  </si>
  <si>
    <t>PLEGADIZAS</t>
  </si>
  <si>
    <t>Extra</t>
  </si>
  <si>
    <t xml:space="preserve">PARAMETRO </t>
  </si>
  <si>
    <t xml:space="preserve">           VALOR</t>
  </si>
  <si>
    <t xml:space="preserve">DESCUENTO_GENERAL </t>
  </si>
  <si>
    <t>LISTAS</t>
  </si>
  <si>
    <t>COLORES</t>
  </si>
  <si>
    <t>LINEAS</t>
  </si>
  <si>
    <t>PUERTA MOSQUITERO 80X200</t>
  </si>
  <si>
    <t>PUERTA MOSQUITERO 90X200</t>
  </si>
  <si>
    <t>MOSQUITERO PESADO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</si>
</sst>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20"/>
      <color indexed="8"/>
      <name val="Calibri"/>
      <family val="2"/>
    </font>
    <font>
      <b/>
      <sz val="13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b/>
      <sz val="8"/>
      <color indexed="8"/>
      <name val="Calibri"/>
      <family val="2"/>
    </font>
    <font>
      <b/>
      <i/>
      <sz val="16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20"/>
      <color indexed="8"/>
      <name val="Calibri"/>
      <family val="2"/>
    </font>
    <font>
      <b/>
      <i/>
      <sz val="11"/>
      <name val="Arial"/>
      <family val="2"/>
    </font>
    <font>
      <b/>
      <sz val="12"/>
      <color indexed="8"/>
      <name val="Calibri"/>
      <family val="2"/>
      <scheme val="minor"/>
    </font>
    <font>
      <sz val="9"/>
      <color indexed="8"/>
      <name val="Calibri "/>
    </font>
    <font>
      <sz val="8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omic Sans MS"/>
      <family val="4"/>
    </font>
    <font>
      <b/>
      <sz val="12"/>
      <color indexed="8"/>
      <name val="Calibri "/>
    </font>
    <font>
      <b/>
      <sz val="16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3"/>
      <color indexed="8"/>
      <name val="Calibri"/>
      <family val="2"/>
    </font>
    <font>
      <b/>
      <i/>
      <sz val="16"/>
      <color rgb="FF000000"/>
      <name val="Calibri"/>
      <family val="2"/>
      <scheme val="minor"/>
    </font>
    <font>
      <b/>
      <sz val="11"/>
      <color indexed="8"/>
      <name val="Comic Sans MS"/>
      <family val="4"/>
    </font>
    <font>
      <b/>
      <sz val="11"/>
      <color rgb="FF000000"/>
      <name val="Comic Sans MS"/>
      <family val="4"/>
    </font>
    <font>
      <b/>
      <sz val="14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name val="Calibri"/>
      <family val="1"/>
    </font>
    <font>
      <sz val="11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0.249977111117893"/>
        <bgColor indexed="43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00B0F0"/>
        <bgColor indexed="4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43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43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26"/>
      </patternFill>
    </fill>
    <fill>
      <patternFill patternType="solid">
        <fgColor rgb="FFFFFF00"/>
      </patternFill>
    </fill>
    <fill>
      <patternFill patternType="solid">
        <fgColor theme="2"/>
      </patternFill>
    </fill>
    <fill>
      <patternFill patternType="solid">
        <fgColor rgb="FF00B0F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ck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94">
    <xf numFmtId="0" fontId="0" fillId="0" borderId="0" xfId="0"/>
    <xf numFmtId="0" fontId="1" fillId="0" borderId="0" xfId="1"/>
    <xf numFmtId="0" fontId="3" fillId="0" borderId="0" xfId="2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" fontId="3" fillId="0" borderId="15" xfId="2" applyNumberFormat="1" applyBorder="1" applyAlignment="1">
      <alignment horizontal="center" vertical="center"/>
    </xf>
    <xf numFmtId="1" fontId="3" fillId="0" borderId="16" xfId="2" applyNumberForma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 shrinkToFit="1"/>
    </xf>
    <xf numFmtId="1" fontId="7" fillId="0" borderId="20" xfId="0" applyNumberFormat="1" applyFont="1" applyBorder="1" applyAlignment="1">
      <alignment horizontal="center" vertical="center" shrinkToFit="1"/>
    </xf>
    <xf numFmtId="1" fontId="7" fillId="0" borderId="21" xfId="0" applyNumberFormat="1" applyFont="1" applyBorder="1" applyAlignment="1">
      <alignment horizontal="center" vertical="center" shrinkToFit="1"/>
    </xf>
    <xf numFmtId="1" fontId="3" fillId="0" borderId="22" xfId="2" applyNumberFormat="1" applyBorder="1" applyAlignment="1">
      <alignment horizontal="center" vertical="center"/>
    </xf>
    <xf numFmtId="1" fontId="3" fillId="0" borderId="23" xfId="2" applyNumberFormat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0" fillId="5" borderId="0" xfId="2" applyFont="1" applyFill="1" applyAlignment="1">
      <alignment horizontal="center" vertical="center"/>
    </xf>
    <xf numFmtId="0" fontId="5" fillId="6" borderId="11" xfId="2" applyFont="1" applyFill="1" applyBorder="1" applyAlignment="1">
      <alignment horizontal="center" vertical="center"/>
    </xf>
    <xf numFmtId="0" fontId="5" fillId="6" borderId="12" xfId="2" applyFont="1" applyFill="1" applyBorder="1" applyAlignment="1">
      <alignment horizontal="center" vertical="center"/>
    </xf>
    <xf numFmtId="0" fontId="5" fillId="6" borderId="13" xfId="2" applyFont="1" applyFill="1" applyBorder="1" applyAlignment="1">
      <alignment horizontal="center" vertical="center"/>
    </xf>
    <xf numFmtId="0" fontId="6" fillId="6" borderId="14" xfId="2" applyFont="1" applyFill="1" applyBorder="1" applyAlignment="1">
      <alignment horizontal="center" vertical="center"/>
    </xf>
    <xf numFmtId="0" fontId="6" fillId="6" borderId="17" xfId="2" applyFont="1" applyFill="1" applyBorder="1" applyAlignment="1">
      <alignment horizontal="center" vertical="center"/>
    </xf>
    <xf numFmtId="0" fontId="6" fillId="6" borderId="18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9" borderId="11" xfId="2" applyFont="1" applyFill="1" applyBorder="1" applyAlignment="1">
      <alignment horizontal="center" vertical="center"/>
    </xf>
    <xf numFmtId="0" fontId="6" fillId="9" borderId="14" xfId="2" applyFont="1" applyFill="1" applyBorder="1" applyAlignment="1">
      <alignment horizontal="center" vertical="center"/>
    </xf>
    <xf numFmtId="0" fontId="6" fillId="9" borderId="17" xfId="2" applyFont="1" applyFill="1" applyBorder="1" applyAlignment="1">
      <alignment horizontal="center" vertical="center"/>
    </xf>
    <xf numFmtId="0" fontId="6" fillId="9" borderId="18" xfId="2" applyFont="1" applyFill="1" applyBorder="1" applyAlignment="1">
      <alignment horizontal="center" vertical="center"/>
    </xf>
    <xf numFmtId="0" fontId="5" fillId="9" borderId="12" xfId="2" applyFont="1" applyFill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6" fillId="2" borderId="6" xfId="2" applyFont="1" applyFill="1" applyBorder="1" applyAlignment="1">
      <alignment horizontal="center" vertical="center"/>
    </xf>
    <xf numFmtId="1" fontId="17" fillId="0" borderId="29" xfId="0" applyNumberFormat="1" applyFont="1" applyBorder="1" applyAlignment="1">
      <alignment horizontal="center" vertical="top" shrinkToFit="1"/>
    </xf>
    <xf numFmtId="1" fontId="17" fillId="0" borderId="30" xfId="0" applyNumberFormat="1" applyFont="1" applyBorder="1" applyAlignment="1">
      <alignment horizontal="center" vertical="top" shrinkToFit="1"/>
    </xf>
    <xf numFmtId="0" fontId="16" fillId="8" borderId="25" xfId="0" applyFont="1" applyFill="1" applyBorder="1" applyAlignment="1">
      <alignment horizontal="center" vertical="top" wrapText="1"/>
    </xf>
    <xf numFmtId="0" fontId="16" fillId="8" borderId="26" xfId="0" applyFont="1" applyFill="1" applyBorder="1" applyAlignment="1">
      <alignment horizontal="center" vertical="top" wrapText="1"/>
    </xf>
    <xf numFmtId="0" fontId="16" fillId="8" borderId="27" xfId="0" applyFont="1" applyFill="1" applyBorder="1" applyAlignment="1">
      <alignment horizontal="center" vertical="top" wrapText="1"/>
    </xf>
    <xf numFmtId="0" fontId="14" fillId="8" borderId="28" xfId="0" applyFont="1" applyFill="1" applyBorder="1" applyAlignment="1">
      <alignment horizontal="center" vertical="top" wrapText="1"/>
    </xf>
    <xf numFmtId="0" fontId="14" fillId="8" borderId="31" xfId="0" applyFont="1" applyFill="1" applyBorder="1" applyAlignment="1">
      <alignment horizontal="center" vertical="top" wrapText="1"/>
    </xf>
    <xf numFmtId="0" fontId="14" fillId="10" borderId="11" xfId="1" applyFont="1" applyFill="1" applyBorder="1" applyAlignment="1">
      <alignment horizontal="center" vertical="top" wrapText="1"/>
    </xf>
    <xf numFmtId="0" fontId="14" fillId="10" borderId="12" xfId="1" applyFont="1" applyFill="1" applyBorder="1" applyAlignment="1">
      <alignment horizontal="center" vertical="top" wrapText="1"/>
    </xf>
    <xf numFmtId="0" fontId="14" fillId="10" borderId="13" xfId="1" applyFont="1" applyFill="1" applyBorder="1" applyAlignment="1">
      <alignment horizontal="center" vertical="top" wrapText="1"/>
    </xf>
    <xf numFmtId="1" fontId="17" fillId="0" borderId="15" xfId="1" applyNumberFormat="1" applyFont="1" applyBorder="1" applyAlignment="1">
      <alignment horizontal="center" vertical="top" shrinkToFit="1"/>
    </xf>
    <xf numFmtId="1" fontId="17" fillId="0" borderId="16" xfId="1" applyNumberFormat="1" applyFont="1" applyBorder="1" applyAlignment="1">
      <alignment horizontal="center" vertical="top" shrinkToFit="1"/>
    </xf>
    <xf numFmtId="0" fontId="14" fillId="10" borderId="32" xfId="1" applyFont="1" applyFill="1" applyBorder="1" applyAlignment="1">
      <alignment horizontal="center" vertical="top" wrapText="1"/>
    </xf>
    <xf numFmtId="0" fontId="14" fillId="10" borderId="33" xfId="1" applyFont="1" applyFill="1" applyBorder="1" applyAlignment="1">
      <alignment horizontal="center" vertical="top" wrapText="1"/>
    </xf>
    <xf numFmtId="0" fontId="14" fillId="10" borderId="34" xfId="1" applyFont="1" applyFill="1" applyBorder="1" applyAlignment="1">
      <alignment horizontal="center" vertical="top" wrapText="1"/>
    </xf>
    <xf numFmtId="1" fontId="17" fillId="0" borderId="35" xfId="1" applyNumberFormat="1" applyFont="1" applyBorder="1" applyAlignment="1">
      <alignment horizontal="center" vertical="top" shrinkToFit="1"/>
    </xf>
    <xf numFmtId="1" fontId="17" fillId="0" borderId="6" xfId="1" applyNumberFormat="1" applyFont="1" applyBorder="1" applyAlignment="1">
      <alignment horizontal="center" vertical="top" shrinkToFit="1"/>
    </xf>
    <xf numFmtId="1" fontId="17" fillId="0" borderId="7" xfId="1" applyNumberFormat="1" applyFont="1" applyBorder="1" applyAlignment="1">
      <alignment horizontal="center" vertical="top" shrinkToFit="1"/>
    </xf>
    <xf numFmtId="1" fontId="17" fillId="0" borderId="14" xfId="1" applyNumberFormat="1" applyFont="1" applyBorder="1" applyAlignment="1">
      <alignment horizontal="center" vertical="top" shrinkToFit="1"/>
    </xf>
    <xf numFmtId="1" fontId="17" fillId="0" borderId="36" xfId="1" applyNumberFormat="1" applyFont="1" applyBorder="1" applyAlignment="1">
      <alignment horizontal="center" vertical="top" shrinkToFit="1"/>
    </xf>
    <xf numFmtId="1" fontId="17" fillId="0" borderId="22" xfId="1" applyNumberFormat="1" applyFont="1" applyBorder="1" applyAlignment="1">
      <alignment horizontal="center" vertical="top" shrinkToFit="1"/>
    </xf>
    <xf numFmtId="1" fontId="17" fillId="0" borderId="23" xfId="1" applyNumberFormat="1" applyFont="1" applyBorder="1" applyAlignment="1">
      <alignment horizontal="center" vertical="top" shrinkToFit="1"/>
    </xf>
    <xf numFmtId="0" fontId="3" fillId="0" borderId="40" xfId="2" applyBorder="1" applyAlignment="1">
      <alignment horizontal="center" vertical="center"/>
    </xf>
    <xf numFmtId="1" fontId="3" fillId="0" borderId="40" xfId="2" applyNumberFormat="1" applyBorder="1" applyAlignment="1">
      <alignment horizontal="center" vertical="center"/>
    </xf>
    <xf numFmtId="1" fontId="3" fillId="0" borderId="41" xfId="2" applyNumberFormat="1" applyBorder="1" applyAlignment="1">
      <alignment horizontal="center" vertical="center"/>
    </xf>
    <xf numFmtId="0" fontId="3" fillId="0" borderId="42" xfId="2" applyBorder="1" applyAlignment="1">
      <alignment horizontal="center" vertical="center"/>
    </xf>
    <xf numFmtId="0" fontId="5" fillId="13" borderId="42" xfId="2" applyFont="1" applyFill="1" applyBorder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1" fontId="3" fillId="0" borderId="42" xfId="2" applyNumberFormat="1" applyBorder="1" applyAlignment="1">
      <alignment horizontal="center" vertical="center"/>
    </xf>
    <xf numFmtId="0" fontId="6" fillId="15" borderId="35" xfId="2" applyFont="1" applyFill="1" applyBorder="1" applyAlignment="1">
      <alignment horizontal="center" vertical="center"/>
    </xf>
    <xf numFmtId="0" fontId="5" fillId="15" borderId="6" xfId="2" applyFont="1" applyFill="1" applyBorder="1" applyAlignment="1">
      <alignment horizontal="center" vertical="center"/>
    </xf>
    <xf numFmtId="0" fontId="5" fillId="15" borderId="7" xfId="2" applyFont="1" applyFill="1" applyBorder="1" applyAlignment="1">
      <alignment horizontal="center" vertical="center"/>
    </xf>
    <xf numFmtId="0" fontId="5" fillId="15" borderId="17" xfId="2" applyFont="1" applyFill="1" applyBorder="1" applyAlignment="1">
      <alignment horizontal="center" vertical="center"/>
    </xf>
    <xf numFmtId="0" fontId="5" fillId="15" borderId="18" xfId="2" applyFont="1" applyFill="1" applyBorder="1" applyAlignment="1">
      <alignment horizontal="center" vertical="center"/>
    </xf>
    <xf numFmtId="0" fontId="5" fillId="16" borderId="42" xfId="2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11" xfId="2" applyFont="1" applyBorder="1" applyAlignment="1">
      <alignment horizontal="center" vertical="center"/>
    </xf>
    <xf numFmtId="0" fontId="21" fillId="0" borderId="12" xfId="2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1" fontId="22" fillId="0" borderId="15" xfId="2" applyNumberFormat="1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1" fontId="1" fillId="0" borderId="41" xfId="1" applyNumberFormat="1" applyBorder="1" applyAlignment="1">
      <alignment horizontal="center" vertical="center"/>
    </xf>
    <xf numFmtId="0" fontId="23" fillId="0" borderId="0" xfId="1" applyFont="1"/>
    <xf numFmtId="0" fontId="5" fillId="0" borderId="18" xfId="2" applyFont="1" applyBorder="1" applyAlignment="1">
      <alignment horizontal="center" vertical="center"/>
    </xf>
    <xf numFmtId="1" fontId="1" fillId="0" borderId="49" xfId="1" applyNumberForma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4" fillId="14" borderId="35" xfId="2" applyFont="1" applyFill="1" applyBorder="1" applyAlignment="1">
      <alignment horizontal="center" vertical="center"/>
    </xf>
    <xf numFmtId="0" fontId="24" fillId="14" borderId="6" xfId="2" applyFont="1" applyFill="1" applyBorder="1" applyAlignment="1">
      <alignment horizontal="center" vertical="center"/>
    </xf>
    <xf numFmtId="0" fontId="26" fillId="14" borderId="6" xfId="2" applyFont="1" applyFill="1" applyBorder="1" applyAlignment="1">
      <alignment horizontal="center" vertical="center"/>
    </xf>
    <xf numFmtId="0" fontId="26" fillId="14" borderId="7" xfId="2" applyFont="1" applyFill="1" applyBorder="1" applyAlignment="1">
      <alignment horizontal="center" vertical="center"/>
    </xf>
    <xf numFmtId="0" fontId="24" fillId="14" borderId="17" xfId="2" applyFont="1" applyFill="1" applyBorder="1" applyAlignment="1">
      <alignment horizontal="center" vertical="center"/>
    </xf>
    <xf numFmtId="0" fontId="2" fillId="18" borderId="18" xfId="0" applyFont="1" applyFill="1" applyBorder="1" applyAlignment="1">
      <alignment horizontal="center" vertical="center" wrapText="1"/>
    </xf>
    <xf numFmtId="1" fontId="26" fillId="0" borderId="35" xfId="2" applyNumberFormat="1" applyFont="1" applyBorder="1" applyAlignment="1">
      <alignment horizontal="center" vertical="center"/>
    </xf>
    <xf numFmtId="1" fontId="26" fillId="0" borderId="6" xfId="2" applyNumberFormat="1" applyFont="1" applyBorder="1" applyAlignment="1">
      <alignment horizontal="center" vertical="center"/>
    </xf>
    <xf numFmtId="1" fontId="26" fillId="0" borderId="7" xfId="2" applyNumberFormat="1" applyFont="1" applyBorder="1" applyAlignment="1">
      <alignment horizontal="center" vertical="center"/>
    </xf>
    <xf numFmtId="1" fontId="26" fillId="0" borderId="17" xfId="2" applyNumberFormat="1" applyFont="1" applyBorder="1" applyAlignment="1">
      <alignment horizontal="center" vertical="center"/>
    </xf>
    <xf numFmtId="1" fontId="26" fillId="0" borderId="40" xfId="2" applyNumberFormat="1" applyFont="1" applyBorder="1" applyAlignment="1">
      <alignment horizontal="center" vertical="center"/>
    </xf>
    <xf numFmtId="1" fontId="26" fillId="0" borderId="41" xfId="2" applyNumberFormat="1" applyFont="1" applyBorder="1" applyAlignment="1">
      <alignment horizontal="center" vertical="center"/>
    </xf>
    <xf numFmtId="1" fontId="26" fillId="0" borderId="18" xfId="2" applyNumberFormat="1" applyFont="1" applyBorder="1" applyAlignment="1">
      <alignment horizontal="center" vertical="center"/>
    </xf>
    <xf numFmtId="1" fontId="26" fillId="0" borderId="53" xfId="2" applyNumberFormat="1" applyFont="1" applyBorder="1" applyAlignment="1">
      <alignment horizontal="center" vertical="center"/>
    </xf>
    <xf numFmtId="1" fontId="26" fillId="0" borderId="49" xfId="2" applyNumberFormat="1" applyFont="1" applyBorder="1" applyAlignment="1">
      <alignment horizontal="center" vertical="center"/>
    </xf>
    <xf numFmtId="0" fontId="6" fillId="14" borderId="35" xfId="2" applyFont="1" applyFill="1" applyBorder="1" applyAlignment="1">
      <alignment horizontal="center" vertical="center"/>
    </xf>
    <xf numFmtId="0" fontId="6" fillId="14" borderId="6" xfId="2" applyFont="1" applyFill="1" applyBorder="1" applyAlignment="1">
      <alignment horizontal="center" vertical="center"/>
    </xf>
    <xf numFmtId="0" fontId="6" fillId="14" borderId="7" xfId="2" applyFont="1" applyFill="1" applyBorder="1" applyAlignment="1">
      <alignment horizontal="center" vertical="center"/>
    </xf>
    <xf numFmtId="0" fontId="3" fillId="14" borderId="17" xfId="2" applyFill="1" applyBorder="1" applyAlignment="1">
      <alignment horizontal="center" vertical="center"/>
    </xf>
    <xf numFmtId="0" fontId="3" fillId="14" borderId="18" xfId="2" applyFill="1" applyBorder="1" applyAlignment="1">
      <alignment horizontal="center" vertical="center"/>
    </xf>
    <xf numFmtId="0" fontId="27" fillId="6" borderId="12" xfId="2" applyFont="1" applyFill="1" applyBorder="1" applyAlignment="1">
      <alignment horizontal="center" vertical="center"/>
    </xf>
    <xf numFmtId="0" fontId="27" fillId="6" borderId="13" xfId="2" applyFont="1" applyFill="1" applyBorder="1" applyAlignment="1">
      <alignment horizontal="center" vertical="center"/>
    </xf>
    <xf numFmtId="0" fontId="6" fillId="6" borderId="32" xfId="2" applyFont="1" applyFill="1" applyBorder="1" applyAlignment="1">
      <alignment horizontal="center" vertical="center"/>
    </xf>
    <xf numFmtId="0" fontId="6" fillId="6" borderId="33" xfId="2" applyFont="1" applyFill="1" applyBorder="1" applyAlignment="1">
      <alignment horizontal="center" vertical="center"/>
    </xf>
    <xf numFmtId="0" fontId="6" fillId="6" borderId="52" xfId="2" applyFont="1" applyFill="1" applyBorder="1" applyAlignment="1">
      <alignment horizontal="center" vertical="center"/>
    </xf>
    <xf numFmtId="1" fontId="3" fillId="0" borderId="35" xfId="2" applyNumberFormat="1" applyBorder="1" applyAlignment="1">
      <alignment horizontal="center" vertical="center"/>
    </xf>
    <xf numFmtId="1" fontId="3" fillId="0" borderId="6" xfId="2" applyNumberFormat="1" applyBorder="1" applyAlignment="1">
      <alignment horizontal="center" vertical="center"/>
    </xf>
    <xf numFmtId="1" fontId="3" fillId="0" borderId="7" xfId="2" applyNumberFormat="1" applyBorder="1" applyAlignment="1">
      <alignment horizontal="center" vertical="center"/>
    </xf>
    <xf numFmtId="1" fontId="3" fillId="0" borderId="14" xfId="2" applyNumberFormat="1" applyBorder="1" applyAlignment="1">
      <alignment horizontal="center" vertical="center"/>
    </xf>
    <xf numFmtId="1" fontId="3" fillId="0" borderId="36" xfId="2" applyNumberFormat="1" applyBorder="1" applyAlignment="1">
      <alignment horizontal="center" vertical="center"/>
    </xf>
    <xf numFmtId="0" fontId="28" fillId="6" borderId="33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30" fillId="6" borderId="14" xfId="2" applyFont="1" applyFill="1" applyBorder="1" applyAlignment="1">
      <alignment horizontal="center" vertical="center"/>
    </xf>
    <xf numFmtId="0" fontId="30" fillId="6" borderId="50" xfId="2" applyFont="1" applyFill="1" applyBorder="1" applyAlignment="1">
      <alignment horizontal="center" vertical="center"/>
    </xf>
    <xf numFmtId="0" fontId="30" fillId="6" borderId="51" xfId="2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1" fontId="3" fillId="0" borderId="40" xfId="2" applyNumberFormat="1" applyBorder="1" applyAlignment="1">
      <alignment horizontal="center"/>
    </xf>
    <xf numFmtId="1" fontId="3" fillId="0" borderId="41" xfId="2" applyNumberFormat="1" applyBorder="1" applyAlignment="1">
      <alignment horizontal="center"/>
    </xf>
    <xf numFmtId="0" fontId="33" fillId="6" borderId="11" xfId="2" applyFont="1" applyFill="1" applyBorder="1" applyAlignment="1">
      <alignment horizontal="center" vertical="center"/>
    </xf>
    <xf numFmtId="0" fontId="33" fillId="6" borderId="12" xfId="2" applyFont="1" applyFill="1" applyBorder="1" applyAlignment="1">
      <alignment horizontal="center" vertical="center"/>
    </xf>
    <xf numFmtId="0" fontId="33" fillId="6" borderId="13" xfId="2" applyFont="1" applyFill="1" applyBorder="1" applyAlignment="1">
      <alignment horizontal="center" vertical="center"/>
    </xf>
    <xf numFmtId="0" fontId="5" fillId="14" borderId="35" xfId="2" applyFont="1" applyFill="1" applyBorder="1" applyAlignment="1">
      <alignment horizontal="center"/>
    </xf>
    <xf numFmtId="0" fontId="5" fillId="14" borderId="6" xfId="2" applyFont="1" applyFill="1" applyBorder="1" applyAlignment="1">
      <alignment horizontal="center"/>
    </xf>
    <xf numFmtId="0" fontId="5" fillId="14" borderId="7" xfId="2" applyFont="1" applyFill="1" applyBorder="1" applyAlignment="1">
      <alignment horizontal="center"/>
    </xf>
    <xf numFmtId="0" fontId="3" fillId="14" borderId="17" xfId="2" applyFill="1" applyBorder="1" applyAlignment="1">
      <alignment horizontal="center"/>
    </xf>
    <xf numFmtId="0" fontId="3" fillId="14" borderId="18" xfId="2" applyFill="1" applyBorder="1" applyAlignment="1">
      <alignment horizontal="center"/>
    </xf>
    <xf numFmtId="0" fontId="3" fillId="0" borderId="57" xfId="2" applyBorder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34" fillId="4" borderId="54" xfId="2" applyFont="1" applyFill="1" applyBorder="1" applyAlignment="1">
      <alignment horizontal="center" vertical="center"/>
    </xf>
    <xf numFmtId="0" fontId="34" fillId="4" borderId="55" xfId="2" applyFont="1" applyFill="1" applyBorder="1" applyAlignment="1">
      <alignment horizontal="center" vertical="center"/>
    </xf>
    <xf numFmtId="0" fontId="34" fillId="4" borderId="12" xfId="2" applyFont="1" applyFill="1" applyBorder="1" applyAlignment="1">
      <alignment horizontal="center" vertical="center"/>
    </xf>
    <xf numFmtId="0" fontId="34" fillId="4" borderId="13" xfId="2" applyFont="1" applyFill="1" applyBorder="1" applyAlignment="1">
      <alignment horizontal="center" vertical="center"/>
    </xf>
    <xf numFmtId="0" fontId="5" fillId="6" borderId="64" xfId="2" applyFont="1" applyFill="1" applyBorder="1" applyAlignment="1">
      <alignment horizontal="center" vertical="center"/>
    </xf>
    <xf numFmtId="1" fontId="3" fillId="0" borderId="65" xfId="2" applyNumberFormat="1" applyBorder="1" applyAlignment="1">
      <alignment horizontal="center" vertical="center"/>
    </xf>
    <xf numFmtId="0" fontId="5" fillId="6" borderId="8" xfId="2" applyFont="1" applyFill="1" applyBorder="1" applyAlignment="1">
      <alignment horizontal="center" vertical="center"/>
    </xf>
    <xf numFmtId="0" fontId="5" fillId="6" borderId="10" xfId="2" applyFont="1" applyFill="1" applyBorder="1" applyAlignment="1">
      <alignment horizontal="center" vertical="center"/>
    </xf>
    <xf numFmtId="0" fontId="5" fillId="6" borderId="66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1" fontId="3" fillId="0" borderId="4" xfId="2" applyNumberFormat="1" applyBorder="1" applyAlignment="1">
      <alignment horizontal="center" vertical="center"/>
    </xf>
    <xf numFmtId="0" fontId="5" fillId="6" borderId="68" xfId="2" applyFont="1" applyFill="1" applyBorder="1" applyAlignment="1">
      <alignment horizontal="center" vertical="center"/>
    </xf>
    <xf numFmtId="0" fontId="6" fillId="14" borderId="17" xfId="2" applyFont="1" applyFill="1" applyBorder="1" applyAlignment="1">
      <alignment horizontal="center" vertical="center"/>
    </xf>
    <xf numFmtId="0" fontId="6" fillId="14" borderId="40" xfId="2" applyFont="1" applyFill="1" applyBorder="1" applyAlignment="1">
      <alignment horizontal="center" vertical="center"/>
    </xf>
    <xf numFmtId="0" fontId="6" fillId="14" borderId="41" xfId="2" applyFont="1" applyFill="1" applyBorder="1" applyAlignment="1">
      <alignment horizontal="center" vertical="center"/>
    </xf>
    <xf numFmtId="0" fontId="6" fillId="14" borderId="18" xfId="2" applyFont="1" applyFill="1" applyBorder="1" applyAlignment="1">
      <alignment horizontal="center" vertical="center"/>
    </xf>
    <xf numFmtId="0" fontId="10" fillId="5" borderId="0" xfId="2" applyFont="1" applyFill="1" applyAlignment="1">
      <alignment vertical="center"/>
    </xf>
    <xf numFmtId="0" fontId="3" fillId="0" borderId="75" xfId="2" applyBorder="1" applyAlignment="1">
      <alignment horizontal="center"/>
    </xf>
    <xf numFmtId="0" fontId="3" fillId="0" borderId="76" xfId="2" applyBorder="1" applyAlignment="1">
      <alignment horizontal="center"/>
    </xf>
    <xf numFmtId="1" fontId="3" fillId="0" borderId="75" xfId="2" applyNumberFormat="1" applyBorder="1" applyAlignment="1">
      <alignment horizontal="center"/>
    </xf>
    <xf numFmtId="0" fontId="3" fillId="0" borderId="78" xfId="2" applyBorder="1" applyAlignment="1">
      <alignment horizontal="center"/>
    </xf>
    <xf numFmtId="1" fontId="3" fillId="0" borderId="78" xfId="2" applyNumberFormat="1" applyBorder="1" applyAlignment="1">
      <alignment horizontal="center"/>
    </xf>
    <xf numFmtId="0" fontId="35" fillId="14" borderId="71" xfId="2" applyFont="1" applyFill="1" applyBorder="1" applyAlignment="1">
      <alignment horizontal="center"/>
    </xf>
    <xf numFmtId="0" fontId="35" fillId="14" borderId="72" xfId="2" applyFont="1" applyFill="1" applyBorder="1" applyAlignment="1">
      <alignment horizontal="center"/>
    </xf>
    <xf numFmtId="0" fontId="35" fillId="14" borderId="73" xfId="2" applyFont="1" applyFill="1" applyBorder="1" applyAlignment="1">
      <alignment horizontal="center"/>
    </xf>
    <xf numFmtId="0" fontId="3" fillId="14" borderId="74" xfId="2" applyFill="1" applyBorder="1" applyAlignment="1">
      <alignment horizontal="center"/>
    </xf>
    <xf numFmtId="0" fontId="3" fillId="14" borderId="77" xfId="2" applyFill="1" applyBorder="1" applyAlignment="1">
      <alignment horizontal="center"/>
    </xf>
    <xf numFmtId="0" fontId="6" fillId="6" borderId="14" xfId="2" applyFont="1" applyFill="1" applyBorder="1" applyAlignment="1">
      <alignment horizontal="center"/>
    </xf>
    <xf numFmtId="1" fontId="3" fillId="0" borderId="15" xfId="2" applyNumberFormat="1" applyBorder="1" applyAlignment="1">
      <alignment horizontal="center"/>
    </xf>
    <xf numFmtId="1" fontId="3" fillId="0" borderId="16" xfId="2" applyNumberFormat="1" applyBorder="1" applyAlignment="1">
      <alignment horizontal="center"/>
    </xf>
    <xf numFmtId="0" fontId="6" fillId="6" borderId="17" xfId="2" applyFont="1" applyFill="1" applyBorder="1" applyAlignment="1">
      <alignment horizontal="center"/>
    </xf>
    <xf numFmtId="0" fontId="6" fillId="6" borderId="18" xfId="2" applyFont="1" applyFill="1" applyBorder="1" applyAlignment="1">
      <alignment horizontal="center"/>
    </xf>
    <xf numFmtId="0" fontId="31" fillId="15" borderId="35" xfId="2" applyFont="1" applyFill="1" applyBorder="1" applyAlignment="1">
      <alignment horizontal="center" vertical="center"/>
    </xf>
    <xf numFmtId="0" fontId="5" fillId="14" borderId="17" xfId="2" applyFont="1" applyFill="1" applyBorder="1" applyAlignment="1">
      <alignment horizontal="center" vertical="center"/>
    </xf>
    <xf numFmtId="0" fontId="5" fillId="14" borderId="18" xfId="2" applyFont="1" applyFill="1" applyBorder="1" applyAlignment="1">
      <alignment horizontal="center" vertical="center"/>
    </xf>
    <xf numFmtId="0" fontId="5" fillId="14" borderId="6" xfId="2" applyFont="1" applyFill="1" applyBorder="1" applyAlignment="1">
      <alignment horizontal="center" vertical="center"/>
    </xf>
    <xf numFmtId="0" fontId="5" fillId="14" borderId="7" xfId="2" applyFont="1" applyFill="1" applyBorder="1" applyAlignment="1">
      <alignment horizontal="center" vertical="center"/>
    </xf>
    <xf numFmtId="0" fontId="32" fillId="5" borderId="0" xfId="2" applyFont="1" applyFill="1" applyAlignment="1">
      <alignment vertical="center"/>
    </xf>
    <xf numFmtId="0" fontId="27" fillId="6" borderId="11" xfId="2" applyFont="1" applyFill="1" applyBorder="1" applyAlignment="1">
      <alignment horizontal="center" vertical="center"/>
    </xf>
    <xf numFmtId="0" fontId="5" fillId="6" borderId="14" xfId="2" applyFont="1" applyFill="1" applyBorder="1" applyAlignment="1">
      <alignment horizontal="center" vertical="center"/>
    </xf>
    <xf numFmtId="0" fontId="5" fillId="6" borderId="17" xfId="2" applyFont="1" applyFill="1" applyBorder="1" applyAlignment="1">
      <alignment horizontal="center" vertical="center"/>
    </xf>
    <xf numFmtId="0" fontId="5" fillId="6" borderId="18" xfId="2" applyFont="1" applyFill="1" applyBorder="1" applyAlignment="1">
      <alignment horizontal="center" vertical="center"/>
    </xf>
    <xf numFmtId="0" fontId="37" fillId="12" borderId="29" xfId="0" applyFont="1" applyFill="1" applyBorder="1" applyAlignment="1">
      <alignment horizontal="center" vertical="top" wrapText="1"/>
    </xf>
    <xf numFmtId="0" fontId="6" fillId="0" borderId="46" xfId="2" applyFont="1" applyBorder="1" applyAlignment="1">
      <alignment horizontal="center" vertical="center"/>
    </xf>
    <xf numFmtId="9" fontId="3" fillId="0" borderId="79" xfId="2" applyNumberFormat="1" applyBorder="1" applyAlignment="1">
      <alignment horizontal="center" vertical="center"/>
    </xf>
    <xf numFmtId="0" fontId="6" fillId="11" borderId="79" xfId="2" applyFont="1" applyFill="1" applyBorder="1" applyAlignment="1">
      <alignment horizontal="center" vertical="center"/>
    </xf>
    <xf numFmtId="0" fontId="6" fillId="0" borderId="80" xfId="2" applyFont="1" applyBorder="1" applyAlignment="1">
      <alignment horizontal="center" vertical="center"/>
    </xf>
    <xf numFmtId="0" fontId="6" fillId="11" borderId="42" xfId="2" applyFont="1" applyFill="1" applyBorder="1" applyAlignment="1">
      <alignment horizontal="center" vertical="center"/>
    </xf>
    <xf numFmtId="0" fontId="39" fillId="12" borderId="29" xfId="0" applyFont="1" applyFill="1" applyBorder="1" applyAlignment="1">
      <alignment horizontal="left" wrapText="1"/>
    </xf>
    <xf numFmtId="0" fontId="38" fillId="12" borderId="29" xfId="0" applyFont="1" applyFill="1" applyBorder="1" applyAlignment="1">
      <alignment horizontal="center" vertical="top" wrapText="1"/>
    </xf>
    <xf numFmtId="0" fontId="38" fillId="17" borderId="29" xfId="0" applyFont="1" applyFill="1" applyBorder="1" applyAlignment="1">
      <alignment horizontal="center" vertical="top" wrapText="1"/>
    </xf>
    <xf numFmtId="0" fontId="14" fillId="0" borderId="0" xfId="1" applyFont="1"/>
    <xf numFmtId="0" fontId="14" fillId="0" borderId="0" xfId="1" applyFont="1" applyAlignment="1">
      <alignment horizontal="center"/>
    </xf>
    <xf numFmtId="0" fontId="6" fillId="6" borderId="81" xfId="2" applyFont="1" applyFill="1" applyBorder="1" applyAlignment="1">
      <alignment horizontal="center" vertical="center"/>
    </xf>
    <xf numFmtId="9" fontId="3" fillId="0" borderId="82" xfId="2" applyNumberFormat="1" applyBorder="1" applyAlignment="1">
      <alignment horizontal="center" vertical="center"/>
    </xf>
    <xf numFmtId="0" fontId="6" fillId="6" borderId="83" xfId="2" applyFont="1" applyFill="1" applyBorder="1" applyAlignment="1">
      <alignment horizontal="center" vertical="center"/>
    </xf>
    <xf numFmtId="0" fontId="3" fillId="0" borderId="84" xfId="2" applyBorder="1" applyAlignment="1">
      <alignment horizontal="center" vertical="center"/>
    </xf>
    <xf numFmtId="1" fontId="3" fillId="0" borderId="84" xfId="2" applyNumberFormat="1" applyBorder="1" applyAlignment="1">
      <alignment horizontal="center" vertical="center"/>
    </xf>
    <xf numFmtId="0" fontId="38" fillId="19" borderId="28" xfId="1" applyFont="1" applyFill="1" applyBorder="1" applyAlignment="1">
      <alignment horizontal="center" vertical="top" wrapText="1"/>
    </xf>
    <xf numFmtId="0" fontId="6" fillId="6" borderId="85" xfId="2" applyFont="1" applyFill="1" applyBorder="1" applyAlignment="1">
      <alignment horizontal="center" vertical="center"/>
    </xf>
    <xf numFmtId="0" fontId="6" fillId="0" borderId="86" xfId="2" applyFont="1" applyBorder="1" applyAlignment="1">
      <alignment horizontal="center" vertical="center"/>
    </xf>
    <xf numFmtId="0" fontId="15" fillId="10" borderId="17" xfId="2" applyFont="1" applyFill="1" applyBorder="1" applyAlignment="1">
      <alignment horizontal="center" vertical="center"/>
    </xf>
    <xf numFmtId="0" fontId="15" fillId="6" borderId="40" xfId="2" applyFont="1" applyFill="1" applyBorder="1" applyAlignment="1">
      <alignment horizontal="center" vertical="center"/>
    </xf>
    <xf numFmtId="0" fontId="15" fillId="6" borderId="41" xfId="2" applyFont="1" applyFill="1" applyBorder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15" fillId="10" borderId="35" xfId="2" applyFont="1" applyFill="1" applyBorder="1" applyAlignment="1">
      <alignment horizontal="center" vertical="center"/>
    </xf>
    <xf numFmtId="0" fontId="15" fillId="6" borderId="6" xfId="2" applyFont="1" applyFill="1" applyBorder="1" applyAlignment="1">
      <alignment horizontal="center" vertical="center"/>
    </xf>
    <xf numFmtId="0" fontId="15" fillId="6" borderId="7" xfId="2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0" fontId="1" fillId="10" borderId="5" xfId="1" applyFill="1" applyBorder="1" applyAlignment="1">
      <alignment horizontal="center" vertical="center"/>
    </xf>
    <xf numFmtId="0" fontId="1" fillId="10" borderId="6" xfId="1" applyFill="1" applyBorder="1" applyAlignment="1">
      <alignment horizontal="center" vertical="center"/>
    </xf>
    <xf numFmtId="0" fontId="1" fillId="10" borderId="7" xfId="1" applyFill="1" applyBorder="1" applyAlignment="1">
      <alignment horizontal="center" vertical="center"/>
    </xf>
    <xf numFmtId="0" fontId="1" fillId="0" borderId="91" xfId="1" applyBorder="1" applyAlignment="1">
      <alignment horizontal="center" vertical="center"/>
    </xf>
    <xf numFmtId="1" fontId="1" fillId="0" borderId="40" xfId="1" applyNumberFormat="1" applyBorder="1" applyAlignment="1">
      <alignment horizontal="center" vertical="center"/>
    </xf>
    <xf numFmtId="0" fontId="1" fillId="0" borderId="67" xfId="1" applyBorder="1" applyAlignment="1">
      <alignment horizontal="center" vertical="center"/>
    </xf>
    <xf numFmtId="0" fontId="1" fillId="13" borderId="0" xfId="1" applyFill="1"/>
    <xf numFmtId="0" fontId="1" fillId="10" borderId="65" xfId="1" applyFill="1" applyBorder="1" applyAlignment="1">
      <alignment horizontal="center" vertical="center"/>
    </xf>
    <xf numFmtId="0" fontId="1" fillId="10" borderId="15" xfId="1" applyFill="1" applyBorder="1" applyAlignment="1">
      <alignment horizontal="center" vertical="center"/>
    </xf>
    <xf numFmtId="0" fontId="1" fillId="10" borderId="16" xfId="1" applyFill="1" applyBorder="1" applyAlignment="1">
      <alignment horizontal="center" vertical="center"/>
    </xf>
    <xf numFmtId="1" fontId="1" fillId="0" borderId="53" xfId="1" applyNumberFormat="1" applyBorder="1" applyAlignment="1">
      <alignment horizontal="center" vertical="center"/>
    </xf>
    <xf numFmtId="0" fontId="1" fillId="0" borderId="87" xfId="1" applyBorder="1"/>
    <xf numFmtId="0" fontId="1" fillId="0" borderId="88" xfId="1" applyBorder="1"/>
    <xf numFmtId="0" fontId="1" fillId="0" borderId="89" xfId="1" applyBorder="1"/>
    <xf numFmtId="1" fontId="3" fillId="0" borderId="53" xfId="2" applyNumberFormat="1" applyBorder="1" applyAlignment="1">
      <alignment horizontal="center" vertical="center"/>
    </xf>
    <xf numFmtId="1" fontId="3" fillId="0" borderId="49" xfId="2" applyNumberFormat="1" applyBorder="1" applyAlignment="1">
      <alignment horizontal="center" vertical="center"/>
    </xf>
    <xf numFmtId="1" fontId="3" fillId="0" borderId="22" xfId="2" applyNumberFormat="1" applyBorder="1" applyAlignment="1">
      <alignment horizontal="center"/>
    </xf>
    <xf numFmtId="1" fontId="3" fillId="0" borderId="23" xfId="2" applyNumberFormat="1" applyBorder="1" applyAlignment="1">
      <alignment horizontal="center"/>
    </xf>
    <xf numFmtId="1" fontId="3" fillId="0" borderId="92" xfId="2" applyNumberFormat="1" applyBorder="1" applyAlignment="1">
      <alignment horizontal="center" vertical="center"/>
    </xf>
    <xf numFmtId="1" fontId="3" fillId="0" borderId="93" xfId="2" applyNumberFormat="1" applyBorder="1" applyAlignment="1">
      <alignment horizontal="center" vertical="center"/>
    </xf>
    <xf numFmtId="1" fontId="3" fillId="0" borderId="89" xfId="2" applyNumberFormat="1" applyBorder="1" applyAlignment="1">
      <alignment horizontal="center" vertical="center"/>
    </xf>
    <xf numFmtId="0" fontId="43" fillId="6" borderId="11" xfId="2" applyFont="1" applyFill="1" applyBorder="1" applyAlignment="1">
      <alignment horizontal="center" vertical="center"/>
    </xf>
    <xf numFmtId="0" fontId="43" fillId="6" borderId="12" xfId="2" applyFont="1" applyFill="1" applyBorder="1" applyAlignment="1">
      <alignment horizontal="center" vertical="center"/>
    </xf>
    <xf numFmtId="0" fontId="43" fillId="6" borderId="13" xfId="2" applyFont="1" applyFill="1" applyBorder="1" applyAlignment="1">
      <alignment horizontal="center" vertical="center"/>
    </xf>
    <xf numFmtId="0" fontId="36" fillId="6" borderId="54" xfId="2" applyFont="1" applyFill="1" applyBorder="1" applyAlignment="1">
      <alignment horizontal="center" vertical="center"/>
    </xf>
    <xf numFmtId="0" fontId="36" fillId="6" borderId="55" xfId="2" applyFont="1" applyFill="1" applyBorder="1" applyAlignment="1">
      <alignment horizontal="center" vertical="center"/>
    </xf>
    <xf numFmtId="0" fontId="36" fillId="6" borderId="12" xfId="2" applyFont="1" applyFill="1" applyBorder="1" applyAlignment="1">
      <alignment horizontal="center" vertical="center"/>
    </xf>
    <xf numFmtId="0" fontId="36" fillId="6" borderId="13" xfId="2" applyFont="1" applyFill="1" applyBorder="1" applyAlignment="1">
      <alignment horizontal="center" vertical="center"/>
    </xf>
    <xf numFmtId="1" fontId="22" fillId="0" borderId="22" xfId="2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0" borderId="94" xfId="1" applyNumberFormat="1" applyFont="1" applyFill="1" applyBorder="1" applyAlignment="1">
      <alignment horizontal="center" vertical="center" wrapText="1"/>
    </xf>
    <xf numFmtId="0" fontId="1" fillId="0" borderId="94" xfId="1" applyNumberFormat="1" applyFont="1" applyBorder="1" applyAlignment="1">
      <alignment horizontal="center" vertical="center" wrapText="1"/>
    </xf>
    <xf numFmtId="0" fontId="1" fillId="20" borderId="94" xfId="1" applyNumberFormat="1" applyFont="1" applyFill="1" applyBorder="1" applyAlignment="1">
      <alignment horizontal="center" vertical="center"/>
    </xf>
    <xf numFmtId="0" fontId="1" fillId="0" borderId="94" xfId="1" applyNumberFormat="1" applyFont="1" applyBorder="1" applyAlignment="1">
      <alignment horizontal="center" vertical="center"/>
    </xf>
    <xf numFmtId="0" fontId="1" fillId="20" borderId="95" xfId="1" applyNumberFormat="1" applyFont="1" applyFill="1" applyBorder="1" applyAlignment="1">
      <alignment horizontal="center" vertical="center" wrapText="1"/>
    </xf>
    <xf numFmtId="0" fontId="1" fillId="20" borderId="95" xfId="1" applyNumberFormat="1" applyFont="1" applyFill="1" applyBorder="1" applyAlignment="1">
      <alignment horizontal="center" vertical="center"/>
    </xf>
    <xf numFmtId="0" fontId="1" fillId="0" borderId="96" xfId="1" applyNumberFormat="1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2" fillId="21" borderId="35" xfId="0" applyFont="1" applyFill="1" applyBorder="1" applyAlignment="1">
      <alignment horizontal="center" vertical="center"/>
    </xf>
    <xf numFmtId="0" fontId="12" fillId="21" borderId="6" xfId="0" applyFont="1" applyFill="1" applyBorder="1" applyAlignment="1">
      <alignment horizontal="center" vertical="center"/>
    </xf>
    <xf numFmtId="0" fontId="12" fillId="21" borderId="7" xfId="0" applyFont="1" applyFill="1" applyBorder="1" applyAlignment="1">
      <alignment horizontal="center" vertical="center"/>
    </xf>
    <xf numFmtId="0" fontId="0" fillId="0" borderId="49" xfId="0" applyBorder="1"/>
    <xf numFmtId="0" fontId="3" fillId="3" borderId="35" xfId="2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/>
    </xf>
    <xf numFmtId="0" fontId="5" fillId="2" borderId="56" xfId="2" applyFont="1" applyFill="1" applyBorder="1" applyAlignment="1">
      <alignment horizontal="center" vertical="center"/>
    </xf>
    <xf numFmtId="0" fontId="6" fillId="3" borderId="35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1" fillId="0" borderId="0" xfId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" fontId="3" fillId="21" borderId="15" xfId="2" applyNumberFormat="1" applyFill="1" applyBorder="1" applyAlignment="1">
      <alignment horizontal="center" vertical="center"/>
    </xf>
    <xf numFmtId="1" fontId="3" fillId="21" borderId="16" xfId="2" applyNumberFormat="1" applyFill="1" applyBorder="1" applyAlignment="1">
      <alignment horizontal="center" vertical="center"/>
    </xf>
    <xf numFmtId="9" fontId="1" fillId="0" borderId="0" xfId="1" applyNumberFormat="1" applyAlignment="1">
      <alignment horizontal="center" vertical="center"/>
    </xf>
    <xf numFmtId="0" fontId="12" fillId="22" borderId="6" xfId="0" applyFont="1" applyFill="1" applyBorder="1" applyAlignment="1">
      <alignment horizontal="center" vertical="center"/>
    </xf>
    <xf numFmtId="0" fontId="0" fillId="0" borderId="18" xfId="0" applyBorder="1"/>
    <xf numFmtId="0" fontId="0" fillId="0" borderId="53" xfId="0" applyBorder="1"/>
    <xf numFmtId="0" fontId="12" fillId="12" borderId="35" xfId="0" applyFont="1" applyFill="1" applyBorder="1"/>
    <xf numFmtId="0" fontId="12" fillId="12" borderId="6" xfId="0" applyFont="1" applyFill="1" applyBorder="1"/>
    <xf numFmtId="0" fontId="12" fillId="12" borderId="7" xfId="0" applyFont="1" applyFill="1" applyBorder="1"/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16" borderId="46" xfId="2" applyFont="1" applyFill="1" applyBorder="1" applyAlignment="1">
      <alignment horizontal="center" vertical="center"/>
    </xf>
    <xf numFmtId="0" fontId="5" fillId="16" borderId="47" xfId="2" applyFont="1" applyFill="1" applyBorder="1" applyAlignment="1">
      <alignment horizontal="center" vertical="center"/>
    </xf>
    <xf numFmtId="0" fontId="5" fillId="16" borderId="48" xfId="2" applyFont="1" applyFill="1" applyBorder="1" applyAlignment="1">
      <alignment horizontal="center" vertical="center"/>
    </xf>
    <xf numFmtId="0" fontId="19" fillId="14" borderId="37" xfId="2" applyFont="1" applyFill="1" applyBorder="1" applyAlignment="1">
      <alignment horizontal="center" vertical="center"/>
    </xf>
    <xf numFmtId="0" fontId="19" fillId="14" borderId="38" xfId="2" applyFont="1" applyFill="1" applyBorder="1" applyAlignment="1">
      <alignment horizontal="center" vertical="center"/>
    </xf>
    <xf numFmtId="0" fontId="19" fillId="14" borderId="39" xfId="2" applyFont="1" applyFill="1" applyBorder="1" applyAlignment="1">
      <alignment horizontal="center" vertical="center"/>
    </xf>
    <xf numFmtId="0" fontId="5" fillId="16" borderId="43" xfId="2" applyFont="1" applyFill="1" applyBorder="1" applyAlignment="1">
      <alignment horizontal="center" vertical="center"/>
    </xf>
    <xf numFmtId="0" fontId="5" fillId="16" borderId="44" xfId="2" applyFont="1" applyFill="1" applyBorder="1" applyAlignment="1">
      <alignment horizontal="center" vertical="center"/>
    </xf>
    <xf numFmtId="0" fontId="5" fillId="16" borderId="45" xfId="2" applyFont="1" applyFill="1" applyBorder="1" applyAlignment="1">
      <alignment horizontal="center" vertical="center"/>
    </xf>
    <xf numFmtId="0" fontId="25" fillId="14" borderId="1" xfId="2" applyFont="1" applyFill="1" applyBorder="1" applyAlignment="1">
      <alignment horizontal="center" vertical="center"/>
    </xf>
    <xf numFmtId="0" fontId="25" fillId="14" borderId="2" xfId="2" applyFont="1" applyFill="1" applyBorder="1" applyAlignment="1">
      <alignment horizontal="center" vertical="center"/>
    </xf>
    <xf numFmtId="0" fontId="25" fillId="14" borderId="3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4" fillId="14" borderId="1" xfId="2" applyFont="1" applyFill="1" applyBorder="1" applyAlignment="1">
      <alignment horizontal="center"/>
    </xf>
    <xf numFmtId="0" fontId="4" fillId="14" borderId="2" xfId="2" applyFont="1" applyFill="1" applyBorder="1" applyAlignment="1">
      <alignment horizontal="center"/>
    </xf>
    <xf numFmtId="0" fontId="4" fillId="14" borderId="3" xfId="2" applyFont="1" applyFill="1" applyBorder="1" applyAlignment="1">
      <alignment horizontal="center"/>
    </xf>
    <xf numFmtId="0" fontId="5" fillId="2" borderId="61" xfId="2" applyFont="1" applyFill="1" applyBorder="1" applyAlignment="1">
      <alignment horizontal="center" vertical="center"/>
    </xf>
    <xf numFmtId="0" fontId="5" fillId="2" borderId="62" xfId="2" applyFont="1" applyFill="1" applyBorder="1" applyAlignment="1">
      <alignment horizontal="center" vertical="center"/>
    </xf>
    <xf numFmtId="0" fontId="5" fillId="2" borderId="63" xfId="2" applyFont="1" applyFill="1" applyBorder="1" applyAlignment="1">
      <alignment horizontal="center" vertical="center"/>
    </xf>
    <xf numFmtId="0" fontId="5" fillId="2" borderId="58" xfId="2" applyFont="1" applyFill="1" applyBorder="1" applyAlignment="1">
      <alignment horizontal="center" vertical="center"/>
    </xf>
    <xf numFmtId="0" fontId="5" fillId="2" borderId="59" xfId="2" applyFont="1" applyFill="1" applyBorder="1" applyAlignment="1">
      <alignment horizontal="center" vertical="center"/>
    </xf>
    <xf numFmtId="0" fontId="5" fillId="2" borderId="60" xfId="2" applyFont="1" applyFill="1" applyBorder="1" applyAlignment="1">
      <alignment horizontal="center" vertical="center"/>
    </xf>
    <xf numFmtId="0" fontId="25" fillId="14" borderId="35" xfId="2" applyFont="1" applyFill="1" applyBorder="1" applyAlignment="1">
      <alignment horizontal="center" vertical="center"/>
    </xf>
    <xf numFmtId="0" fontId="25" fillId="14" borderId="6" xfId="2" applyFont="1" applyFill="1" applyBorder="1" applyAlignment="1">
      <alignment horizontal="center" vertical="center"/>
    </xf>
    <xf numFmtId="0" fontId="25" fillId="14" borderId="7" xfId="2" applyFont="1" applyFill="1" applyBorder="1" applyAlignment="1">
      <alignment horizontal="center" vertical="center"/>
    </xf>
    <xf numFmtId="0" fontId="4" fillId="14" borderId="1" xfId="2" applyFont="1" applyFill="1" applyBorder="1" applyAlignment="1">
      <alignment horizontal="center" vertical="center"/>
    </xf>
    <xf numFmtId="0" fontId="4" fillId="14" borderId="2" xfId="2" applyFont="1" applyFill="1" applyBorder="1" applyAlignment="1">
      <alignment horizontal="center" vertical="center"/>
    </xf>
    <xf numFmtId="0" fontId="4" fillId="14" borderId="3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center" vertical="center"/>
    </xf>
    <xf numFmtId="0" fontId="6" fillId="11" borderId="2" xfId="2" applyFont="1" applyFill="1" applyBorder="1" applyAlignment="1">
      <alignment horizontal="center" vertical="center"/>
    </xf>
    <xf numFmtId="0" fontId="6" fillId="11" borderId="3" xfId="2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2" fillId="3" borderId="88" xfId="0" applyFont="1" applyFill="1" applyBorder="1" applyAlignment="1">
      <alignment horizontal="center" vertical="center"/>
    </xf>
    <xf numFmtId="0" fontId="40" fillId="7" borderId="37" xfId="0" applyFont="1" applyFill="1" applyBorder="1" applyAlignment="1">
      <alignment horizontal="center" vertical="center"/>
    </xf>
    <xf numFmtId="0" fontId="40" fillId="7" borderId="38" xfId="0" applyFont="1" applyFill="1" applyBorder="1" applyAlignment="1">
      <alignment horizontal="center" vertical="center"/>
    </xf>
    <xf numFmtId="0" fontId="40" fillId="7" borderId="39" xfId="0" applyFont="1" applyFill="1" applyBorder="1" applyAlignment="1">
      <alignment horizontal="center" vertical="center"/>
    </xf>
    <xf numFmtId="0" fontId="40" fillId="7" borderId="87" xfId="0" applyFont="1" applyFill="1" applyBorder="1" applyAlignment="1">
      <alignment horizontal="center" vertical="center"/>
    </xf>
    <xf numFmtId="0" fontId="40" fillId="7" borderId="88" xfId="0" applyFont="1" applyFill="1" applyBorder="1" applyAlignment="1">
      <alignment horizontal="center" vertical="center"/>
    </xf>
    <xf numFmtId="0" fontId="40" fillId="7" borderId="89" xfId="0" applyFont="1" applyFill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90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9" fillId="4" borderId="12" xfId="2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horizontal="center" vertical="center"/>
    </xf>
    <xf numFmtId="0" fontId="15" fillId="6" borderId="1" xfId="2" applyFont="1" applyFill="1" applyBorder="1" applyAlignment="1">
      <alignment horizontal="center" vertical="center"/>
    </xf>
    <xf numFmtId="0" fontId="15" fillId="6" borderId="3" xfId="2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4" borderId="11" xfId="2" applyFont="1" applyFill="1" applyBorder="1" applyAlignment="1">
      <alignment horizontal="center" vertical="center"/>
    </xf>
    <xf numFmtId="0" fontId="10" fillId="4" borderId="12" xfId="2" applyFont="1" applyFill="1" applyBorder="1" applyAlignment="1">
      <alignment horizontal="center" vertical="center"/>
    </xf>
    <xf numFmtId="0" fontId="10" fillId="4" borderId="13" xfId="2" applyFont="1" applyFill="1" applyBorder="1" applyAlignment="1">
      <alignment horizontal="center" vertical="center"/>
    </xf>
    <xf numFmtId="0" fontId="6" fillId="6" borderId="11" xfId="2" applyFont="1" applyFill="1" applyBorder="1" applyAlignment="1">
      <alignment horizontal="center" vertical="center"/>
    </xf>
    <xf numFmtId="0" fontId="6" fillId="6" borderId="12" xfId="2" applyFont="1" applyFill="1" applyBorder="1" applyAlignment="1">
      <alignment horizontal="center" vertical="center"/>
    </xf>
    <xf numFmtId="0" fontId="6" fillId="6" borderId="13" xfId="2" applyFont="1" applyFill="1" applyBorder="1" applyAlignment="1">
      <alignment horizontal="center" vertical="center"/>
    </xf>
    <xf numFmtId="0" fontId="1" fillId="0" borderId="41" xfId="1" applyBorder="1" applyAlignment="1">
      <alignment horizontal="center" vertical="center" textRotation="135"/>
    </xf>
    <xf numFmtId="0" fontId="14" fillId="0" borderId="0" xfId="1" applyFont="1" applyAlignment="1">
      <alignment horizontal="center"/>
    </xf>
    <xf numFmtId="0" fontId="19" fillId="6" borderId="11" xfId="2" applyFont="1" applyFill="1" applyBorder="1" applyAlignment="1">
      <alignment horizontal="center" vertical="center"/>
    </xf>
    <xf numFmtId="0" fontId="19" fillId="6" borderId="12" xfId="2" applyFont="1" applyFill="1" applyBorder="1" applyAlignment="1">
      <alignment horizontal="center" vertical="center"/>
    </xf>
    <xf numFmtId="0" fontId="19" fillId="6" borderId="13" xfId="2" applyFont="1" applyFill="1" applyBorder="1" applyAlignment="1">
      <alignment horizontal="center" vertical="center"/>
    </xf>
    <xf numFmtId="0" fontId="1" fillId="0" borderId="16" xfId="1" applyBorder="1" applyAlignment="1">
      <alignment horizontal="center" vertical="center" textRotation="135"/>
    </xf>
    <xf numFmtId="0" fontId="29" fillId="6" borderId="11" xfId="2" applyFont="1" applyFill="1" applyBorder="1" applyAlignment="1">
      <alignment horizontal="center" vertical="center"/>
    </xf>
    <xf numFmtId="0" fontId="29" fillId="6" borderId="12" xfId="2" applyFont="1" applyFill="1" applyBorder="1" applyAlignment="1">
      <alignment horizontal="center" vertical="center"/>
    </xf>
    <xf numFmtId="0" fontId="29" fillId="6" borderId="13" xfId="2" applyFont="1" applyFill="1" applyBorder="1" applyAlignment="1">
      <alignment horizontal="center" vertical="center"/>
    </xf>
    <xf numFmtId="0" fontId="32" fillId="4" borderId="11" xfId="2" applyFont="1" applyFill="1" applyBorder="1" applyAlignment="1">
      <alignment horizontal="center" vertical="center"/>
    </xf>
    <xf numFmtId="0" fontId="32" fillId="4" borderId="12" xfId="2" applyFont="1" applyFill="1" applyBorder="1" applyAlignment="1">
      <alignment horizontal="center" vertical="center"/>
    </xf>
    <xf numFmtId="0" fontId="32" fillId="4" borderId="13" xfId="2" applyFont="1" applyFill="1" applyBorder="1" applyAlignment="1">
      <alignment horizontal="center" vertical="center"/>
    </xf>
    <xf numFmtId="0" fontId="5" fillId="6" borderId="5" xfId="2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/>
    </xf>
    <xf numFmtId="0" fontId="5" fillId="6" borderId="7" xfId="2" applyFont="1" applyFill="1" applyBorder="1" applyAlignment="1">
      <alignment horizontal="center" vertical="center"/>
    </xf>
    <xf numFmtId="0" fontId="5" fillId="6" borderId="67" xfId="2" applyFont="1" applyFill="1" applyBorder="1" applyAlignment="1">
      <alignment horizontal="center" vertical="center"/>
    </xf>
    <xf numFmtId="0" fontId="5" fillId="6" borderId="53" xfId="2" applyFont="1" applyFill="1" applyBorder="1" applyAlignment="1">
      <alignment horizontal="center" vertical="center"/>
    </xf>
    <xf numFmtId="0" fontId="5" fillId="6" borderId="49" xfId="2" applyFont="1" applyFill="1" applyBorder="1" applyAlignment="1">
      <alignment horizontal="center" vertical="center"/>
    </xf>
    <xf numFmtId="0" fontId="10" fillId="4" borderId="24" xfId="2" applyFont="1" applyFill="1" applyBorder="1" applyAlignment="1">
      <alignment horizontal="center" vertical="center"/>
    </xf>
    <xf numFmtId="0" fontId="10" fillId="4" borderId="69" xfId="2" applyFont="1" applyFill="1" applyBorder="1" applyAlignment="1">
      <alignment horizontal="center" vertical="center"/>
    </xf>
    <xf numFmtId="0" fontId="10" fillId="4" borderId="70" xfId="2" applyFont="1" applyFill="1" applyBorder="1" applyAlignment="1">
      <alignment horizontal="center" vertical="center"/>
    </xf>
    <xf numFmtId="0" fontId="25" fillId="6" borderId="11" xfId="2" applyFont="1" applyFill="1" applyBorder="1" applyAlignment="1">
      <alignment horizontal="center" vertical="center"/>
    </xf>
    <xf numFmtId="0" fontId="25" fillId="6" borderId="12" xfId="2" applyFont="1" applyFill="1" applyBorder="1" applyAlignment="1">
      <alignment horizontal="center" vertical="center"/>
    </xf>
    <xf numFmtId="0" fontId="25" fillId="6" borderId="13" xfId="2" applyFont="1" applyFill="1" applyBorder="1" applyAlignment="1">
      <alignment horizontal="center" vertical="center"/>
    </xf>
    <xf numFmtId="0" fontId="32" fillId="4" borderId="24" xfId="2" applyFont="1" applyFill="1" applyBorder="1" applyAlignment="1">
      <alignment horizontal="center" vertical="center"/>
    </xf>
    <xf numFmtId="0" fontId="32" fillId="4" borderId="69" xfId="2" applyFont="1" applyFill="1" applyBorder="1" applyAlignment="1">
      <alignment horizontal="center" vertical="center"/>
    </xf>
    <xf numFmtId="0" fontId="32" fillId="4" borderId="70" xfId="2" applyFont="1" applyFill="1" applyBorder="1" applyAlignment="1">
      <alignment horizontal="center" vertical="center"/>
    </xf>
    <xf numFmtId="0" fontId="35" fillId="6" borderId="1" xfId="2" applyFont="1" applyFill="1" applyBorder="1" applyAlignment="1">
      <alignment horizontal="center" vertical="center"/>
    </xf>
    <xf numFmtId="0" fontId="35" fillId="6" borderId="2" xfId="2" applyFont="1" applyFill="1" applyBorder="1" applyAlignment="1">
      <alignment horizontal="center" vertical="center"/>
    </xf>
    <xf numFmtId="0" fontId="35" fillId="6" borderId="3" xfId="2" applyFont="1" applyFill="1" applyBorder="1" applyAlignment="1">
      <alignment horizontal="center" vertical="center"/>
    </xf>
    <xf numFmtId="0" fontId="4" fillId="6" borderId="35" xfId="2" applyFont="1" applyFill="1" applyBorder="1" applyAlignment="1">
      <alignment horizontal="center" vertical="center"/>
    </xf>
    <xf numFmtId="0" fontId="4" fillId="6" borderId="6" xfId="2" applyFont="1" applyFill="1" applyBorder="1" applyAlignment="1">
      <alignment horizontal="center" vertical="center"/>
    </xf>
    <xf numFmtId="0" fontId="4" fillId="6" borderId="7" xfId="2" applyFont="1" applyFill="1" applyBorder="1" applyAlignment="1">
      <alignment horizontal="center" vertical="center"/>
    </xf>
    <xf numFmtId="0" fontId="4" fillId="6" borderId="1" xfId="2" applyFont="1" applyFill="1" applyBorder="1" applyAlignment="1">
      <alignment horizontal="center" vertical="center"/>
    </xf>
    <xf numFmtId="0" fontId="4" fillId="6" borderId="2" xfId="2" applyFont="1" applyFill="1" applyBorder="1" applyAlignment="1">
      <alignment horizontal="center" vertical="center"/>
    </xf>
    <xf numFmtId="0" fontId="3" fillId="10" borderId="38" xfId="2" applyFill="1" applyBorder="1" applyAlignment="1">
      <alignment horizontal="center" vertical="center"/>
    </xf>
    <xf numFmtId="0" fontId="3" fillId="10" borderId="39" xfId="2" applyFill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10" borderId="4" xfId="1" applyFont="1" applyFill="1" applyBorder="1" applyAlignment="1">
      <alignment horizontal="center" vertical="center"/>
    </xf>
    <xf numFmtId="0" fontId="13" fillId="10" borderId="8" xfId="1" applyFont="1" applyFill="1" applyBorder="1" applyAlignment="1">
      <alignment horizontal="center" vertical="center"/>
    </xf>
    <xf numFmtId="0" fontId="40" fillId="10" borderId="35" xfId="1" applyFont="1" applyFill="1" applyBorder="1" applyAlignment="1">
      <alignment horizontal="center" vertical="center"/>
    </xf>
    <xf numFmtId="0" fontId="40" fillId="10" borderId="6" xfId="1" applyFont="1" applyFill="1" applyBorder="1" applyAlignment="1">
      <alignment horizontal="center" vertical="center"/>
    </xf>
    <xf numFmtId="0" fontId="40" fillId="10" borderId="7" xfId="1" applyFont="1" applyFill="1" applyBorder="1" applyAlignment="1">
      <alignment horizontal="center" vertical="center"/>
    </xf>
    <xf numFmtId="0" fontId="40" fillId="10" borderId="18" xfId="1" applyFont="1" applyFill="1" applyBorder="1" applyAlignment="1">
      <alignment horizontal="center" vertical="center"/>
    </xf>
    <xf numFmtId="0" fontId="40" fillId="10" borderId="53" xfId="1" applyFont="1" applyFill="1" applyBorder="1" applyAlignment="1">
      <alignment horizontal="center" vertical="center"/>
    </xf>
    <xf numFmtId="0" fontId="40" fillId="10" borderId="49" xfId="1" applyFont="1" applyFill="1" applyBorder="1" applyAlignment="1">
      <alignment horizontal="center" vertical="center"/>
    </xf>
    <xf numFmtId="0" fontId="42" fillId="10" borderId="11" xfId="1" applyFont="1" applyFill="1" applyBorder="1" applyAlignment="1">
      <alignment horizontal="center" vertical="center"/>
    </xf>
    <xf numFmtId="0" fontId="42" fillId="10" borderId="12" xfId="1" applyFont="1" applyFill="1" applyBorder="1" applyAlignment="1">
      <alignment horizontal="center" vertical="center"/>
    </xf>
    <xf numFmtId="0" fontId="42" fillId="10" borderId="13" xfId="1" applyFont="1" applyFill="1" applyBorder="1" applyAlignment="1">
      <alignment horizontal="center" vertical="center"/>
    </xf>
  </cellXfs>
  <cellStyles count="3">
    <cellStyle name="Excel Built-in Normal" xfId="2" xr:uid="{00000000-0005-0000-0000-000000000000}"/>
    <cellStyle name="Normal" xfId="0" builtinId="0"/>
    <cellStyle name="Normal 2" xfId="1" xr:uid="{00000000-0005-0000-0000-000002000000}"/>
  </cellStyles>
  <dxfs count="82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alignment horizontal="center"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562027</xdr:colOff>
      <xdr:row>0</xdr:row>
      <xdr:rowOff>66676</xdr:rowOff>
    </xdr:from>
    <xdr:to>
      <xdr:col>2</xdr:col>
      <xdr:colOff>744141</xdr:colOff>
      <xdr:row>1</xdr:row>
      <xdr:rowOff>158137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09113E-9898-4678-A2EF-0E9965C6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027" y="66676"/>
          <a:ext cx="944114" cy="2724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57150</xdr:rowOff>
    </xdr:from>
    <xdr:to>
      <xdr:col>4</xdr:col>
      <xdr:colOff>801291</xdr:colOff>
      <xdr:row>4</xdr:row>
      <xdr:rowOff>143849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3FC917-29AE-4520-9FDB-FE8774E4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57150"/>
          <a:ext cx="2611041" cy="753449"/>
        </a:xfrm>
        <a:prstGeom prst="rect">
          <a:avLst/>
        </a:prstGeom>
      </xdr:spPr>
    </xdr:pic>
    <xdr:clientData/>
  </xdr:twoCellAnchor>
  <xdr:twoCellAnchor editAs="oneCell">
    <xdr:from>
      <xdr:col>4</xdr:col>
      <xdr:colOff>359989</xdr:colOff>
      <xdr:row>4</xdr:row>
      <xdr:rowOff>125926</xdr:rowOff>
    </xdr:from>
    <xdr:to>
      <xdr:col>4</xdr:col>
      <xdr:colOff>636213</xdr:colOff>
      <xdr:row>6</xdr:row>
      <xdr:rowOff>52105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53645C14-6E0C-405D-9C37-102ACD0C3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9989" y="792676"/>
          <a:ext cx="276224" cy="2952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57150</xdr:rowOff>
    </xdr:from>
    <xdr:to>
      <xdr:col>4</xdr:col>
      <xdr:colOff>326162</xdr:colOff>
      <xdr:row>4</xdr:row>
      <xdr:rowOff>123678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CB773D-ECF6-46A9-8794-9C2D0783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150"/>
          <a:ext cx="2545487" cy="714228"/>
        </a:xfrm>
        <a:prstGeom prst="rect">
          <a:avLst/>
        </a:prstGeom>
      </xdr:spPr>
    </xdr:pic>
    <xdr:clientData/>
  </xdr:twoCellAnchor>
  <xdr:twoCellAnchor editAs="oneCell">
    <xdr:from>
      <xdr:col>3</xdr:col>
      <xdr:colOff>942311</xdr:colOff>
      <xdr:row>4</xdr:row>
      <xdr:rowOff>90207</xdr:rowOff>
    </xdr:from>
    <xdr:to>
      <xdr:col>3</xdr:col>
      <xdr:colOff>1218535</xdr:colOff>
      <xdr:row>6</xdr:row>
      <xdr:rowOff>52106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3CD572E8-132A-47A1-A599-DD7655C3F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311" y="748298"/>
          <a:ext cx="276224" cy="2909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95250</xdr:rowOff>
    </xdr:from>
    <xdr:to>
      <xdr:col>6</xdr:col>
      <xdr:colOff>86916</xdr:colOff>
      <xdr:row>6</xdr:row>
      <xdr:rowOff>20024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01BBF6-D042-42E7-90B5-A602C3EDD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1263" y="257175"/>
          <a:ext cx="2625328" cy="734399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276225</xdr:colOff>
      <xdr:row>6</xdr:row>
      <xdr:rowOff>95250</xdr:rowOff>
    </xdr:from>
    <xdr:to>
      <xdr:col>5</xdr:col>
      <xdr:colOff>552449</xdr:colOff>
      <xdr:row>8</xdr:row>
      <xdr:rowOff>57149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EFFD4385-721F-445F-BDCB-77F930B3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1513" y="1066800"/>
          <a:ext cx="276224" cy="290512"/>
        </a:xfrm>
        <a:prstGeom prst="rect">
          <a:avLst/>
        </a:prstGeom>
      </xdr:spPr>
    </xdr:pic>
    <xdr:clientData/>
  </xdr:twoCellAnchor>
  <xdr:twoCellAnchor editAs="oneCell">
    <xdr:from>
      <xdr:col>3</xdr:col>
      <xdr:colOff>510268</xdr:colOff>
      <xdr:row>82</xdr:row>
      <xdr:rowOff>61232</xdr:rowOff>
    </xdr:from>
    <xdr:to>
      <xdr:col>5</xdr:col>
      <xdr:colOff>588817</xdr:colOff>
      <xdr:row>91</xdr:row>
      <xdr:rowOff>61552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4D45F24-ABEA-4704-92B2-B03CDFEC9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132" y="13656005"/>
          <a:ext cx="1836345" cy="14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0</xdr:row>
      <xdr:rowOff>76200</xdr:rowOff>
    </xdr:from>
    <xdr:to>
      <xdr:col>6</xdr:col>
      <xdr:colOff>163116</xdr:colOff>
      <xdr:row>4</xdr:row>
      <xdr:rowOff>143849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B2E88C-D3D7-4216-B654-700C26D3D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76200"/>
          <a:ext cx="2525316" cy="729637"/>
        </a:xfrm>
        <a:prstGeom prst="rect">
          <a:avLst/>
        </a:prstGeom>
      </xdr:spPr>
    </xdr:pic>
    <xdr:clientData/>
  </xdr:twoCellAnchor>
  <xdr:twoCellAnchor editAs="oneCell">
    <xdr:from>
      <xdr:col>5</xdr:col>
      <xdr:colOff>597693</xdr:colOff>
      <xdr:row>4</xdr:row>
      <xdr:rowOff>140494</xdr:rowOff>
    </xdr:from>
    <xdr:to>
      <xdr:col>6</xdr:col>
      <xdr:colOff>111917</xdr:colOff>
      <xdr:row>6</xdr:row>
      <xdr:rowOff>83343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947193D5-F51D-402F-B83E-319F5825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4006" y="819152"/>
          <a:ext cx="276224" cy="2881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7</xdr:col>
      <xdr:colOff>161585</xdr:colOff>
      <xdr:row>74</xdr:row>
      <xdr:rowOff>154827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DFA912-6C0C-4193-87A9-BC84B3AB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488" y="5859577"/>
          <a:ext cx="4898570" cy="7426143"/>
        </a:xfrm>
        <a:prstGeom prst="rect">
          <a:avLst/>
        </a:prstGeom>
      </xdr:spPr>
    </xdr:pic>
    <xdr:clientData/>
  </xdr:twoCellAnchor>
  <xdr:twoCellAnchor editAs="oneCell">
    <xdr:from>
      <xdr:col>2</xdr:col>
      <xdr:colOff>1020535</xdr:colOff>
      <xdr:row>65</xdr:row>
      <xdr:rowOff>42523</xdr:rowOff>
    </xdr:from>
    <xdr:to>
      <xdr:col>6</xdr:col>
      <xdr:colOff>102052</xdr:colOff>
      <xdr:row>74</xdr:row>
      <xdr:rowOff>151250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8D439CB-47F7-4338-A891-9A67EE4DD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0023" y="11719153"/>
          <a:ext cx="2755445" cy="15629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57150</xdr:rowOff>
    </xdr:from>
    <xdr:to>
      <xdr:col>5</xdr:col>
      <xdr:colOff>58341</xdr:colOff>
      <xdr:row>4</xdr:row>
      <xdr:rowOff>143849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89B77E-7DEE-47F5-B6E0-49B4E889E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463" y="57150"/>
          <a:ext cx="2692003" cy="734399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4</xdr:row>
      <xdr:rowOff>104775</xdr:rowOff>
    </xdr:from>
    <xdr:to>
      <xdr:col>4</xdr:col>
      <xdr:colOff>390524</xdr:colOff>
      <xdr:row>6</xdr:row>
      <xdr:rowOff>66674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4E72E408-A3AF-40D5-846D-5370DB871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752475"/>
          <a:ext cx="276224" cy="2905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0</xdr:row>
      <xdr:rowOff>38100</xdr:rowOff>
    </xdr:from>
    <xdr:to>
      <xdr:col>6</xdr:col>
      <xdr:colOff>401241</xdr:colOff>
      <xdr:row>4</xdr:row>
      <xdr:rowOff>124799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3329AE-3806-45B8-B3D0-922516459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1763" y="38100"/>
          <a:ext cx="2615803" cy="734399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685800</xdr:colOff>
      <xdr:row>4</xdr:row>
      <xdr:rowOff>95250</xdr:rowOff>
    </xdr:from>
    <xdr:to>
      <xdr:col>6</xdr:col>
      <xdr:colOff>200024</xdr:colOff>
      <xdr:row>6</xdr:row>
      <xdr:rowOff>57149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7C45F6B6-C9E9-49DB-A31C-B4DFCC842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7738" y="742950"/>
          <a:ext cx="328611" cy="2905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0</xdr:row>
      <xdr:rowOff>28575</xdr:rowOff>
    </xdr:from>
    <xdr:to>
      <xdr:col>6</xdr:col>
      <xdr:colOff>544116</xdr:colOff>
      <xdr:row>4</xdr:row>
      <xdr:rowOff>115274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24CF80-18E5-4D09-A8BB-8EDB0400D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688" y="28575"/>
          <a:ext cx="2620566" cy="7343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4</xdr:row>
      <xdr:rowOff>95250</xdr:rowOff>
    </xdr:from>
    <xdr:to>
      <xdr:col>6</xdr:col>
      <xdr:colOff>257174</xdr:colOff>
      <xdr:row>6</xdr:row>
      <xdr:rowOff>57149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F8A0FE30-70A4-4524-AA6E-46EF8B9A4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3938" y="742950"/>
          <a:ext cx="333374" cy="290512"/>
        </a:xfrm>
        <a:prstGeom prst="rect">
          <a:avLst/>
        </a:prstGeom>
      </xdr:spPr>
    </xdr:pic>
    <xdr:clientData/>
  </xdr:twoCellAnchor>
  <xdr:twoCellAnchor editAs="oneCell">
    <xdr:from>
      <xdr:col>3</xdr:col>
      <xdr:colOff>502227</xdr:colOff>
      <xdr:row>80</xdr:row>
      <xdr:rowOff>8659</xdr:rowOff>
    </xdr:from>
    <xdr:to>
      <xdr:col>5</xdr:col>
      <xdr:colOff>833746</xdr:colOff>
      <xdr:row>89</xdr:row>
      <xdr:rowOff>93621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BEA5BB-2FBC-43C6-8B7E-FB75E7ACB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091" y="14486659"/>
          <a:ext cx="1959428" cy="15656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4</xdr:row>
      <xdr:rowOff>123825</xdr:rowOff>
    </xdr:from>
    <xdr:to>
      <xdr:col>6</xdr:col>
      <xdr:colOff>19049</xdr:colOff>
      <xdr:row>6</xdr:row>
      <xdr:rowOff>85724</xdr:rowOff>
    </xdr:to>
    <xdr:pic>
      <xdr:nvPicPr>
        <xdr:cNvPr id="2" name="8 Imagen">
          <a:extLst>
            <a:ext uri="{FF2B5EF4-FFF2-40B4-BE49-F238E27FC236}">
              <a16:creationId xmlns:a16="http://schemas.microsoft.com/office/drawing/2014/main" id="{F2B8FDB4-925E-4B14-979D-7CDB5004B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7338" y="771525"/>
          <a:ext cx="276224" cy="290512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0</xdr:row>
      <xdr:rowOff>47625</xdr:rowOff>
    </xdr:from>
    <xdr:to>
      <xdr:col>6</xdr:col>
      <xdr:colOff>267891</xdr:colOff>
      <xdr:row>4</xdr:row>
      <xdr:rowOff>134324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AFF758-329C-4120-A7CF-D7085F79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5" y="47625"/>
          <a:ext cx="2530079" cy="734399"/>
        </a:xfrm>
        <a:prstGeom prst="rect">
          <a:avLst/>
        </a:prstGeom>
      </xdr:spPr>
    </xdr:pic>
    <xdr:clientData/>
  </xdr:twoCellAnchor>
  <xdr:twoCellAnchor editAs="oneCell">
    <xdr:from>
      <xdr:col>1</xdr:col>
      <xdr:colOff>736024</xdr:colOff>
      <xdr:row>33</xdr:row>
      <xdr:rowOff>95250</xdr:rowOff>
    </xdr:from>
    <xdr:to>
      <xdr:col>6</xdr:col>
      <xdr:colOff>776843</xdr:colOff>
      <xdr:row>78</xdr:row>
      <xdr:rowOff>117871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A685D49-23CE-4985-8F9E-19E2E420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024" y="6771410"/>
          <a:ext cx="4898570" cy="7426143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519545</xdr:colOff>
      <xdr:row>68</xdr:row>
      <xdr:rowOff>112569</xdr:rowOff>
    </xdr:from>
    <xdr:to>
      <xdr:col>5</xdr:col>
      <xdr:colOff>452126</xdr:colOff>
      <xdr:row>78</xdr:row>
      <xdr:rowOff>30332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5B521F-B05F-4942-BA2C-D46D01418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4432" y="12547024"/>
          <a:ext cx="2755445" cy="15629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4</xdr:row>
      <xdr:rowOff>85725</xdr:rowOff>
    </xdr:from>
    <xdr:to>
      <xdr:col>4</xdr:col>
      <xdr:colOff>190499</xdr:colOff>
      <xdr:row>6</xdr:row>
      <xdr:rowOff>47624</xdr:rowOff>
    </xdr:to>
    <xdr:pic>
      <xdr:nvPicPr>
        <xdr:cNvPr id="2" name="8 Imagen">
          <a:extLst>
            <a:ext uri="{FF2B5EF4-FFF2-40B4-BE49-F238E27FC236}">
              <a16:creationId xmlns:a16="http://schemas.microsoft.com/office/drawing/2014/main" id="{6F8AAAA9-8FAE-4672-936D-84C6F0CBF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733425"/>
          <a:ext cx="276224" cy="290512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0</xdr:row>
      <xdr:rowOff>9525</xdr:rowOff>
    </xdr:from>
    <xdr:to>
      <xdr:col>4</xdr:col>
      <xdr:colOff>534591</xdr:colOff>
      <xdr:row>4</xdr:row>
      <xdr:rowOff>96224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CFBBBA-7A03-417E-A298-90D6A669E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9525"/>
          <a:ext cx="2458641" cy="7343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369094</xdr:colOff>
      <xdr:row>0</xdr:row>
      <xdr:rowOff>9525</xdr:rowOff>
    </xdr:from>
    <xdr:to>
      <xdr:col>4</xdr:col>
      <xdr:colOff>513160</xdr:colOff>
      <xdr:row>4</xdr:row>
      <xdr:rowOff>96224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6CE5CD-465A-4FEF-9DB9-CFB06182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094" y="9525"/>
          <a:ext cx="2513411" cy="753449"/>
        </a:xfrm>
        <a:prstGeom prst="rect">
          <a:avLst/>
        </a:prstGeom>
      </xdr:spPr>
    </xdr:pic>
    <xdr:clientData/>
  </xdr:twoCellAnchor>
  <xdr:twoCellAnchor editAs="oneCell">
    <xdr:from>
      <xdr:col>4</xdr:col>
      <xdr:colOff>109538</xdr:colOff>
      <xdr:row>4</xdr:row>
      <xdr:rowOff>95250</xdr:rowOff>
    </xdr:from>
    <xdr:to>
      <xdr:col>4</xdr:col>
      <xdr:colOff>385762</xdr:colOff>
      <xdr:row>6</xdr:row>
      <xdr:rowOff>57149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24A063FE-FAC0-45BC-A109-360FFA7C9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0883" y="762000"/>
          <a:ext cx="276224" cy="2952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0</xdr:row>
      <xdr:rowOff>28575</xdr:rowOff>
    </xdr:from>
    <xdr:to>
      <xdr:col>4</xdr:col>
      <xdr:colOff>315516</xdr:colOff>
      <xdr:row>4</xdr:row>
      <xdr:rowOff>115274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B457E4-3E2D-4567-A054-02EFDA146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28575"/>
          <a:ext cx="2596754" cy="734399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4</xdr:row>
      <xdr:rowOff>133350</xdr:rowOff>
    </xdr:from>
    <xdr:to>
      <xdr:col>3</xdr:col>
      <xdr:colOff>733424</xdr:colOff>
      <xdr:row>6</xdr:row>
      <xdr:rowOff>95249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EF6CAE22-8FE5-41D7-A92A-10CA42F85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8513" y="781050"/>
          <a:ext cx="276224" cy="290512"/>
        </a:xfrm>
        <a:prstGeom prst="rect">
          <a:avLst/>
        </a:prstGeom>
      </xdr:spPr>
    </xdr:pic>
    <xdr:clientData/>
  </xdr:twoCellAnchor>
  <xdr:twoCellAnchor editAs="oneCell">
    <xdr:from>
      <xdr:col>1</xdr:col>
      <xdr:colOff>493569</xdr:colOff>
      <xdr:row>17</xdr:row>
      <xdr:rowOff>69273</xdr:rowOff>
    </xdr:from>
    <xdr:to>
      <xdr:col>3</xdr:col>
      <xdr:colOff>752260</xdr:colOff>
      <xdr:row>29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C15633F-7DBB-4A0E-B590-1FFA6B095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569" y="3377046"/>
          <a:ext cx="2380169" cy="1904999"/>
        </a:xfrm>
        <a:prstGeom prst="rect">
          <a:avLst/>
        </a:prstGeom>
      </xdr:spPr>
    </xdr:pic>
    <xdr:clientData/>
  </xdr:twoCellAnchor>
  <xdr:twoCellAnchor editAs="oneCell">
    <xdr:from>
      <xdr:col>2</xdr:col>
      <xdr:colOff>488344</xdr:colOff>
      <xdr:row>24</xdr:row>
      <xdr:rowOff>17316</xdr:rowOff>
    </xdr:from>
    <xdr:to>
      <xdr:col>3</xdr:col>
      <xdr:colOff>564696</xdr:colOff>
      <xdr:row>27</xdr:row>
      <xdr:rowOff>151558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7A924FF-F3BD-4E43-B4AE-5D384ED3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1389" y="4476749"/>
          <a:ext cx="1106785" cy="6278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2181225</xdr:colOff>
      <xdr:row>0</xdr:row>
      <xdr:rowOff>114300</xdr:rowOff>
    </xdr:from>
    <xdr:to>
      <xdr:col>2</xdr:col>
      <xdr:colOff>67866</xdr:colOff>
      <xdr:row>5</xdr:row>
      <xdr:rowOff>39074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74F84D-7091-480A-9059-279F963A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14300"/>
          <a:ext cx="2787254" cy="734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4526757</xdr:colOff>
      <xdr:row>5</xdr:row>
      <xdr:rowOff>95251</xdr:rowOff>
    </xdr:from>
    <xdr:to>
      <xdr:col>1</xdr:col>
      <xdr:colOff>4802981</xdr:colOff>
      <xdr:row>7</xdr:row>
      <xdr:rowOff>57150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82E94551-60A5-418B-947C-4B1E0935B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757" y="928689"/>
          <a:ext cx="276224" cy="2952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0</xdr:rowOff>
    </xdr:from>
    <xdr:to>
      <xdr:col>5</xdr:col>
      <xdr:colOff>77391</xdr:colOff>
      <xdr:row>3</xdr:row>
      <xdr:rowOff>162899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1B7982-A296-48C4-B636-FD9A8C65D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4638" y="0"/>
          <a:ext cx="2663428" cy="705824"/>
        </a:xfrm>
        <a:prstGeom prst="rect">
          <a:avLst/>
        </a:prstGeom>
      </xdr:spPr>
    </xdr:pic>
    <xdr:clientData/>
  </xdr:twoCellAnchor>
  <xdr:twoCellAnchor editAs="oneCell">
    <xdr:from>
      <xdr:col>4</xdr:col>
      <xdr:colOff>624417</xdr:colOff>
      <xdr:row>3</xdr:row>
      <xdr:rowOff>148166</xdr:rowOff>
    </xdr:from>
    <xdr:to>
      <xdr:col>4</xdr:col>
      <xdr:colOff>900641</xdr:colOff>
      <xdr:row>5</xdr:row>
      <xdr:rowOff>52915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E54C06B0-F2D0-4F3B-A808-1015F382F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7792" y="691091"/>
          <a:ext cx="276224" cy="2666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5</xdr:row>
      <xdr:rowOff>104775</xdr:rowOff>
    </xdr:from>
    <xdr:to>
      <xdr:col>4</xdr:col>
      <xdr:colOff>742949</xdr:colOff>
      <xdr:row>7</xdr:row>
      <xdr:rowOff>66674</xdr:rowOff>
    </xdr:to>
    <xdr:pic>
      <xdr:nvPicPr>
        <xdr:cNvPr id="2" name="8 Imagen">
          <a:extLst>
            <a:ext uri="{FF2B5EF4-FFF2-40B4-BE49-F238E27FC236}">
              <a16:creationId xmlns:a16="http://schemas.microsoft.com/office/drawing/2014/main" id="{DEA9B0DC-F4E7-4278-9E0D-0277F23A8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0038" y="914400"/>
          <a:ext cx="276224" cy="295274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133350</xdr:rowOff>
    </xdr:from>
    <xdr:to>
      <xdr:col>5</xdr:col>
      <xdr:colOff>267891</xdr:colOff>
      <xdr:row>5</xdr:row>
      <xdr:rowOff>58124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59AB8B-0A27-4771-91D6-C7482864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33350"/>
          <a:ext cx="2549129" cy="7343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ORES" displayName="COLORES" ref="A9:B13" totalsRowShown="0" headerRowDxfId="81" dataDxfId="80">
  <autoFilter ref="A9:B13" xr:uid="{00000000-0009-0000-0100-000001000000}"/>
  <tableColumns count="2">
    <tableColumn id="1" xr3:uid="{00000000-0010-0000-0000-000001000000}" name="COLOR" dataDxfId="79"/>
    <tableColumn id="2" xr3:uid="{00000000-0010-0000-0000-000002000000}" name="%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ESC_PROV" displayName="DESC_PROV" ref="A18:C24" totalsRowShown="0" headerRowDxfId="77" dataDxfId="76">
  <autoFilter ref="A18:C24" xr:uid="{00000000-0009-0000-0100-000003000000}"/>
  <tableColumns count="3">
    <tableColumn id="1" xr3:uid="{00000000-0010-0000-0100-000001000000}" name="LINEA" dataDxfId="75"/>
    <tableColumn id="2" xr3:uid="{00000000-0010-0000-0100-000002000000}" name="LISTA" dataDxfId="74"/>
    <tableColumn id="3" xr3:uid="{00000000-0010-0000-0100-000003000000}" name="DESCUENTO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LISTAS" displayName="LISTAS" ref="A1:G6" totalsRowShown="0" headerRowDxfId="72" dataDxfId="70" headerRowBorderDxfId="71" tableBorderDxfId="69" totalsRowBorderDxfId="68" headerRowCellStyle="Normal 2">
  <autoFilter ref="A1:G6" xr:uid="{00000000-0009-0000-0100-000004000000}"/>
  <tableColumns count="7">
    <tableColumn id="1" xr3:uid="{00000000-0010-0000-0200-000001000000}" name="Lista" dataDxfId="67"/>
    <tableColumn id="2" xr3:uid="{00000000-0010-0000-0200-000002000000}" name="Flete" dataDxfId="66"/>
    <tableColumn id="3" xr3:uid="{00000000-0010-0000-0200-000003000000}" name="Ganancia" dataDxfId="65"/>
    <tableColumn id="4" xr3:uid="{00000000-0010-0000-0200-000004000000}" name="Mosq" dataDxfId="64"/>
    <tableColumn id="5" xr3:uid="{00000000-0010-0000-0200-000005000000}" name="Repartido" dataDxfId="63"/>
    <tableColumn id="6" xr3:uid="{00000000-0010-0000-0200-000006000000}" name="Cobra" dataDxfId="62" dataCellStyle="Normal 2"/>
    <tableColumn id="7" xr3:uid="{00000000-0010-0000-0200-000007000000}" name="Extra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LINEAS" displayName="LINEAS" ref="D9:D11" totalsRowShown="0" headerRowDxfId="60" dataDxfId="59">
  <autoFilter ref="D9:D11" xr:uid="{00000000-0009-0000-0100-000005000000}"/>
  <tableColumns count="1">
    <tableColumn id="1" xr3:uid="{00000000-0010-0000-0300-000001000000}" name="LINEA" dataDxfId="5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ANCHO" displayName="ANCHO" ref="F9:F12" totalsRowShown="0" headerRowDxfId="57" dataDxfId="56" headerRowCellStyle="Normal 2" dataCellStyle="Normal 2">
  <autoFilter ref="F9:F12" xr:uid="{00000000-0009-0000-0100-000006000000}"/>
  <tableColumns count="1">
    <tableColumn id="1" xr3:uid="{00000000-0010-0000-0400-000001000000}" name="ANCHO_PUERTAS" dataDxfId="5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MARCOANCHO" displayName="MARCOANCHO" ref="H9:I11" totalsRowShown="0" headerRowDxfId="54" dataDxfId="53">
  <autoFilter ref="H9:I11" xr:uid="{00000000-0009-0000-0100-000007000000}"/>
  <tableColumns count="2">
    <tableColumn id="1" xr3:uid="{00000000-0010-0000-0500-000001000000}" name="TIPO" dataDxfId="52"/>
    <tableColumn id="2" xr3:uid="{00000000-0010-0000-0500-000002000000}" name="FACTOR" dataDxfId="5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PVC" displayName="PVC" ref="A31:C32" totalsRowShown="0" headerRowDxfId="50" dataDxfId="49">
  <autoFilter ref="A31:C32" xr:uid="{00000000-0009-0000-0100-000002000000}"/>
  <tableColumns count="3">
    <tableColumn id="1" xr3:uid="{00000000-0010-0000-0600-000001000000}" name="TIPO" dataDxfId="48"/>
    <tableColumn id="2" xr3:uid="{00000000-0010-0000-0600-000002000000}" name="FLETE" dataDxfId="47"/>
    <tableColumn id="3" xr3:uid="{00000000-0010-0000-0600-000003000000}" name="GANANCIA" dataDxfId="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DESCUENTO_GENERAL" displayName="DESCUENTO_GENERAL" ref="E31:F32" totalsRowShown="0" headerRowDxfId="45" dataDxfId="44" headerRowCellStyle="Normal 2" dataCellStyle="Normal 2">
  <autoFilter ref="E31:F32" xr:uid="{00000000-0009-0000-0100-000009000000}"/>
  <tableColumns count="2">
    <tableColumn id="1" xr3:uid="{00000000-0010-0000-0700-000001000000}" name="PARAMETRO " dataDxfId="43" dataCellStyle="Normal 2"/>
    <tableColumn id="2" xr3:uid="{00000000-0010-0000-0700-000002000000}" name="           VALOR" dataDxfId="4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</sheetPr>
  <dimension ref="B2:D4"/>
  <sheetViews>
    <sheetView workbookViewId="0">
      <selection activeCell="C4" sqref="C4"/>
    </sheetView>
  </sheetViews>
  <sheetFormatPr baseColWidth="10" defaultRowHeight="14.25"/>
  <sheetData>
    <row r="2" spans="2:4" ht="14.65" thickBot="1"/>
    <row r="3" spans="2:4">
      <c r="B3" s="273" t="s">
        <v>34</v>
      </c>
      <c r="C3" s="274" t="s">
        <v>396</v>
      </c>
      <c r="D3" s="275" t="s">
        <v>28</v>
      </c>
    </row>
    <row r="4" spans="2:4" ht="14.65" thickBot="1">
      <c r="B4" s="271" t="s">
        <v>96</v>
      </c>
      <c r="C4" s="272" t="s">
        <v>401</v>
      </c>
      <c r="D4" s="257" t="s">
        <v>31</v>
      </c>
    </row>
  </sheetData>
  <dataValidations count="1">
    <dataValidation type="list" allowBlank="1" showInputMessage="1" showErrorMessage="1" sqref="B4" xr:uid="{00000000-0002-0000-0000-000000000000}">
      <formula1>"COSTO,VENTA"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CONFIG!J2:J6</xm:f>
          </x14:formula1>
          <xm:sqref>C4</xm:sqref>
        </x14:dataValidation>
        <x14:dataValidation type="list" allowBlank="1" showInputMessage="1" showErrorMessage="1" xr:uid="{00000000-0002-0000-0000-000002000000}">
          <x14:formula1>
            <xm:f>CONFIG!K2:K5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FF00"/>
  </sheetPr>
  <dimension ref="A1:L32"/>
  <sheetViews>
    <sheetView workbookViewId="0">
      <selection activeCell="N35" sqref="A1:N35"/>
    </sheetView>
  </sheetViews>
  <sheetFormatPr baseColWidth="10" defaultColWidth="10.73046875" defaultRowHeight="12.75"/>
  <cols>
    <col min="1" max="1" width="13" style="25" customWidth="1"/>
    <col min="2" max="2" width="10.73046875" style="25"/>
    <col min="3" max="3" width="12.3984375" style="25" customWidth="1"/>
    <col min="4" max="4" width="10.73046875" style="25"/>
    <col min="5" max="5" width="14.73046875" style="25" customWidth="1"/>
    <col min="6" max="6" width="19" style="25" customWidth="1"/>
    <col min="7" max="16384" width="10.73046875" style="25"/>
  </cols>
  <sheetData>
    <row r="1" spans="1:12">
      <c r="A1" s="249" t="s">
        <v>400</v>
      </c>
      <c r="B1" s="249" t="s">
        <v>0</v>
      </c>
      <c r="C1" s="249" t="s">
        <v>1</v>
      </c>
      <c r="D1" s="249" t="s">
        <v>2</v>
      </c>
      <c r="E1" s="249" t="s">
        <v>3</v>
      </c>
      <c r="F1" s="250" t="s">
        <v>94</v>
      </c>
      <c r="G1" s="249" t="s">
        <v>414</v>
      </c>
      <c r="J1" s="25" t="s">
        <v>418</v>
      </c>
      <c r="K1" s="25" t="s">
        <v>419</v>
      </c>
      <c r="L1" s="25" t="s">
        <v>420</v>
      </c>
    </row>
    <row r="2" spans="1:12">
      <c r="A2" s="246" t="s">
        <v>401</v>
      </c>
      <c r="B2" s="246">
        <v>0.06</v>
      </c>
      <c r="C2" s="246">
        <v>0.3</v>
      </c>
      <c r="D2" s="246">
        <v>0.6</v>
      </c>
      <c r="E2" s="246">
        <v>0.3</v>
      </c>
      <c r="F2" s="248">
        <v>0</v>
      </c>
      <c r="G2" s="264">
        <v>0.1</v>
      </c>
      <c r="J2" s="25" t="s">
        <v>401</v>
      </c>
      <c r="K2" s="25" t="s">
        <v>29</v>
      </c>
      <c r="L2" s="25" t="s">
        <v>398</v>
      </c>
    </row>
    <row r="3" spans="1:12">
      <c r="A3" s="245" t="s">
        <v>90</v>
      </c>
      <c r="B3" s="245">
        <v>0.1</v>
      </c>
      <c r="C3" s="245">
        <v>0.3</v>
      </c>
      <c r="D3" s="245">
        <v>0.6</v>
      </c>
      <c r="E3" s="245">
        <v>0.3</v>
      </c>
      <c r="F3" s="247">
        <v>0</v>
      </c>
      <c r="G3" s="264">
        <v>0.1</v>
      </c>
      <c r="J3" s="25" t="s">
        <v>90</v>
      </c>
      <c r="K3" s="25" t="s">
        <v>31</v>
      </c>
      <c r="L3" s="25" t="s">
        <v>399</v>
      </c>
    </row>
    <row r="4" spans="1:12">
      <c r="A4" s="246" t="s">
        <v>91</v>
      </c>
      <c r="B4" s="246">
        <v>0.15</v>
      </c>
      <c r="C4" s="246">
        <v>0.35</v>
      </c>
      <c r="D4" s="246">
        <v>0.6</v>
      </c>
      <c r="E4" s="246">
        <v>0.3</v>
      </c>
      <c r="F4" s="248">
        <v>0</v>
      </c>
      <c r="G4" s="264">
        <v>0.1</v>
      </c>
      <c r="J4" s="25" t="s">
        <v>91</v>
      </c>
      <c r="K4" s="25" t="s">
        <v>32</v>
      </c>
    </row>
    <row r="5" spans="1:12">
      <c r="A5" s="247" t="s">
        <v>92</v>
      </c>
      <c r="B5" s="247">
        <v>0.15</v>
      </c>
      <c r="C5" s="247">
        <v>0.4</v>
      </c>
      <c r="D5" s="247">
        <v>0.6</v>
      </c>
      <c r="E5" s="247">
        <v>0.3</v>
      </c>
      <c r="F5" s="247">
        <v>0</v>
      </c>
      <c r="G5" s="264">
        <v>0.1</v>
      </c>
      <c r="J5" s="25" t="s">
        <v>92</v>
      </c>
      <c r="K5" s="25" t="s">
        <v>33</v>
      </c>
    </row>
    <row r="6" spans="1:12">
      <c r="A6" s="251" t="s">
        <v>93</v>
      </c>
      <c r="B6" s="251">
        <v>0</v>
      </c>
      <c r="C6" s="251">
        <v>0.5</v>
      </c>
      <c r="D6" s="251">
        <v>0.6</v>
      </c>
      <c r="E6" s="251">
        <v>0</v>
      </c>
      <c r="F6" s="251">
        <v>0.24199999999999999</v>
      </c>
      <c r="G6" s="264">
        <v>0.1</v>
      </c>
      <c r="J6" s="25" t="s">
        <v>93</v>
      </c>
    </row>
    <row r="9" spans="1:12" ht="14.25">
      <c r="A9" s="33" t="s">
        <v>28</v>
      </c>
      <c r="B9" s="33" t="s">
        <v>30</v>
      </c>
      <c r="D9" s="34" t="s">
        <v>395</v>
      </c>
      <c r="F9" s="25" t="s">
        <v>404</v>
      </c>
      <c r="H9" s="34" t="s">
        <v>406</v>
      </c>
      <c r="I9" s="34" t="s">
        <v>407</v>
      </c>
    </row>
    <row r="10" spans="1:12" ht="14.25">
      <c r="A10" s="33" t="s">
        <v>29</v>
      </c>
      <c r="B10" s="33">
        <v>0.3</v>
      </c>
      <c r="D10" s="244" t="s">
        <v>398</v>
      </c>
      <c r="F10" s="25">
        <v>0.8</v>
      </c>
      <c r="H10" s="244" t="s">
        <v>408</v>
      </c>
      <c r="I10" s="244">
        <v>1</v>
      </c>
    </row>
    <row r="11" spans="1:12" ht="14.25">
      <c r="A11" s="33" t="s">
        <v>31</v>
      </c>
      <c r="B11" s="33">
        <v>0</v>
      </c>
      <c r="D11" s="244" t="s">
        <v>399</v>
      </c>
      <c r="F11" s="25">
        <v>0.7</v>
      </c>
      <c r="H11" s="244" t="s">
        <v>409</v>
      </c>
      <c r="I11" s="244">
        <v>1.05</v>
      </c>
    </row>
    <row r="12" spans="1:12" ht="14.25">
      <c r="A12" s="33" t="s">
        <v>32</v>
      </c>
      <c r="B12" s="33">
        <v>0.45</v>
      </c>
      <c r="F12" s="25">
        <v>0.9</v>
      </c>
    </row>
    <row r="13" spans="1:12" ht="14.25">
      <c r="A13" s="33" t="s">
        <v>33</v>
      </c>
      <c r="B13" s="33">
        <v>2.8</v>
      </c>
    </row>
    <row r="18" spans="1:8" ht="14.25">
      <c r="A18" s="34" t="s">
        <v>395</v>
      </c>
      <c r="B18" s="34" t="s">
        <v>396</v>
      </c>
      <c r="C18" s="34" t="s">
        <v>397</v>
      </c>
    </row>
    <row r="19" spans="1:8" ht="14.25">
      <c r="A19" s="33" t="s">
        <v>398</v>
      </c>
      <c r="B19" s="33" t="s">
        <v>401</v>
      </c>
      <c r="C19" s="33">
        <v>0.1</v>
      </c>
    </row>
    <row r="20" spans="1:8" ht="14.25">
      <c r="A20" s="33" t="s">
        <v>398</v>
      </c>
      <c r="B20" s="33" t="s">
        <v>90</v>
      </c>
      <c r="C20" s="33">
        <v>0.12</v>
      </c>
    </row>
    <row r="21" spans="1:8" ht="14.25">
      <c r="A21" s="33" t="s">
        <v>398</v>
      </c>
      <c r="B21" s="33" t="s">
        <v>91</v>
      </c>
      <c r="C21" s="33">
        <v>0.12</v>
      </c>
    </row>
    <row r="22" spans="1:8" ht="14.25">
      <c r="A22" s="33" t="s">
        <v>399</v>
      </c>
      <c r="B22" s="33" t="s">
        <v>401</v>
      </c>
      <c r="C22" s="33">
        <v>7.0000000000000007E-2</v>
      </c>
    </row>
    <row r="23" spans="1:8" ht="14.25">
      <c r="A23" s="33" t="s">
        <v>399</v>
      </c>
      <c r="B23" s="33" t="s">
        <v>90</v>
      </c>
      <c r="C23" s="33">
        <v>7.0000000000000007E-2</v>
      </c>
    </row>
    <row r="24" spans="1:8" ht="14.25">
      <c r="A24" s="33" t="s">
        <v>399</v>
      </c>
      <c r="B24" s="33" t="s">
        <v>91</v>
      </c>
      <c r="C24" s="33">
        <v>7.0000000000000007E-2</v>
      </c>
    </row>
    <row r="31" spans="1:8" ht="14.25">
      <c r="A31" s="34" t="s">
        <v>406</v>
      </c>
      <c r="B31" s="34" t="s">
        <v>410</v>
      </c>
      <c r="C31" s="34" t="s">
        <v>411</v>
      </c>
      <c r="E31" s="25" t="s">
        <v>415</v>
      </c>
      <c r="F31" s="25" t="s">
        <v>416</v>
      </c>
    </row>
    <row r="32" spans="1:8" ht="14.25">
      <c r="A32" s="244" t="s">
        <v>412</v>
      </c>
      <c r="B32" s="244">
        <v>0.15</v>
      </c>
      <c r="C32" s="244">
        <v>0.4</v>
      </c>
      <c r="E32" s="25" t="s">
        <v>417</v>
      </c>
      <c r="F32" s="269">
        <v>0.05</v>
      </c>
      <c r="H32" s="269"/>
    </row>
  </sheetData>
  <phoneticPr fontId="1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0000"/>
    <pageSetUpPr fitToPage="1"/>
  </sheetPr>
  <dimension ref="A1:K60"/>
  <sheetViews>
    <sheetView tabSelected="1" zoomScale="70" zoomScaleNormal="70" workbookViewId="0">
      <selection activeCell="C17" sqref="C17"/>
    </sheetView>
  </sheetViews>
  <sheetFormatPr baseColWidth="10" defaultColWidth="10.73046875" defaultRowHeight="14.25"/>
  <cols>
    <col min="1" max="7" width="10.73046875" style="4"/>
    <col min="8" max="8" width="10.73046875" style="4" customWidth="1"/>
    <col min="9" max="16384" width="10.73046875" style="4"/>
  </cols>
  <sheetData>
    <row r="1" spans="1:11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1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</row>
    <row r="3" spans="1:11" ht="14.65" thickBot="1"/>
    <row r="4" spans="1:11" ht="25.9" thickBot="1">
      <c r="A4" s="276" t="s">
        <v>19</v>
      </c>
      <c r="B4" s="277"/>
      <c r="C4" s="277"/>
      <c r="D4" s="277"/>
      <c r="E4" s="278"/>
      <c r="G4" s="276" t="s">
        <v>20</v>
      </c>
      <c r="H4" s="277"/>
      <c r="I4" s="277"/>
      <c r="J4" s="277"/>
      <c r="K4" s="278"/>
    </row>
    <row r="5" spans="1:11" ht="14.65" thickBot="1">
      <c r="A5" s="2"/>
      <c r="B5" s="2"/>
      <c r="C5" s="2"/>
      <c r="D5" s="2"/>
      <c r="E5" s="2"/>
      <c r="G5" s="2"/>
      <c r="H5" s="2"/>
      <c r="I5" s="2"/>
      <c r="J5" s="2"/>
      <c r="K5" s="2"/>
    </row>
    <row r="6" spans="1:11" ht="17.25" thickBot="1">
      <c r="A6" s="14" t="s">
        <v>4</v>
      </c>
      <c r="B6" s="15" t="s">
        <v>116</v>
      </c>
      <c r="C6" s="16" t="s">
        <v>117</v>
      </c>
      <c r="D6" s="41" t="s">
        <v>118</v>
      </c>
      <c r="E6" s="17" t="s">
        <v>119</v>
      </c>
      <c r="G6" s="12" t="s">
        <v>4</v>
      </c>
      <c r="H6" s="23" t="s">
        <v>120</v>
      </c>
      <c r="I6" s="24" t="s">
        <v>117</v>
      </c>
      <c r="J6" s="23" t="s">
        <v>118</v>
      </c>
      <c r="K6" s="13" t="s">
        <v>18</v>
      </c>
    </row>
    <row r="7" spans="1:11">
      <c r="A7" s="18" t="s">
        <v>6</v>
      </c>
      <c r="B7" s="3">
        <v>25119</v>
      </c>
      <c r="C7" s="3">
        <v>6884</v>
      </c>
      <c r="D7" s="3">
        <v>9262</v>
      </c>
      <c r="E7" s="7">
        <v>2556</v>
      </c>
      <c r="G7" s="20" t="s">
        <v>6</v>
      </c>
      <c r="H7" s="267">
        <f>IFERROR(
ROUND(
IF($A$2="COSTO",
   ((B7*(1+IFERROR(VLOOKUP($D$2,COLORES[],2,FALSE),0)))+E7)
   *(1-SUMPRODUCT(
        (DESC_PROV[LINEA]=$B$2)*
        (DESC_PROV[LISTA]=$C$2)*
        (DESC_PROV[DESCUENTO])
   )),
   ((B7*(1+IFERROR(VLOOKUP($D$2,COLORES[],2,FALSE),0)))+E7)
   *(1-SUMPRODUCT(
        (DESC_PROV[LINEA]=$B$2)*
        (DESC_PROV[LISTA]=$C$2)*
        (DESC_PROV[DESCUENTO])
   ))
   *(1+VLOOKUP($C$2,LISTAS[],2,FALSE))
   *(1+0.1)
)
/5,0)*5,0)</f>
        <v>29040</v>
      </c>
      <c r="I7" s="267">
        <f>IFERROR(
ROUND(
IF($A$2="COSTO",
   ((B7*(1+IFERROR(VLOOKUP($D$2,COLORES[],2,FALSE),0)))+C7)
   *(1-SUMPRODUCT(
        (DESC_PROV[LINEA]=$B$2)*
        (DESC_PROV[LISTA]=$C$2)*
        (DESC_PROV[DESCUENTO])
   )),
   ((B7*(1+IFERROR(VLOOKUP($D$2,COLORES[],2,FALSE),0)))+C7)
   *(1-SUMPRODUCT(
        (DESC_PROV[LINEA]=$B$2)*
        (DESC_PROV[LISTA]=$C$2)*
        (DESC_PROV[DESCUENTO])
   ))
   *(1+VLOOKUP($C$2,LISTAS[],2,FALSE))
   *(1+0.1)
)
/5,0)*5,0)</f>
        <v>33585</v>
      </c>
      <c r="J7" s="267">
        <f>IFERROR(
ROUND(
IF($A$2="COSTO",
   (D7*(1+IFERROR(VLOOKUP($D$2,COLORES[],2,FALSE),0)))
   *(1-SUMPRODUCT(
        (DESC_PROV[LINEA]=$B$2)*
        (DESC_PROV[LISTA]=$C$2)*
        (DESC_PROV[DESCUENTO])
   )),
   (D7*(1+IFERROR(VLOOKUP($D$2,COLORES[],2,FALSE),0)))
   *(1-SUMPRODUCT(
        (DESC_PROV[LINEA]=$B$2)*
        (DESC_PROV[LISTA]=$C$2)*
        (DESC_PROV[DESCUENTO])
   ))
   *(1+VLOOKUP($C$2,LISTAS[],2,FALSE))
   *(1+0.1)
)
/5,0)*5,0)</f>
        <v>9720</v>
      </c>
      <c r="K7" s="268">
        <f>IFERROR(
ROUND(
IF($A$2="COSTO",
   ((B7*(1+IFERROR(VLOOKUP($D$2,COLORES[],2,FALSE),0)))+C7+E7)
   *(1-SUMPRODUCT(
        (DESC_PROV[LINEA]=$B$2)*
        (DESC_PROV[LISTA]=$C$2)*
        (DESC_PROV[DESCUENTO])
   )),
   ((B7*(1+IFERROR(VLOOKUP($D$2,COLORES[],2,FALSE),0)))+C7+E7)
   *(1-SUMPRODUCT(
        (DESC_PROV[LINEA]=$B$2)*
        (DESC_PROV[LISTA]=$C$2)*
        (DESC_PROV[DESCUENTO])
   ))
   *(1+VLOOKUP($C$2,LISTAS[],2,FALSE))
   *(1+0.1)
)
/5,0)*5,0)</f>
        <v>36265</v>
      </c>
    </row>
    <row r="8" spans="1:11">
      <c r="A8" s="18" t="s">
        <v>7</v>
      </c>
      <c r="B8" s="3">
        <v>30829</v>
      </c>
      <c r="C8" s="3">
        <v>6884</v>
      </c>
      <c r="D8" s="3">
        <v>10394</v>
      </c>
      <c r="E8" s="7">
        <v>3570</v>
      </c>
      <c r="G8" s="21" t="s">
        <v>7</v>
      </c>
      <c r="H8" s="5">
        <f>IFERROR(
ROUND(
IF($A$2="COSTO",
   ((B8*(1+IFERROR(VLOOKUP($D$2,COLORES[],2,FALSE),0)))+E8)
   *(1-SUMPRODUCT(
        (DESC_PROV[LINEA]=$B$2)*
        (DESC_PROV[LISTA]=$C$2)*
        (DESC_PROV[DESCUENTO])
   )),
   ((B8*(1+IFERROR(VLOOKUP($D$2,COLORES[],2,FALSE),0)))+E8)
   *(1-SUMPRODUCT(
        (DESC_PROV[LINEA]=$B$2)*
        (DESC_PROV[LISTA]=$C$2)*
        (DESC_PROV[DESCUENTO])
   ))
   *(1+VLOOKUP($C$2,LISTAS[],2,FALSE))
   *(1+VLOOKUP($C$2,LISTAS[],3,FALSE))
)
/5,0)*5,0)</f>
        <v>42660</v>
      </c>
      <c r="I8" s="5">
        <f>IFERROR(
ROUND(
IF($A$2="COSTO",
   ((B8*(1+IFERROR(VLOOKUP($D$2,COLORES[],2,FALSE),0)))
   + C8
   + E8)
   *(1-SUMPRODUCT(
        (DESC_PROV[LINEA]=$B$2)*
        (DESC_PROV[LISTA]=$C$2)*
        (DESC_PROV[DESCUENTO])
   )),
   ((B8*(1+IFERROR(VLOOKUP($D$2,COLORES[],2,FALSE),0)))
   + C8
   + E8)
   *(1-SUMPRODUCT(
        (DESC_PROV[LINEA]=$B$2)*
        (DESC_PROV[LISTA]=$C$2)*
        (DESC_PROV[DESCUENTO])
   ))
   *(1+VLOOKUP($C$2,LISTAS[],2,FALSE))
   *(1+VLOOKUP($C$2,LISTAS[],3,FALSE))
)
/5,0)*5,0)</f>
        <v>51200</v>
      </c>
      <c r="J8" s="5">
        <f>IFERROR(
ROUND(
IF($A$2="COSTO",
   (D8*(1+IFERROR(VLOOKUP($D$2,COLORES[],2,FALSE),0)))
   *(1-SUMPRODUCT(
        (DESC_PROV[LINEA]=$B$2)*
        (DESC_PROV[LISTA]=$C$2)*
        (DESC_PROV[DESCUENTO])
   )),
   (D8*(1+IFERROR(VLOOKUP($D$2,COLORES[],2,FALSE),0)))
   *(1-SUMPRODUCT(
        (DESC_PROV[LINEA]=$B$2)*
        (DESC_PROV[LISTA]=$C$2)*
        (DESC_PROV[DESCUENTO])
   ))
   *(1+VLOOKUP($C$2,LISTAS[],2,FALSE))
   *(1+VLOOKUP($C$2,LISTAS[],4,FALSE))
)
/5,0)*5,0)</f>
        <v>15865</v>
      </c>
      <c r="K8" s="6">
        <f>IFERROR(
ROUND(
IF($A$2="COSTO",
   (B8*(1+IFERROR(VLOOKUP($D$2,COLORES[],2,FALSE),0))+E8)
   *(1+VLOOKUP($C$2,LISTAS[],5,FALSE))
   *(1-SUMPRODUCT(
        (DESC_PROV[LINEA]=$B$2)*
        (DESC_PROV[LISTA]=$C$2)*
        (DESC_PROV[DESCUENTO])
   )),
   (B8*(1+IFERROR(VLOOKUP($D$2,COLORES[],2,FALSE),0))+E8)
   *(1-SUMPRODUCT(
        (DESC_PROV[LINEA]=$B$2)*
        (DESC_PROV[LISTA]=$C$2)*
        (DESC_PROV[DESCUENTO])
   ))
   *(1+VLOOKUP($C$2,LISTAS[],5,FALSE))
   *(1+VLOOKUP($C$2,LISTAS[],2,FALSE))
   *(1+VLOOKUP($C$2,LISTAS[],3,FALSE))
)
/5,0)*5,0)</f>
        <v>55460</v>
      </c>
    </row>
    <row r="9" spans="1:11">
      <c r="A9" s="18" t="s">
        <v>8</v>
      </c>
      <c r="B9" s="3">
        <v>33195</v>
      </c>
      <c r="C9" s="3">
        <v>6884</v>
      </c>
      <c r="D9" s="3">
        <v>11917</v>
      </c>
      <c r="E9" s="7">
        <v>4590</v>
      </c>
      <c r="G9" s="21" t="s">
        <v>8</v>
      </c>
      <c r="H9" s="5">
        <f>IFERROR(
ROUND(
IF($A$2="COSTO",
   ((B9*(1+IFERROR(VLOOKUP($D$2,COLORES[],2,FALSE),0)))+E9)
   *(1-SUMPRODUCT(
        (DESC_PROV[LINEA]=$B$2)*
        (DESC_PROV[LISTA]=$C$2)*
        (DESC_PROV[DESCUENTO])
   )),
   ((B9*(1+IFERROR(VLOOKUP($D$2,COLORES[],2,FALSE),0)))+E9)
   *(1-SUMPRODUCT(
        (DESC_PROV[LINEA]=$B$2)*
        (DESC_PROV[LISTA]=$C$2)*
        (DESC_PROV[DESCUENTO])
   ))
   *(1+VLOOKUP($C$2,LISTAS[],2,FALSE))
   *(1+VLOOKUP($C$2,LISTAS[],3,FALSE))
)
/5,0)*5,0)</f>
        <v>46860</v>
      </c>
      <c r="I9" s="5">
        <f>IFERROR(
ROUND(
IF($A$2="COSTO",
   ((B9*(1+IFERROR(VLOOKUP($D$2,COLORES[],2,FALSE),0)))
   + C9
   + E9)
   *(1-SUMPRODUCT(
        (DESC_PROV[LINEA]=$B$2)*
        (DESC_PROV[LISTA]=$C$2)*
        (DESC_PROV[DESCUENTO])
   )),
   ((B9*(1+IFERROR(VLOOKUP($D$2,COLORES[],2,FALSE),0)))
   + C9
   + E9)
   *(1-SUMPRODUCT(
        (DESC_PROV[LINEA]=$B$2)*
        (DESC_PROV[LISTA]=$C$2)*
        (DESC_PROV[DESCUENTO])
   ))
   *(1+VLOOKUP($C$2,LISTAS[],2,FALSE))
   *(1+VLOOKUP($C$2,LISTAS[],3,FALSE))
)
/5,0)*5,0)</f>
        <v>55400</v>
      </c>
      <c r="J9" s="5">
        <f>IFERROR(
ROUND(
IF($A$2="COSTO",
   (D9*(1+IFERROR(VLOOKUP($D$2,COLORES[],2,FALSE),0)))
   *(1-SUMPRODUCT(
        (DESC_PROV[LINEA]=$B$2)*
        (DESC_PROV[LISTA]=$C$2)*
        (DESC_PROV[DESCUENTO])
   )),
   (D9*(1+IFERROR(VLOOKUP($D$2,COLORES[],2,FALSE),0)))
   *(1-SUMPRODUCT(
        (DESC_PROV[LINEA]=$B$2)*
        (DESC_PROV[LISTA]=$C$2)*
        (DESC_PROV[DESCUENTO])
   ))
   *(1+VLOOKUP($C$2,LISTAS[],2,FALSE))
   *(1+VLOOKUP($C$2,LISTAS[],4,FALSE))
)
/5,0)*5,0)</f>
        <v>18190</v>
      </c>
      <c r="K9" s="6">
        <f>IFERROR(
ROUND(
IF($A$2="COSTO",
   (B9*(1+IFERROR(VLOOKUP($D$2,COLORES[],2,FALSE),0))+E9)
   *(1+VLOOKUP($C$2,LISTAS[],5,FALSE))
   *(1-SUMPRODUCT(
        (DESC_PROV[LINEA]=$B$2)*
        (DESC_PROV[LISTA]=$C$2)*
        (DESC_PROV[DESCUENTO])
   )),
   (B9*(1+IFERROR(VLOOKUP($D$2,COLORES[],2,FALSE),0))+E9)
   *(1-SUMPRODUCT(
        (DESC_PROV[LINEA]=$B$2)*
        (DESC_PROV[LISTA]=$C$2)*
        (DESC_PROV[DESCUENTO])
   ))
   *(1+VLOOKUP($C$2,LISTAS[],5,FALSE))
   *(1+VLOOKUP($C$2,LISTAS[],2,FALSE))
   *(1+VLOOKUP($C$2,LISTAS[],3,FALSE))
)
/5,0)*5,0)</f>
        <v>60920</v>
      </c>
    </row>
    <row r="10" spans="1:11">
      <c r="A10" s="18" t="s">
        <v>9</v>
      </c>
      <c r="B10" s="3">
        <v>36677</v>
      </c>
      <c r="C10" s="3">
        <v>6884</v>
      </c>
      <c r="D10" s="3">
        <v>13440</v>
      </c>
      <c r="E10" s="7">
        <v>5622</v>
      </c>
      <c r="G10" s="21" t="s">
        <v>9</v>
      </c>
      <c r="H10" s="5">
        <f>IFERROR(
ROUND(
IF($A$2="COSTO",
   ((B10*(1+IFERROR(VLOOKUP($D$2,COLORES[],2,FALSE),0)))+E10)
   *(1-SUMPRODUCT(
        (DESC_PROV[LINEA]=$B$2)*
        (DESC_PROV[LISTA]=$C$2)*
        (DESC_PROV[DESCUENTO])
   )),
   ((B10*(1+IFERROR(VLOOKUP($D$2,COLORES[],2,FALSE),0)))+E10)
   *(1-SUMPRODUCT(
        (DESC_PROV[LINEA]=$B$2)*
        (DESC_PROV[LISTA]=$C$2)*
        (DESC_PROV[DESCUENTO])
   ))
   *(1+VLOOKUP($C$2,LISTAS[],2,FALSE))
   *(1+VLOOKUP($C$2,LISTAS[],3,FALSE))
)
/5,0)*5,0)</f>
        <v>52460</v>
      </c>
      <c r="I10" s="5">
        <f>IFERROR(
ROUND(
IF($A$2="COSTO",
   ((B10*(1+IFERROR(VLOOKUP($D$2,COLORES[],2,FALSE),0)))
   + C10
   + E10)
   *(1-SUMPRODUCT(
        (DESC_PROV[LINEA]=$B$2)*
        (DESC_PROV[LISTA]=$C$2)*
        (DESC_PROV[DESCUENTO])
   )),
   ((B10*(1+IFERROR(VLOOKUP($D$2,COLORES[],2,FALSE),0)))
   + C10
   + E10)
   *(1-SUMPRODUCT(
        (DESC_PROV[LINEA]=$B$2)*
        (DESC_PROV[LISTA]=$C$2)*
        (DESC_PROV[DESCUENTO])
   ))
   *(1+VLOOKUP($C$2,LISTAS[],2,FALSE))
   *(1+VLOOKUP($C$2,LISTAS[],3,FALSE))
)
/5,0)*5,0)</f>
        <v>60995</v>
      </c>
      <c r="J10" s="5">
        <f>IFERROR(
ROUND(
IF($A$2="COSTO",
   (D10*(1+IFERROR(VLOOKUP($D$2,COLORES[],2,FALSE),0)))
   *(1-SUMPRODUCT(
        (DESC_PROV[LINEA]=$B$2)*
        (DESC_PROV[LISTA]=$C$2)*
        (DESC_PROV[DESCUENTO])
   )),
   (D10*(1+IFERROR(VLOOKUP($D$2,COLORES[],2,FALSE),0)))
   *(1-SUMPRODUCT(
        (DESC_PROV[LINEA]=$B$2)*
        (DESC_PROV[LISTA]=$C$2)*
        (DESC_PROV[DESCUENTO])
   ))
   *(1+VLOOKUP($C$2,LISTAS[],2,FALSE))
   *(1+VLOOKUP($C$2,LISTAS[],4,FALSE))
)
/5,0)*5,0)</f>
        <v>20515</v>
      </c>
      <c r="K10" s="6">
        <f>IFERROR(
ROUND(
IF($A$2="COSTO",
   (B10*(1+IFERROR(VLOOKUP($D$2,COLORES[],2,FALSE),0))+E10)
   *(1+VLOOKUP($C$2,LISTAS[],5,FALSE))
   *(1-SUMPRODUCT(
        (DESC_PROV[LINEA]=$B$2)*
        (DESC_PROV[LISTA]=$C$2)*
        (DESC_PROV[DESCUENTO])
   )),
   (B10*(1+IFERROR(VLOOKUP($D$2,COLORES[],2,FALSE),0))+E10)
   *(1-SUMPRODUCT(
        (DESC_PROV[LINEA]=$B$2)*
        (DESC_PROV[LISTA]=$C$2)*
        (DESC_PROV[DESCUENTO])
   ))
   *(1+VLOOKUP($C$2,LISTAS[],5,FALSE))
   *(1+VLOOKUP($C$2,LISTAS[],2,FALSE))
   *(1+VLOOKUP($C$2,LISTAS[],3,FALSE))
)
/5,0)*5,0)</f>
        <v>68195</v>
      </c>
    </row>
    <row r="11" spans="1:11">
      <c r="A11" s="18" t="s">
        <v>10</v>
      </c>
      <c r="B11" s="3">
        <v>42456</v>
      </c>
      <c r="C11" s="3">
        <v>6884</v>
      </c>
      <c r="D11" s="3">
        <v>15725</v>
      </c>
      <c r="E11" s="7">
        <v>7140</v>
      </c>
      <c r="G11" s="21" t="s">
        <v>10</v>
      </c>
      <c r="H11" s="5">
        <f>IFERROR(
ROUND(
IF($A$2="COSTO",
   ((B11*(1+IFERROR(VLOOKUP($D$2,COLORES[],2,FALSE),0)))+E11)
   *(1-SUMPRODUCT(
        (DESC_PROV[LINEA]=$B$2)*
        (DESC_PROV[LISTA]=$C$2)*
        (DESC_PROV[DESCUENTO])
   )),
   ((B11*(1+IFERROR(VLOOKUP($D$2,COLORES[],2,FALSE),0)))+E11)
   *(1-SUMPRODUCT(
        (DESC_PROV[LINEA]=$B$2)*
        (DESC_PROV[LISTA]=$C$2)*
        (DESC_PROV[DESCUENTO])
   ))
   *(1+VLOOKUP($C$2,LISTAS[],2,FALSE))
   *(1+VLOOKUP($C$2,LISTAS[],3,FALSE))
)
/5,0)*5,0)</f>
        <v>61510</v>
      </c>
      <c r="I11" s="5">
        <f>IFERROR(
ROUND(
IF($A$2="COSTO",
   ((B11*(1+IFERROR(VLOOKUP($D$2,COLORES[],2,FALSE),0)))
   + C11
   + E11)
   *(1-SUMPRODUCT(
        (DESC_PROV[LINEA]=$B$2)*
        (DESC_PROV[LISTA]=$C$2)*
        (DESC_PROV[DESCUENTO])
   )),
   ((B11*(1+IFERROR(VLOOKUP($D$2,COLORES[],2,FALSE),0)))
   + C11
   + E11)
   *(1-SUMPRODUCT(
        (DESC_PROV[LINEA]=$B$2)*
        (DESC_PROV[LISTA]=$C$2)*
        (DESC_PROV[DESCUENTO])
   ))
   *(1+VLOOKUP($C$2,LISTAS[],2,FALSE))
   *(1+VLOOKUP($C$2,LISTAS[],3,FALSE))
)
/5,0)*5,0)</f>
        <v>70045</v>
      </c>
      <c r="J11" s="5">
        <f>IFERROR(
ROUND(
IF($A$2="COSTO",
   (D11*(1+IFERROR(VLOOKUP($D$2,COLORES[],2,FALSE),0)))
   *(1-SUMPRODUCT(
        (DESC_PROV[LINEA]=$B$2)*
        (DESC_PROV[LISTA]=$C$2)*
        (DESC_PROV[DESCUENTO])
   )),
   (D11*(1+IFERROR(VLOOKUP($D$2,COLORES[],2,FALSE),0)))
   *(1-SUMPRODUCT(
        (DESC_PROV[LINEA]=$B$2)*
        (DESC_PROV[LISTA]=$C$2)*
        (DESC_PROV[DESCUENTO])
   ))
   *(1+VLOOKUP($C$2,LISTAS[],2,FALSE))
   *(1+VLOOKUP($C$2,LISTAS[],4,FALSE))
)
/5,0)*5,0)</f>
        <v>24005</v>
      </c>
      <c r="K11" s="6">
        <f>IFERROR(
ROUND(
IF($A$2="COSTO",
   (B11*(1+IFERROR(VLOOKUP($D$2,COLORES[],2,FALSE),0))+E11)
   *(1+VLOOKUP($C$2,LISTAS[],5,FALSE))
   *(1-SUMPRODUCT(
        (DESC_PROV[LINEA]=$B$2)*
        (DESC_PROV[LISTA]=$C$2)*
        (DESC_PROV[DESCUENTO])
   )),
   (B11*(1+IFERROR(VLOOKUP($D$2,COLORES[],2,FALSE),0))+E11)
   *(1-SUMPRODUCT(
        (DESC_PROV[LINEA]=$B$2)*
        (DESC_PROV[LISTA]=$C$2)*
        (DESC_PROV[DESCUENTO])
   ))
   *(1+VLOOKUP($C$2,LISTAS[],5,FALSE))
   *(1+VLOOKUP($C$2,LISTAS[],2,FALSE))
   *(1+VLOOKUP($C$2,LISTAS[],3,FALSE))
)
/5,0)*5,0)</f>
        <v>79960</v>
      </c>
    </row>
    <row r="12" spans="1:11">
      <c r="A12" s="18" t="s">
        <v>11</v>
      </c>
      <c r="B12" s="3">
        <v>47121</v>
      </c>
      <c r="C12" s="3">
        <v>6884</v>
      </c>
      <c r="D12" s="3">
        <v>18010</v>
      </c>
      <c r="E12" s="7">
        <v>8676</v>
      </c>
      <c r="G12" s="21" t="s">
        <v>11</v>
      </c>
      <c r="H12" s="5">
        <f>IFERROR(
ROUND(
IF($A$2="COSTO",
   ((B12*(1+IFERROR(VLOOKUP($D$2,COLORES[],2,FALSE),0)))+E12)
   *(1-SUMPRODUCT(
        (DESC_PROV[LINEA]=$B$2)*
        (DESC_PROV[LISTA]=$C$2)*
        (DESC_PROV[DESCUENTO])
   )),
   ((B12*(1+IFERROR(VLOOKUP($D$2,COLORES[],2,FALSE),0)))+E12)
   *(1-SUMPRODUCT(
        (DESC_PROV[LINEA]=$B$2)*
        (DESC_PROV[LISTA]=$C$2)*
        (DESC_PROV[DESCUENTO])
   ))
   *(1+VLOOKUP($C$2,LISTAS[],2,FALSE))
   *(1+VLOOKUP($C$2,LISTAS[],3,FALSE))
)
/5,0)*5,0)</f>
        <v>69200</v>
      </c>
      <c r="I12" s="5">
        <f>IFERROR(
ROUND(
IF($A$2="COSTO",
   ((B12*(1+IFERROR(VLOOKUP($D$2,COLORES[],2,FALSE),0)))
   + C12
   + E12)
   *(1-SUMPRODUCT(
        (DESC_PROV[LINEA]=$B$2)*
        (DESC_PROV[LISTA]=$C$2)*
        (DESC_PROV[DESCUENTO])
   )),
   ((B12*(1+IFERROR(VLOOKUP($D$2,COLORES[],2,FALSE),0)))
   + C12
   + E12)
   *(1-SUMPRODUCT(
        (DESC_PROV[LINEA]=$B$2)*
        (DESC_PROV[LISTA]=$C$2)*
        (DESC_PROV[DESCUENTO])
   ))
   *(1+VLOOKUP($C$2,LISTAS[],2,FALSE))
   *(1+VLOOKUP($C$2,LISTAS[],3,FALSE))
)
/5,0)*5,0)</f>
        <v>77735</v>
      </c>
      <c r="J12" s="5">
        <f>IFERROR(
ROUND(
IF($A$2="COSTO",
   (D12*(1+IFERROR(VLOOKUP($D$2,COLORES[],2,FALSE),0)))
   *(1-SUMPRODUCT(
        (DESC_PROV[LINEA]=$B$2)*
        (DESC_PROV[LISTA]=$C$2)*
        (DESC_PROV[DESCUENTO])
   )),
   (D12*(1+IFERROR(VLOOKUP($D$2,COLORES[],2,FALSE),0)))
   *(1-SUMPRODUCT(
        (DESC_PROV[LINEA]=$B$2)*
        (DESC_PROV[LISTA]=$C$2)*
        (DESC_PROV[DESCUENTO])
   ))
   *(1+VLOOKUP($C$2,LISTAS[],2,FALSE))
   *(1+VLOOKUP($C$2,LISTAS[],4,FALSE))
)
/5,0)*5,0)</f>
        <v>27490</v>
      </c>
      <c r="K12" s="6">
        <f>IFERROR(
ROUND(
IF($A$2="COSTO",
   (B12*(1+IFERROR(VLOOKUP($D$2,COLORES[],2,FALSE),0))+E12)
   *(1+VLOOKUP($C$2,LISTAS[],5,FALSE))
   *(1-SUMPRODUCT(
        (DESC_PROV[LINEA]=$B$2)*
        (DESC_PROV[LISTA]=$C$2)*
        (DESC_PROV[DESCUENTO])
   )),
   (B12*(1+IFERROR(VLOOKUP($D$2,COLORES[],2,FALSE),0))+E12)
   *(1-SUMPRODUCT(
        (DESC_PROV[LINEA]=$B$2)*
        (DESC_PROV[LISTA]=$C$2)*
        (DESC_PROV[DESCUENTO])
   ))
   *(1+VLOOKUP($C$2,LISTAS[],5,FALSE))
   *(1+VLOOKUP($C$2,LISTAS[],2,FALSE))
   *(1+VLOOKUP($C$2,LISTAS[],3,FALSE))
)
/5,0)*5,0)</f>
        <v>89960</v>
      </c>
    </row>
    <row r="13" spans="1:11">
      <c r="A13" s="18" t="s">
        <v>12</v>
      </c>
      <c r="B13" s="3">
        <v>52273</v>
      </c>
      <c r="C13" s="3">
        <v>6884</v>
      </c>
      <c r="D13" s="3">
        <v>19533</v>
      </c>
      <c r="E13" s="7">
        <v>9696</v>
      </c>
      <c r="G13" s="21" t="s">
        <v>12</v>
      </c>
      <c r="H13" s="5">
        <f>IFERROR(
ROUND(
IF($A$2="COSTO",
   ((B13*(1+IFERROR(VLOOKUP($D$2,COLORES[],2,FALSE),0)))+E13)
   *(1-SUMPRODUCT(
        (DESC_PROV[LINEA]=$B$2)*
        (DESC_PROV[LISTA]=$C$2)*
        (DESC_PROV[DESCUENTO])
   )),
   ((B13*(1+IFERROR(VLOOKUP($D$2,COLORES[],2,FALSE),0)))+E13)
   *(1-SUMPRODUCT(
        (DESC_PROV[LINEA]=$B$2)*
        (DESC_PROV[LISTA]=$C$2)*
        (DESC_PROV[DESCUENTO])
   ))
   *(1+VLOOKUP($C$2,LISTAS[],2,FALSE))
   *(1+VLOOKUP($C$2,LISTAS[],3,FALSE))
)
/5,0)*5,0)</f>
        <v>76855</v>
      </c>
      <c r="I13" s="5">
        <f>IFERROR(
ROUND(
IF($A$2="COSTO",
   ((B13*(1+IFERROR(VLOOKUP($D$2,COLORES[],2,FALSE),0)))
   + C13
   + E13)
   *(1-SUMPRODUCT(
        (DESC_PROV[LINEA]=$B$2)*
        (DESC_PROV[LISTA]=$C$2)*
        (DESC_PROV[DESCUENTO])
   )),
   ((B13*(1+IFERROR(VLOOKUP($D$2,COLORES[],2,FALSE),0)))
   + C13
   + E13)
   *(1-SUMPRODUCT(
        (DESC_PROV[LINEA]=$B$2)*
        (DESC_PROV[LISTA]=$C$2)*
        (DESC_PROV[DESCUENTO])
   ))
   *(1+VLOOKUP($C$2,LISTAS[],2,FALSE))
   *(1+VLOOKUP($C$2,LISTAS[],3,FALSE))
)
/5,0)*5,0)</f>
        <v>85390</v>
      </c>
      <c r="J13" s="5">
        <f>IFERROR(
ROUND(
IF($A$2="COSTO",
   (D13*(1+IFERROR(VLOOKUP($D$2,COLORES[],2,FALSE),0)))
   *(1-SUMPRODUCT(
        (DESC_PROV[LINEA]=$B$2)*
        (DESC_PROV[LISTA]=$C$2)*
        (DESC_PROV[DESCUENTO])
   )),
   (D13*(1+IFERROR(VLOOKUP($D$2,COLORES[],2,FALSE),0)))
   *(1-SUMPRODUCT(
        (DESC_PROV[LINEA]=$B$2)*
        (DESC_PROV[LISTA]=$C$2)*
        (DESC_PROV[DESCUENTO])
   ))
   *(1+VLOOKUP($C$2,LISTAS[],2,FALSE))
   *(1+VLOOKUP($C$2,LISTAS[],4,FALSE))
)
/5,0)*5,0)</f>
        <v>29815</v>
      </c>
      <c r="K13" s="6">
        <f>IFERROR(
ROUND(
IF($A$2="COSTO",
   (B13*(1+IFERROR(VLOOKUP($D$2,COLORES[],2,FALSE),0))+E13)
   *(1+VLOOKUP($C$2,LISTAS[],5,FALSE))
   *(1-SUMPRODUCT(
        (DESC_PROV[LINEA]=$B$2)*
        (DESC_PROV[LISTA]=$C$2)*
        (DESC_PROV[DESCUENTO])
   )),
   (B13*(1+IFERROR(VLOOKUP($D$2,COLORES[],2,FALSE),0))+E13)
   *(1-SUMPRODUCT(
        (DESC_PROV[LINEA]=$B$2)*
        (DESC_PROV[LISTA]=$C$2)*
        (DESC_PROV[DESCUENTO])
   ))
   *(1+VLOOKUP($C$2,LISTAS[],5,FALSE))
   *(1+VLOOKUP($C$2,LISTAS[],2,FALSE))
   *(1+VLOOKUP($C$2,LISTAS[],3,FALSE))
)
/5,0)*5,0)</f>
        <v>99910</v>
      </c>
    </row>
    <row r="14" spans="1:11">
      <c r="A14" s="18" t="s">
        <v>13</v>
      </c>
      <c r="B14" s="3">
        <v>29942</v>
      </c>
      <c r="C14" s="3">
        <v>10325</v>
      </c>
      <c r="D14" s="3">
        <v>11693</v>
      </c>
      <c r="E14" s="7">
        <v>4254</v>
      </c>
      <c r="G14" s="21" t="s">
        <v>13</v>
      </c>
      <c r="H14" s="5">
        <f>IFERROR(
ROUND(
IF($A$2="COSTO",
   ((B14*(1+IFERROR(VLOOKUP($D$2,COLORES[],2,FALSE),0)))+E14)
   *(1-SUMPRODUCT(
        (DESC_PROV[LINEA]=$B$2)*
        (DESC_PROV[LISTA]=$C$2)*
        (DESC_PROV[DESCUENTO])
   )),
   ((B14*(1+IFERROR(VLOOKUP($D$2,COLORES[],2,FALSE),0)))+E14)
   *(1-SUMPRODUCT(
        (DESC_PROV[LINEA]=$B$2)*
        (DESC_PROV[LISTA]=$C$2)*
        (DESC_PROV[DESCUENTO])
   ))
   *(1+VLOOKUP($C$2,LISTAS[],2,FALSE))
   *(1+VLOOKUP($C$2,LISTAS[],3,FALSE))
)
/5,0)*5,0)</f>
        <v>42410</v>
      </c>
      <c r="I14" s="5">
        <f>IFERROR(
ROUND(
IF($A$2="COSTO",
   ((B14*(1+IFERROR(VLOOKUP($D$2,COLORES[],2,FALSE),0)))
   + C14
   + E14)
   *(1-SUMPRODUCT(
        (DESC_PROV[LINEA]=$B$2)*
        (DESC_PROV[LISTA]=$C$2)*
        (DESC_PROV[DESCUENTO])
   )),
   ((B14*(1+IFERROR(VLOOKUP($D$2,COLORES[],2,FALSE),0)))
   + C14
   + E14)
   *(1-SUMPRODUCT(
        (DESC_PROV[LINEA]=$B$2)*
        (DESC_PROV[LISTA]=$C$2)*
        (DESC_PROV[DESCUENTO])
   ))
   *(1+VLOOKUP($C$2,LISTAS[],2,FALSE))
   *(1+VLOOKUP($C$2,LISTAS[],3,FALSE))
)
/5,0)*5,0)</f>
        <v>55215</v>
      </c>
      <c r="J14" s="5">
        <f>IFERROR(
ROUND(
IF($A$2="COSTO",
   (D14*(1+IFERROR(VLOOKUP($D$2,COLORES[],2,FALSE),0)))
   *(1-SUMPRODUCT(
        (DESC_PROV[LINEA]=$B$2)*
        (DESC_PROV[LISTA]=$C$2)*
        (DESC_PROV[DESCUENTO])
   )),
   (D14*(1+IFERROR(VLOOKUP($D$2,COLORES[],2,FALSE),0)))
   *(1-SUMPRODUCT(
        (DESC_PROV[LINEA]=$B$2)*
        (DESC_PROV[LISTA]=$C$2)*
        (DESC_PROV[DESCUENTO])
   ))
   *(1+VLOOKUP($C$2,LISTAS[],2,FALSE))
   *(1+VLOOKUP($C$2,LISTAS[],4,FALSE))
)
/5,0)*5,0)</f>
        <v>17850</v>
      </c>
      <c r="K14" s="6">
        <f>IFERROR(
ROUND(
IF($A$2="COSTO",
   (B14*(1+IFERROR(VLOOKUP($D$2,COLORES[],2,FALSE),0))+E14)
   *(1+VLOOKUP($C$2,LISTAS[],5,FALSE))
   *(1-SUMPRODUCT(
        (DESC_PROV[LINEA]=$B$2)*
        (DESC_PROV[LISTA]=$C$2)*
        (DESC_PROV[DESCUENTO])
   )),
   (B14*(1+IFERROR(VLOOKUP($D$2,COLORES[],2,FALSE),0))+E14)
   *(1-SUMPRODUCT(
        (DESC_PROV[LINEA]=$B$2)*
        (DESC_PROV[LISTA]=$C$2)*
        (DESC_PROV[DESCUENTO])
   ))
   *(1+VLOOKUP($C$2,LISTAS[],5,FALSE))
   *(1+VLOOKUP($C$2,LISTAS[],2,FALSE))
   *(1+VLOOKUP($C$2,LISTAS[],3,FALSE))
)
/5,0)*5,0)</f>
        <v>55135</v>
      </c>
    </row>
    <row r="15" spans="1:11">
      <c r="A15" s="18" t="s">
        <v>14</v>
      </c>
      <c r="B15" s="3">
        <v>36210</v>
      </c>
      <c r="C15" s="3">
        <v>10325</v>
      </c>
      <c r="D15" s="3">
        <v>13440</v>
      </c>
      <c r="E15" s="7">
        <v>5952</v>
      </c>
      <c r="G15" s="21" t="s">
        <v>14</v>
      </c>
      <c r="H15" s="5">
        <f>IFERROR(
ROUND(
IF($A$2="COSTO",
   ((B15*(1+IFERROR(VLOOKUP($D$2,COLORES[],2,FALSE),0)))+E15)
   *(1-SUMPRODUCT(
        (DESC_PROV[LINEA]=$B$2)*
        (DESC_PROV[LISTA]=$C$2)*
        (DESC_PROV[DESCUENTO])
   )),
   ((B15*(1+IFERROR(VLOOKUP($D$2,COLORES[],2,FALSE),0)))+E15)
   *(1-SUMPRODUCT(
        (DESC_PROV[LINEA]=$B$2)*
        (DESC_PROV[LISTA]=$C$2)*
        (DESC_PROV[DESCUENTO])
   ))
   *(1+VLOOKUP($C$2,LISTAS[],2,FALSE))
   *(1+VLOOKUP($C$2,LISTAS[],3,FALSE))
)
/5,0)*5,0)</f>
        <v>52290</v>
      </c>
      <c r="I15" s="5">
        <f>IFERROR(
ROUND(
IF($A$2="COSTO",
   ((B15*(1+IFERROR(VLOOKUP($D$2,COLORES[],2,FALSE),0)))
   + C15
   + E15)
   *(1-SUMPRODUCT(
        (DESC_PROV[LINEA]=$B$2)*
        (DESC_PROV[LISTA]=$C$2)*
        (DESC_PROV[DESCUENTO])
   )),
   ((B15*(1+IFERROR(VLOOKUP($D$2,COLORES[],2,FALSE),0)))
   + C15
   + E15)
   *(1-SUMPRODUCT(
        (DESC_PROV[LINEA]=$B$2)*
        (DESC_PROV[LISTA]=$C$2)*
        (DESC_PROV[DESCUENTO])
   ))
   *(1+VLOOKUP($C$2,LISTAS[],2,FALSE))
   *(1+VLOOKUP($C$2,LISTAS[],3,FALSE))
)
/5,0)*5,0)</f>
        <v>65095</v>
      </c>
      <c r="J15" s="5">
        <f>IFERROR(
ROUND(
IF($A$2="COSTO",
   (D15*(1+IFERROR(VLOOKUP($D$2,COLORES[],2,FALSE),0)))
   *(1-SUMPRODUCT(
        (DESC_PROV[LINEA]=$B$2)*
        (DESC_PROV[LISTA]=$C$2)*
        (DESC_PROV[DESCUENTO])
   )),
   (D15*(1+IFERROR(VLOOKUP($D$2,COLORES[],2,FALSE),0)))
   *(1-SUMPRODUCT(
        (DESC_PROV[LINEA]=$B$2)*
        (DESC_PROV[LISTA]=$C$2)*
        (DESC_PROV[DESCUENTO])
   ))
   *(1+VLOOKUP($C$2,LISTAS[],2,FALSE))
   *(1+VLOOKUP($C$2,LISTAS[],4,FALSE))
)
/5,0)*5,0)</f>
        <v>20515</v>
      </c>
      <c r="K15" s="6">
        <f>IFERROR(
ROUND(
IF($A$2="COSTO",
   (B15*(1+IFERROR(VLOOKUP($D$2,COLORES[],2,FALSE),0))+E15)
   *(1+VLOOKUP($C$2,LISTAS[],5,FALSE))
   *(1-SUMPRODUCT(
        (DESC_PROV[LINEA]=$B$2)*
        (DESC_PROV[LISTA]=$C$2)*
        (DESC_PROV[DESCUENTO])
   )),
   (B15*(1+IFERROR(VLOOKUP($D$2,COLORES[],2,FALSE),0))+E15)
   *(1-SUMPRODUCT(
        (DESC_PROV[LINEA]=$B$2)*
        (DESC_PROV[LISTA]=$C$2)*
        (DESC_PROV[DESCUENTO])
   ))
   *(1+VLOOKUP($C$2,LISTAS[],5,FALSE))
   *(1+VLOOKUP($C$2,LISTAS[],2,FALSE))
   *(1+VLOOKUP($C$2,LISTAS[],3,FALSE))
)
/5,0)*5,0)</f>
        <v>67975</v>
      </c>
    </row>
    <row r="16" spans="1:11">
      <c r="A16" s="18" t="s">
        <v>97</v>
      </c>
      <c r="B16" s="3">
        <v>39270</v>
      </c>
      <c r="C16" s="3">
        <v>10325</v>
      </c>
      <c r="D16" s="3">
        <v>15187</v>
      </c>
      <c r="E16" s="7">
        <v>7656</v>
      </c>
      <c r="G16" s="21" t="s">
        <v>97</v>
      </c>
      <c r="H16" s="5">
        <f>IFERROR(
ROUND(
IF($A$2="COSTO",
   ((B16*(1+IFERROR(VLOOKUP($D$2,COLORES[],2,FALSE),0)))+E16)
   *(1-SUMPRODUCT(
        (DESC_PROV[LINEA]=$B$2)*
        (DESC_PROV[LISTA]=$C$2)*
        (DESC_PROV[DESCUENTO])
   )),
   ((B16*(1+IFERROR(VLOOKUP($D$2,COLORES[],2,FALSE),0)))+E16)
   *(1-SUMPRODUCT(
        (DESC_PROV[LINEA]=$B$2)*
        (DESC_PROV[LISTA]=$C$2)*
        (DESC_PROV[DESCUENTO])
   ))
   *(1+VLOOKUP($C$2,LISTAS[],2,FALSE))
   *(1+VLOOKUP($C$2,LISTAS[],3,FALSE))
)
/5,0)*5,0)</f>
        <v>58200</v>
      </c>
      <c r="I16" s="5">
        <f>IFERROR(
ROUND(
IF($A$2="COSTO",
   ((B16*(1+IFERROR(VLOOKUP($D$2,COLORES[],2,FALSE),0)))
   + C16
   + E16)
   *(1-SUMPRODUCT(
        (DESC_PROV[LINEA]=$B$2)*
        (DESC_PROV[LISTA]=$C$2)*
        (DESC_PROV[DESCUENTO])
   )),
   ((B16*(1+IFERROR(VLOOKUP($D$2,COLORES[],2,FALSE),0)))
   + C16
   + E16)
   *(1-SUMPRODUCT(
        (DESC_PROV[LINEA]=$B$2)*
        (DESC_PROV[LISTA]=$C$2)*
        (DESC_PROV[DESCUENTO])
   ))
   *(1+VLOOKUP($C$2,LISTAS[],2,FALSE))
   *(1+VLOOKUP($C$2,LISTAS[],3,FALSE))
)
/5,0)*5,0)</f>
        <v>71005</v>
      </c>
      <c r="J16" s="5">
        <f>IFERROR(
ROUND(
IF($A$2="COSTO",
   (D16*(1+IFERROR(VLOOKUP($D$2,COLORES[],2,FALSE),0)))
   *(1-SUMPRODUCT(
        (DESC_PROV[LINEA]=$B$2)*
        (DESC_PROV[LISTA]=$C$2)*
        (DESC_PROV[DESCUENTO])
   )),
   (D16*(1+IFERROR(VLOOKUP($D$2,COLORES[],2,FALSE),0)))
   *(1-SUMPRODUCT(
        (DESC_PROV[LINEA]=$B$2)*
        (DESC_PROV[LISTA]=$C$2)*
        (DESC_PROV[DESCUENTO])
   ))
   *(1+VLOOKUP($C$2,LISTAS[],2,FALSE))
   *(1+VLOOKUP($C$2,LISTAS[],4,FALSE))
)
/5,0)*5,0)</f>
        <v>23180</v>
      </c>
      <c r="K16" s="6">
        <f>IFERROR(
ROUND(
IF($A$2="COSTO",
   (B16*(1+IFERROR(VLOOKUP($D$2,COLORES[],2,FALSE),0))+E16)
   *(1+VLOOKUP($C$2,LISTAS[],5,FALSE))
   *(1-SUMPRODUCT(
        (DESC_PROV[LINEA]=$B$2)*
        (DESC_PROV[LISTA]=$C$2)*
        (DESC_PROV[DESCUENTO])
   )),
   (B16*(1+IFERROR(VLOOKUP($D$2,COLORES[],2,FALSE),0))+E16)
   *(1-SUMPRODUCT(
        (DESC_PROV[LINEA]=$B$2)*
        (DESC_PROV[LISTA]=$C$2)*
        (DESC_PROV[DESCUENTO])
   ))
   *(1+VLOOKUP($C$2,LISTAS[],5,FALSE))
   *(1+VLOOKUP($C$2,LISTAS[],2,FALSE))
   *(1+VLOOKUP($C$2,LISTAS[],3,FALSE))
)
/5,0)*5,0)</f>
        <v>75655</v>
      </c>
    </row>
    <row r="17" spans="1:11">
      <c r="A17" s="18" t="s">
        <v>98</v>
      </c>
      <c r="B17" s="3">
        <v>42616</v>
      </c>
      <c r="C17" s="3">
        <v>10325</v>
      </c>
      <c r="D17" s="3">
        <v>16934</v>
      </c>
      <c r="E17" s="7">
        <v>9354</v>
      </c>
      <c r="G17" s="21" t="s">
        <v>98</v>
      </c>
      <c r="H17" s="5">
        <f>IFERROR(
ROUND(
IF($A$2="COSTO",
   ((B17*(1+IFERROR(VLOOKUP($D$2,COLORES[],2,FALSE),0)))+E17)
   *(1-SUMPRODUCT(
        (DESC_PROV[LINEA]=$B$2)*
        (DESC_PROV[LISTA]=$C$2)*
        (DESC_PROV[DESCUENTO])
   )),
   ((B17*(1+IFERROR(VLOOKUP($D$2,COLORES[],2,FALSE),0)))+E17)
   *(1-SUMPRODUCT(
        (DESC_PROV[LINEA]=$B$2)*
        (DESC_PROV[LISTA]=$C$2)*
        (DESC_PROV[DESCUENTO])
   ))
   *(1+VLOOKUP($C$2,LISTAS[],2,FALSE))
   *(1+VLOOKUP($C$2,LISTAS[],3,FALSE))
)
/5,0)*5,0)</f>
        <v>64455</v>
      </c>
      <c r="I17" s="5">
        <f>IFERROR(
ROUND(
IF($A$2="COSTO",
   ((B17*(1+IFERROR(VLOOKUP($D$2,COLORES[],2,FALSE),0)))
   + C17
   + E17)
   *(1-SUMPRODUCT(
        (DESC_PROV[LINEA]=$B$2)*
        (DESC_PROV[LISTA]=$C$2)*
        (DESC_PROV[DESCUENTO])
   )),
   ((B17*(1+IFERROR(VLOOKUP($D$2,COLORES[],2,FALSE),0)))
   + C17
   + E17)
   *(1-SUMPRODUCT(
        (DESC_PROV[LINEA]=$B$2)*
        (DESC_PROV[LISTA]=$C$2)*
        (DESC_PROV[DESCUENTO])
   ))
   *(1+VLOOKUP($C$2,LISTAS[],2,FALSE))
   *(1+VLOOKUP($C$2,LISTAS[],3,FALSE))
)
/5,0)*5,0)</f>
        <v>77260</v>
      </c>
      <c r="J17" s="5">
        <f>IFERROR(
ROUND(
IF($A$2="COSTO",
   (D17*(1+IFERROR(VLOOKUP($D$2,COLORES[],2,FALSE),0)))
   *(1-SUMPRODUCT(
        (DESC_PROV[LINEA]=$B$2)*
        (DESC_PROV[LISTA]=$C$2)*
        (DESC_PROV[DESCUENTO])
   )),
   (D17*(1+IFERROR(VLOOKUP($D$2,COLORES[],2,FALSE),0)))
   *(1-SUMPRODUCT(
        (DESC_PROV[LINEA]=$B$2)*
        (DESC_PROV[LISTA]=$C$2)*
        (DESC_PROV[DESCUENTO])
   ))
   *(1+VLOOKUP($C$2,LISTAS[],2,FALSE))
   *(1+VLOOKUP($C$2,LISTAS[],4,FALSE))
)
/5,0)*5,0)</f>
        <v>25850</v>
      </c>
      <c r="K17" s="6">
        <f>IFERROR(
ROUND(
IF($A$2="COSTO",
   (B17*(1+IFERROR(VLOOKUP($D$2,COLORES[],2,FALSE),0))+E17)
   *(1+VLOOKUP($C$2,LISTAS[],5,FALSE))
   *(1-SUMPRODUCT(
        (DESC_PROV[LINEA]=$B$2)*
        (DESC_PROV[LISTA]=$C$2)*
        (DESC_PROV[DESCUENTO])
   )),
   (B17*(1+IFERROR(VLOOKUP($D$2,COLORES[],2,FALSE),0))+E17)
   *(1-SUMPRODUCT(
        (DESC_PROV[LINEA]=$B$2)*
        (DESC_PROV[LISTA]=$C$2)*
        (DESC_PROV[DESCUENTO])
   ))
   *(1+VLOOKUP($C$2,LISTAS[],5,FALSE))
   *(1+VLOOKUP($C$2,LISTAS[],2,FALSE))
   *(1+VLOOKUP($C$2,LISTAS[],3,FALSE))
)
/5,0)*5,0)</f>
        <v>83790</v>
      </c>
    </row>
    <row r="18" spans="1:11">
      <c r="A18" s="18" t="s">
        <v>99</v>
      </c>
      <c r="B18" s="3">
        <v>48395</v>
      </c>
      <c r="C18" s="3">
        <v>10325</v>
      </c>
      <c r="D18" s="3">
        <v>19555</v>
      </c>
      <c r="E18" s="7">
        <v>11910</v>
      </c>
      <c r="G18" s="21" t="s">
        <v>99</v>
      </c>
      <c r="H18" s="5">
        <f>IFERROR(
ROUND(
IF($A$2="COSTO",
   ((B18*(1+IFERROR(VLOOKUP($D$2,COLORES[],2,FALSE),0)))+E18)
   *(1-SUMPRODUCT(
        (DESC_PROV[LINEA]=$B$2)*
        (DESC_PROV[LISTA]=$C$2)*
        (DESC_PROV[DESCUENTO])
   )),
   ((B18*(1+IFERROR(VLOOKUP($D$2,COLORES[],2,FALSE),0)))+E18)
   *(1-SUMPRODUCT(
        (DESC_PROV[LINEA]=$B$2)*
        (DESC_PROV[LISTA]=$C$2)*
        (DESC_PROV[DESCUENTO])
   ))
   *(1+VLOOKUP($C$2,LISTAS[],2,FALSE))
   *(1+VLOOKUP($C$2,LISTAS[],3,FALSE))
)
/5,0)*5,0)</f>
        <v>74790</v>
      </c>
      <c r="I18" s="5">
        <f>IFERROR(
ROUND(
IF($A$2="COSTO",
   ((B18*(1+IFERROR(VLOOKUP($D$2,COLORES[],2,FALSE),0)))
   + C18
   + E18)
   *(1-SUMPRODUCT(
        (DESC_PROV[LINEA]=$B$2)*
        (DESC_PROV[LISTA]=$C$2)*
        (DESC_PROV[DESCUENTO])
   )),
   ((B18*(1+IFERROR(VLOOKUP($D$2,COLORES[],2,FALSE),0)))
   + C18
   + E18)
   *(1-SUMPRODUCT(
        (DESC_PROV[LINEA]=$B$2)*
        (DESC_PROV[LISTA]=$C$2)*
        (DESC_PROV[DESCUENTO])
   ))
   *(1+VLOOKUP($C$2,LISTAS[],2,FALSE))
   *(1+VLOOKUP($C$2,LISTAS[],3,FALSE))
)
/5,0)*5,0)</f>
        <v>87595</v>
      </c>
      <c r="J18" s="5">
        <f>IFERROR(
ROUND(
IF($A$2="COSTO",
   (D18*(1+IFERROR(VLOOKUP($D$2,COLORES[],2,FALSE),0)))
   *(1-SUMPRODUCT(
        (DESC_PROV[LINEA]=$B$2)*
        (DESC_PROV[LISTA]=$C$2)*
        (DESC_PROV[DESCUENTO])
   )),
   (D18*(1+IFERROR(VLOOKUP($D$2,COLORES[],2,FALSE),0)))
   *(1-SUMPRODUCT(
        (DESC_PROV[LINEA]=$B$2)*
        (DESC_PROV[LISTA]=$C$2)*
        (DESC_PROV[DESCUENTO])
   ))
   *(1+VLOOKUP($C$2,LISTAS[],2,FALSE))
   *(1+VLOOKUP($C$2,LISTAS[],4,FALSE))
)
/5,0)*5,0)</f>
        <v>29850</v>
      </c>
      <c r="K18" s="6">
        <f>IFERROR(
ROUND(
IF($A$2="COSTO",
   (B18*(1+IFERROR(VLOOKUP($D$2,COLORES[],2,FALSE),0))+E18)
   *(1+VLOOKUP($C$2,LISTAS[],5,FALSE))
   *(1-SUMPRODUCT(
        (DESC_PROV[LINEA]=$B$2)*
        (DESC_PROV[LISTA]=$C$2)*
        (DESC_PROV[DESCUENTO])
   )),
   (B18*(1+IFERROR(VLOOKUP($D$2,COLORES[],2,FALSE),0))+E18)
   *(1-SUMPRODUCT(
        (DESC_PROV[LINEA]=$B$2)*
        (DESC_PROV[LISTA]=$C$2)*
        (DESC_PROV[DESCUENTO])
   ))
   *(1+VLOOKUP($C$2,LISTAS[],5,FALSE))
   *(1+VLOOKUP($C$2,LISTAS[],2,FALSE))
   *(1+VLOOKUP($C$2,LISTAS[],3,FALSE))
)
/5,0)*5,0)</f>
        <v>97225</v>
      </c>
    </row>
    <row r="19" spans="1:11">
      <c r="A19" s="18" t="s">
        <v>100</v>
      </c>
      <c r="B19" s="3">
        <v>53060</v>
      </c>
      <c r="C19" s="3">
        <v>10325</v>
      </c>
      <c r="D19" s="3">
        <v>22176</v>
      </c>
      <c r="E19" s="7">
        <v>14460</v>
      </c>
      <c r="G19" s="21" t="s">
        <v>100</v>
      </c>
      <c r="H19" s="5">
        <f>IFERROR(
ROUND(
IF($A$2="COSTO",
   ((B19*(1+IFERROR(VLOOKUP($D$2,COLORES[],2,FALSE),0)))+E19)
   *(1-SUMPRODUCT(
        (DESC_PROV[LINEA]=$B$2)*
        (DESC_PROV[LISTA]=$C$2)*
        (DESC_PROV[DESCUENTO])
   )),
   ((B19*(1+IFERROR(VLOOKUP($D$2,COLORES[],2,FALSE),0)))+E19)
   *(1-SUMPRODUCT(
        (DESC_PROV[LINEA]=$B$2)*
        (DESC_PROV[LISTA]=$C$2)*
        (DESC_PROV[DESCUENTO])
   ))
   *(1+VLOOKUP($C$2,LISTAS[],2,FALSE))
   *(1+VLOOKUP($C$2,LISTAS[],3,FALSE))
)
/5,0)*5,0)</f>
        <v>83740</v>
      </c>
      <c r="I19" s="5">
        <f>IFERROR(
ROUND(
IF($A$2="COSTO",
   ((B19*(1+IFERROR(VLOOKUP($D$2,COLORES[],2,FALSE),0)))
   + C19
   + E19)
   *(1-SUMPRODUCT(
        (DESC_PROV[LINEA]=$B$2)*
        (DESC_PROV[LISTA]=$C$2)*
        (DESC_PROV[DESCUENTO])
   )),
   ((B19*(1+IFERROR(VLOOKUP($D$2,COLORES[],2,FALSE),0)))
   + C19
   + E19)
   *(1-SUMPRODUCT(
        (DESC_PROV[LINEA]=$B$2)*
        (DESC_PROV[LISTA]=$C$2)*
        (DESC_PROV[DESCUENTO])
   ))
   *(1+VLOOKUP($C$2,LISTAS[],2,FALSE))
   *(1+VLOOKUP($C$2,LISTAS[],3,FALSE))
)
/5,0)*5,0)</f>
        <v>96545</v>
      </c>
      <c r="J19" s="5">
        <f>IFERROR(
ROUND(
IF($A$2="COSTO",
   (D19*(1+IFERROR(VLOOKUP($D$2,COLORES[],2,FALSE),0)))
   *(1-SUMPRODUCT(
        (DESC_PROV[LINEA]=$B$2)*
        (DESC_PROV[LISTA]=$C$2)*
        (DESC_PROV[DESCUENTO])
   )),
   (D19*(1+IFERROR(VLOOKUP($D$2,COLORES[],2,FALSE),0)))
   *(1-SUMPRODUCT(
        (DESC_PROV[LINEA]=$B$2)*
        (DESC_PROV[LISTA]=$C$2)*
        (DESC_PROV[DESCUENTO])
   ))
   *(1+VLOOKUP($C$2,LISTAS[],2,FALSE))
   *(1+VLOOKUP($C$2,LISTAS[],4,FALSE))
)
/5,0)*5,0)</f>
        <v>33850</v>
      </c>
      <c r="K19" s="6">
        <f>IFERROR(
ROUND(
IF($A$2="COSTO",
   (B19*(1+IFERROR(VLOOKUP($D$2,COLORES[],2,FALSE),0))+E19)
   *(1+VLOOKUP($C$2,LISTAS[],5,FALSE))
   *(1-SUMPRODUCT(
        (DESC_PROV[LINEA]=$B$2)*
        (DESC_PROV[LISTA]=$C$2)*
        (DESC_PROV[DESCUENTO])
   )),
   (B19*(1+IFERROR(VLOOKUP($D$2,COLORES[],2,FALSE),0))+E19)
   *(1-SUMPRODUCT(
        (DESC_PROV[LINEA]=$B$2)*
        (DESC_PROV[LISTA]=$C$2)*
        (DESC_PROV[DESCUENTO])
   ))
   *(1+VLOOKUP($C$2,LISTAS[],5,FALSE))
   *(1+VLOOKUP($C$2,LISTAS[],2,FALSE))
   *(1+VLOOKUP($C$2,LISTAS[],3,FALSE))
)
/5,0)*5,0)</f>
        <v>108860</v>
      </c>
    </row>
    <row r="20" spans="1:11">
      <c r="A20" s="18" t="s">
        <v>101</v>
      </c>
      <c r="B20" s="3">
        <v>60690</v>
      </c>
      <c r="C20" s="3">
        <v>10325</v>
      </c>
      <c r="D20" s="3">
        <v>23923</v>
      </c>
      <c r="E20" s="7">
        <v>16158</v>
      </c>
      <c r="G20" s="21" t="s">
        <v>101</v>
      </c>
      <c r="H20" s="5">
        <f>IFERROR(
ROUND(
IF($A$2="COSTO",
   ((B20*(1+IFERROR(VLOOKUP($D$2,COLORES[],2,FALSE),0)))+E20)
   *(1-SUMPRODUCT(
        (DESC_PROV[LINEA]=$B$2)*
        (DESC_PROV[LISTA]=$C$2)*
        (DESC_PROV[DESCUENTO])
   )),
   ((B20*(1+IFERROR(VLOOKUP($D$2,COLORES[],2,FALSE),0)))+E20)
   *(1-SUMPRODUCT(
        (DESC_PROV[LINEA]=$B$2)*
        (DESC_PROV[LISTA]=$C$2)*
        (DESC_PROV[DESCUENTO])
   ))
   *(1+VLOOKUP($C$2,LISTAS[],2,FALSE))
   *(1+VLOOKUP($C$2,LISTAS[],3,FALSE))
)
/5,0)*5,0)</f>
        <v>95305</v>
      </c>
      <c r="I20" s="5">
        <f>IFERROR(
ROUND(
IF($A$2="COSTO",
   ((B20*(1+IFERROR(VLOOKUP($D$2,COLORES[],2,FALSE),0)))
   + C20
   + E20)
   *(1-SUMPRODUCT(
        (DESC_PROV[LINEA]=$B$2)*
        (DESC_PROV[LISTA]=$C$2)*
        (DESC_PROV[DESCUENTO])
   )),
   ((B20*(1+IFERROR(VLOOKUP($D$2,COLORES[],2,FALSE),0)))
   + C20
   + E20)
   *(1-SUMPRODUCT(
        (DESC_PROV[LINEA]=$B$2)*
        (DESC_PROV[LISTA]=$C$2)*
        (DESC_PROV[DESCUENTO])
   ))
   *(1+VLOOKUP($C$2,LISTAS[],2,FALSE))
   *(1+VLOOKUP($C$2,LISTAS[],3,FALSE))
)
/5,0)*5,0)</f>
        <v>108110</v>
      </c>
      <c r="J20" s="5">
        <f>IFERROR(
ROUND(
IF($A$2="COSTO",
   (D20*(1+IFERROR(VLOOKUP($D$2,COLORES[],2,FALSE),0)))
   *(1-SUMPRODUCT(
        (DESC_PROV[LINEA]=$B$2)*
        (DESC_PROV[LISTA]=$C$2)*
        (DESC_PROV[DESCUENTO])
   )),
   (D20*(1+IFERROR(VLOOKUP($D$2,COLORES[],2,FALSE),0)))
   *(1-SUMPRODUCT(
        (DESC_PROV[LINEA]=$B$2)*
        (DESC_PROV[LISTA]=$C$2)*
        (DESC_PROV[DESCUENTO])
   ))
   *(1+VLOOKUP($C$2,LISTAS[],2,FALSE))
   *(1+VLOOKUP($C$2,LISTAS[],4,FALSE))
)
/5,0)*5,0)</f>
        <v>36515</v>
      </c>
      <c r="K20" s="6">
        <f>IFERROR(
ROUND(
IF($A$2="COSTO",
   (B20*(1+IFERROR(VLOOKUP($D$2,COLORES[],2,FALSE),0))+E20)
   *(1+VLOOKUP($C$2,LISTAS[],5,FALSE))
   *(1-SUMPRODUCT(
        (DESC_PROV[LINEA]=$B$2)*
        (DESC_PROV[LISTA]=$C$2)*
        (DESC_PROV[DESCUENTO])
   )),
   (B20*(1+IFERROR(VLOOKUP($D$2,COLORES[],2,FALSE),0))+E20)
   *(1-SUMPRODUCT(
        (DESC_PROV[LINEA]=$B$2)*
        (DESC_PROV[LISTA]=$C$2)*
        (DESC_PROV[DESCUENTO])
   ))
   *(1+VLOOKUP($C$2,LISTAS[],5,FALSE))
   *(1+VLOOKUP($C$2,LISTAS[],2,FALSE))
   *(1+VLOOKUP($C$2,LISTAS[],3,FALSE))
)
/5,0)*5,0)</f>
        <v>123900</v>
      </c>
    </row>
    <row r="21" spans="1:11">
      <c r="A21" s="18" t="s">
        <v>44</v>
      </c>
      <c r="B21" s="3">
        <v>47303</v>
      </c>
      <c r="C21" s="3">
        <v>13768</v>
      </c>
      <c r="D21" s="3">
        <v>18458</v>
      </c>
      <c r="E21" s="7">
        <v>10716</v>
      </c>
      <c r="G21" s="21" t="s">
        <v>44</v>
      </c>
      <c r="H21" s="5">
        <f>IFERROR(
ROUND(
IF($A$2="COSTO",
   ((B21*(1+IFERROR(VLOOKUP($D$2,COLORES[],2,FALSE),0)))+E21)
   *(1-SUMPRODUCT(
        (DESC_PROV[LINEA]=$B$2)*
        (DESC_PROV[LISTA]=$C$2)*
        (DESC_PROV[DESCUENTO])
   )),
   ((B21*(1+IFERROR(VLOOKUP($D$2,COLORES[],2,FALSE),0)))+E21)
   *(1-SUMPRODUCT(
        (DESC_PROV[LINEA]=$B$2)*
        (DESC_PROV[LISTA]=$C$2)*
        (DESC_PROV[DESCUENTO])
   ))
   *(1+VLOOKUP($C$2,LISTAS[],2,FALSE))
   *(1+VLOOKUP($C$2,LISTAS[],3,FALSE))
)
/5,0)*5,0)</f>
        <v>71955</v>
      </c>
      <c r="I21" s="5">
        <f>IFERROR(
ROUND(
IF($A$2="COSTO",
   ((B21*(1+IFERROR(VLOOKUP($D$2,COLORES[],2,FALSE),0)))
   + C21
   + E21)
   *(1-SUMPRODUCT(
        (DESC_PROV[LINEA]=$B$2)*
        (DESC_PROV[LISTA]=$C$2)*
        (DESC_PROV[DESCUENTO])
   )),
   ((B21*(1+IFERROR(VLOOKUP($D$2,COLORES[],2,FALSE),0)))
   + C21
   + E21)
   *(1-SUMPRODUCT(
        (DESC_PROV[LINEA]=$B$2)*
        (DESC_PROV[LISTA]=$C$2)*
        (DESC_PROV[DESCUENTO])
   ))
   *(1+VLOOKUP($C$2,LISTAS[],2,FALSE))
   *(1+VLOOKUP($C$2,LISTAS[],3,FALSE))
)
/5,0)*5,0)</f>
        <v>89030</v>
      </c>
      <c r="J21" s="5">
        <f>IFERROR(
ROUND(
IF($A$2="COSTO",
   (D21*(1+IFERROR(VLOOKUP($D$2,COLORES[],2,FALSE),0)))
   *(1-SUMPRODUCT(
        (DESC_PROV[LINEA]=$B$2)*
        (DESC_PROV[LISTA]=$C$2)*
        (DESC_PROV[DESCUENTO])
   )),
   (D21*(1+IFERROR(VLOOKUP($D$2,COLORES[],2,FALSE),0)))
   *(1-SUMPRODUCT(
        (DESC_PROV[LINEA]=$B$2)*
        (DESC_PROV[LISTA]=$C$2)*
        (DESC_PROV[DESCUENTO])
   ))
   *(1+VLOOKUP($C$2,LISTAS[],2,FALSE))
   *(1+VLOOKUP($C$2,LISTAS[],4,FALSE))
)
/5,0)*5,0)</f>
        <v>28175</v>
      </c>
      <c r="K21" s="6">
        <f>IFERROR(
ROUND(
IF($A$2="COSTO",
   (B21*(1+IFERROR(VLOOKUP($D$2,COLORES[],2,FALSE),0))+E21)
   *(1+VLOOKUP($C$2,LISTAS[],5,FALSE))
   *(1-SUMPRODUCT(
        (DESC_PROV[LINEA]=$B$2)*
        (DESC_PROV[LISTA]=$C$2)*
        (DESC_PROV[DESCUENTO])
   )),
   (B21*(1+IFERROR(VLOOKUP($D$2,COLORES[],2,FALSE),0))+E21)
   *(1-SUMPRODUCT(
        (DESC_PROV[LINEA]=$B$2)*
        (DESC_PROV[LISTA]=$C$2)*
        (DESC_PROV[DESCUENTO])
   ))
   *(1+VLOOKUP($C$2,LISTAS[],5,FALSE))
   *(1+VLOOKUP($C$2,LISTAS[],2,FALSE))
   *(1+VLOOKUP($C$2,LISTAS[],3,FALSE))
)
/5,0)*5,0)</f>
        <v>93540</v>
      </c>
    </row>
    <row r="22" spans="1:11">
      <c r="A22" s="18" t="s">
        <v>45</v>
      </c>
      <c r="B22" s="3">
        <v>50231</v>
      </c>
      <c r="C22" s="3">
        <v>13768</v>
      </c>
      <c r="D22" s="3">
        <v>20429</v>
      </c>
      <c r="E22" s="7">
        <v>13098</v>
      </c>
      <c r="G22" s="21" t="s">
        <v>45</v>
      </c>
      <c r="H22" s="5">
        <f>IFERROR(
ROUND(
IF($A$2="COSTO",
   ((B22*(1+IFERROR(VLOOKUP($D$2,COLORES[],2,FALSE),0)))+E22)
   *(1-SUMPRODUCT(
        (DESC_PROV[LINEA]=$B$2)*
        (DESC_PROV[LISTA]=$C$2)*
        (DESC_PROV[DESCUENTO])
   )),
   ((B22*(1+IFERROR(VLOOKUP($D$2,COLORES[],2,FALSE),0)))+E22)
   *(1-SUMPRODUCT(
        (DESC_PROV[LINEA]=$B$2)*
        (DESC_PROV[LISTA]=$C$2)*
        (DESC_PROV[DESCUENTO])
   ))
   *(1+VLOOKUP($C$2,LISTAS[],2,FALSE))
   *(1+VLOOKUP($C$2,LISTAS[],3,FALSE))
)
/5,0)*5,0)</f>
        <v>78540</v>
      </c>
      <c r="I22" s="5">
        <f>IFERROR(
ROUND(
IF($A$2="COSTO",
   ((B22*(1+IFERROR(VLOOKUP($D$2,COLORES[],2,FALSE),0)))
   + C22
   + E22)
   *(1-SUMPRODUCT(
        (DESC_PROV[LINEA]=$B$2)*
        (DESC_PROV[LISTA]=$C$2)*
        (DESC_PROV[DESCUENTO])
   )),
   ((B22*(1+IFERROR(VLOOKUP($D$2,COLORES[],2,FALSE),0)))
   + C22
   + E22)
   *(1-SUMPRODUCT(
        (DESC_PROV[LINEA]=$B$2)*
        (DESC_PROV[LISTA]=$C$2)*
        (DESC_PROV[DESCUENTO])
   ))
   *(1+VLOOKUP($C$2,LISTAS[],2,FALSE))
   *(1+VLOOKUP($C$2,LISTAS[],3,FALSE))
)
/5,0)*5,0)</f>
        <v>95615</v>
      </c>
      <c r="J22" s="5">
        <f>IFERROR(
ROUND(
IF($A$2="COSTO",
   (D22*(1+IFERROR(VLOOKUP($D$2,COLORES[],2,FALSE),0)))
   *(1-SUMPRODUCT(
        (DESC_PROV[LINEA]=$B$2)*
        (DESC_PROV[LISTA]=$C$2)*
        (DESC_PROV[DESCUENTO])
   )),
   (D22*(1+IFERROR(VLOOKUP($D$2,COLORES[],2,FALSE),0)))
   *(1-SUMPRODUCT(
        (DESC_PROV[LINEA]=$B$2)*
        (DESC_PROV[LISTA]=$C$2)*
        (DESC_PROV[DESCUENTO])
   ))
   *(1+VLOOKUP($C$2,LISTAS[],2,FALSE))
   *(1+VLOOKUP($C$2,LISTAS[],4,FALSE))
)
/5,0)*5,0)</f>
        <v>31185</v>
      </c>
      <c r="K22" s="6">
        <f>IFERROR(
ROUND(
IF($A$2="COSTO",
   (B22*(1+IFERROR(VLOOKUP($D$2,COLORES[],2,FALSE),0))+E22)
   *(1+VLOOKUP($C$2,LISTAS[],5,FALSE))
   *(1-SUMPRODUCT(
        (DESC_PROV[LINEA]=$B$2)*
        (DESC_PROV[LISTA]=$C$2)*
        (DESC_PROV[DESCUENTO])
   )),
   (B22*(1+IFERROR(VLOOKUP($D$2,COLORES[],2,FALSE),0))+E22)
   *(1-SUMPRODUCT(
        (DESC_PROV[LINEA]=$B$2)*
        (DESC_PROV[LISTA]=$C$2)*
        (DESC_PROV[DESCUENTO])
   ))
   *(1+VLOOKUP($C$2,LISTAS[],5,FALSE))
   *(1+VLOOKUP($C$2,LISTAS[],2,FALSE))
   *(1+VLOOKUP($C$2,LISTAS[],3,FALSE))
)
/5,0)*5,0)</f>
        <v>102105</v>
      </c>
    </row>
    <row r="23" spans="1:11">
      <c r="A23" s="18" t="s">
        <v>46</v>
      </c>
      <c r="B23" s="3">
        <v>56010</v>
      </c>
      <c r="C23" s="3">
        <v>13768</v>
      </c>
      <c r="D23" s="3">
        <v>23386</v>
      </c>
      <c r="E23" s="7">
        <v>16668</v>
      </c>
      <c r="G23" s="21" t="s">
        <v>46</v>
      </c>
      <c r="H23" s="5">
        <f>IFERROR(
ROUND(
IF($A$2="COSTO",
   ((B23*(1+IFERROR(VLOOKUP($D$2,COLORES[],2,FALSE),0)))+E23)
   *(1-SUMPRODUCT(
        (DESC_PROV[LINEA]=$B$2)*
        (DESC_PROV[LISTA]=$C$2)*
        (DESC_PROV[DESCUENTO])
   )),
   ((B23*(1+IFERROR(VLOOKUP($D$2,COLORES[],2,FALSE),0)))+E23)
   *(1-SUMPRODUCT(
        (DESC_PROV[LINEA]=$B$2)*
        (DESC_PROV[LISTA]=$C$2)*
        (DESC_PROV[DESCUENTO])
   ))
   *(1+VLOOKUP($C$2,LISTAS[],2,FALSE))
   *(1+VLOOKUP($C$2,LISTAS[],3,FALSE))
)
/5,0)*5,0)</f>
        <v>90135</v>
      </c>
      <c r="I23" s="5">
        <f>IFERROR(
ROUND(
IF($A$2="COSTO",
   ((B23*(1+IFERROR(VLOOKUP($D$2,COLORES[],2,FALSE),0)))
   + C23
   + E23)
   *(1-SUMPRODUCT(
        (DESC_PROV[LINEA]=$B$2)*
        (DESC_PROV[LISTA]=$C$2)*
        (DESC_PROV[DESCUENTO])
   )),
   ((B23*(1+IFERROR(VLOOKUP($D$2,COLORES[],2,FALSE),0)))
   + C23
   + E23)
   *(1-SUMPRODUCT(
        (DESC_PROV[LINEA]=$B$2)*
        (DESC_PROV[LISTA]=$C$2)*
        (DESC_PROV[DESCUENTO])
   ))
   *(1+VLOOKUP($C$2,LISTAS[],2,FALSE))
   *(1+VLOOKUP($C$2,LISTAS[],3,FALSE))
)
/5,0)*5,0)</f>
        <v>107210</v>
      </c>
      <c r="J23" s="5">
        <f>IFERROR(
ROUND(
IF($A$2="COSTO",
   (D23*(1+IFERROR(VLOOKUP($D$2,COLORES[],2,FALSE),0)))
   *(1-SUMPRODUCT(
        (DESC_PROV[LINEA]=$B$2)*
        (DESC_PROV[LISTA]=$C$2)*
        (DESC_PROV[DESCUENTO])
   )),
   (D23*(1+IFERROR(VLOOKUP($D$2,COLORES[],2,FALSE),0)))
   *(1-SUMPRODUCT(
        (DESC_PROV[LINEA]=$B$2)*
        (DESC_PROV[LISTA]=$C$2)*
        (DESC_PROV[DESCUENTO])
   ))
   *(1+VLOOKUP($C$2,LISTAS[],2,FALSE))
   *(1+VLOOKUP($C$2,LISTAS[],4,FALSE))
)
/5,0)*5,0)</f>
        <v>35695</v>
      </c>
      <c r="K23" s="6">
        <f>IFERROR(
ROUND(
IF($A$2="COSTO",
   (B23*(1+IFERROR(VLOOKUP($D$2,COLORES[],2,FALSE),0))+E23)
   *(1+VLOOKUP($C$2,LISTAS[],5,FALSE))
   *(1-SUMPRODUCT(
        (DESC_PROV[LINEA]=$B$2)*
        (DESC_PROV[LISTA]=$C$2)*
        (DESC_PROV[DESCUENTO])
   )),
   (B23*(1+IFERROR(VLOOKUP($D$2,COLORES[],2,FALSE),0))+E23)
   *(1-SUMPRODUCT(
        (DESC_PROV[LINEA]=$B$2)*
        (DESC_PROV[LISTA]=$C$2)*
        (DESC_PROV[DESCUENTO])
   ))
   *(1+VLOOKUP($C$2,LISTAS[],5,FALSE))
   *(1+VLOOKUP($C$2,LISTAS[],2,FALSE))
   *(1+VLOOKUP($C$2,LISTAS[],3,FALSE))
)
/5,0)*5,0)</f>
        <v>117175</v>
      </c>
    </row>
    <row r="24" spans="1:11">
      <c r="A24" s="18" t="s">
        <v>47</v>
      </c>
      <c r="B24" s="3">
        <v>60117</v>
      </c>
      <c r="C24" s="3">
        <v>13768</v>
      </c>
      <c r="D24" s="3">
        <v>26342</v>
      </c>
      <c r="E24" s="7">
        <v>20244</v>
      </c>
      <c r="G24" s="21" t="s">
        <v>47</v>
      </c>
      <c r="H24" s="5">
        <f>IFERROR(
ROUND(
IF($A$2="COSTO",
   ((B24*(1+IFERROR(VLOOKUP($D$2,COLORES[],2,FALSE),0)))+E24)
   *(1-SUMPRODUCT(
        (DESC_PROV[LINEA]=$B$2)*
        (DESC_PROV[LISTA]=$C$2)*
        (DESC_PROV[DESCUENTO])
   )),
   ((B24*(1+IFERROR(VLOOKUP($D$2,COLORES[],2,FALSE),0)))+E24)
   *(1-SUMPRODUCT(
        (DESC_PROV[LINEA]=$B$2)*
        (DESC_PROV[LISTA]=$C$2)*
        (DESC_PROV[DESCUENTO])
   ))
   *(1+VLOOKUP($C$2,LISTAS[],2,FALSE))
   *(1+VLOOKUP($C$2,LISTAS[],3,FALSE))
)
/5,0)*5,0)</f>
        <v>99665</v>
      </c>
      <c r="I24" s="5">
        <f>IFERROR(
ROUND(
IF($A$2="COSTO",
   ((B24*(1+IFERROR(VLOOKUP($D$2,COLORES[],2,FALSE),0)))
   + C24
   + E24)
   *(1-SUMPRODUCT(
        (DESC_PROV[LINEA]=$B$2)*
        (DESC_PROV[LISTA]=$C$2)*
        (DESC_PROV[DESCUENTO])
   )),
   ((B24*(1+IFERROR(VLOOKUP($D$2,COLORES[],2,FALSE),0)))
   + C24
   + E24)
   *(1-SUMPRODUCT(
        (DESC_PROV[LINEA]=$B$2)*
        (DESC_PROV[LISTA]=$C$2)*
        (DESC_PROV[DESCUENTO])
   ))
   *(1+VLOOKUP($C$2,LISTAS[],2,FALSE))
   *(1+VLOOKUP($C$2,LISTAS[],3,FALSE))
)
/5,0)*5,0)</f>
        <v>116740</v>
      </c>
      <c r="J24" s="5">
        <f>IFERROR(
ROUND(
IF($A$2="COSTO",
   (D24*(1+IFERROR(VLOOKUP($D$2,COLORES[],2,FALSE),0)))
   *(1-SUMPRODUCT(
        (DESC_PROV[LINEA]=$B$2)*
        (DESC_PROV[LISTA]=$C$2)*
        (DESC_PROV[DESCUENTO])
   )),
   (D24*(1+IFERROR(VLOOKUP($D$2,COLORES[],2,FALSE),0)))
   *(1-SUMPRODUCT(
        (DESC_PROV[LINEA]=$B$2)*
        (DESC_PROV[LISTA]=$C$2)*
        (DESC_PROV[DESCUENTO])
   ))
   *(1+VLOOKUP($C$2,LISTAS[],2,FALSE))
   *(1+VLOOKUP($C$2,LISTAS[],4,FALSE))
)
/5,0)*5,0)</f>
        <v>40210</v>
      </c>
      <c r="K24" s="6">
        <f>IFERROR(
ROUND(
IF($A$2="COSTO",
   (B24*(1+IFERROR(VLOOKUP($D$2,COLORES[],2,FALSE),0))+E24)
   *(1+VLOOKUP($C$2,LISTAS[],5,FALSE))
   *(1-SUMPRODUCT(
        (DESC_PROV[LINEA]=$B$2)*
        (DESC_PROV[LISTA]=$C$2)*
        (DESC_PROV[DESCUENTO])
   )),
   (B24*(1+IFERROR(VLOOKUP($D$2,COLORES[],2,FALSE),0))+E24)
   *(1-SUMPRODUCT(
        (DESC_PROV[LINEA]=$B$2)*
        (DESC_PROV[LISTA]=$C$2)*
        (DESC_PROV[DESCUENTO])
   ))
   *(1+VLOOKUP($C$2,LISTAS[],5,FALSE))
   *(1+VLOOKUP($C$2,LISTAS[],2,FALSE))
   *(1+VLOOKUP($C$2,LISTAS[],3,FALSE))
)
/5,0)*5,0)</f>
        <v>129565</v>
      </c>
    </row>
    <row r="25" spans="1:11">
      <c r="A25" s="18" t="s">
        <v>48</v>
      </c>
      <c r="B25" s="3">
        <v>68060</v>
      </c>
      <c r="C25" s="3">
        <v>13768</v>
      </c>
      <c r="D25" s="3">
        <v>28314</v>
      </c>
      <c r="E25" s="7">
        <v>22620</v>
      </c>
      <c r="G25" s="21" t="s">
        <v>48</v>
      </c>
      <c r="H25" s="5">
        <f>IFERROR(
ROUND(
IF($A$2="COSTO",
   ((B25*(1+IFERROR(VLOOKUP($D$2,COLORES[],2,FALSE),0)))+E25)
   *(1-SUMPRODUCT(
        (DESC_PROV[LINEA]=$B$2)*
        (DESC_PROV[LISTA]=$C$2)*
        (DESC_PROV[DESCUENTO])
   )),
   ((B25*(1+IFERROR(VLOOKUP($D$2,COLORES[],2,FALSE),0)))+E25)
   *(1-SUMPRODUCT(
        (DESC_PROV[LINEA]=$B$2)*
        (DESC_PROV[LISTA]=$C$2)*
        (DESC_PROV[DESCUENTO])
   ))
   *(1+VLOOKUP($C$2,LISTAS[],2,FALSE))
   *(1+VLOOKUP($C$2,LISTAS[],3,FALSE))
)
/5,0)*5,0)</f>
        <v>112460</v>
      </c>
      <c r="I25" s="5">
        <f>IFERROR(
ROUND(
IF($A$2="COSTO",
   ((B25*(1+IFERROR(VLOOKUP($D$2,COLORES[],2,FALSE),0)))
   + C25
   + E25)
   *(1-SUMPRODUCT(
        (DESC_PROV[LINEA]=$B$2)*
        (DESC_PROV[LISTA]=$C$2)*
        (DESC_PROV[DESCUENTO])
   )),
   ((B25*(1+IFERROR(VLOOKUP($D$2,COLORES[],2,FALSE),0)))
   + C25
   + E25)
   *(1-SUMPRODUCT(
        (DESC_PROV[LINEA]=$B$2)*
        (DESC_PROV[LISTA]=$C$2)*
        (DESC_PROV[DESCUENTO])
   ))
   *(1+VLOOKUP($C$2,LISTAS[],2,FALSE))
   *(1+VLOOKUP($C$2,LISTAS[],3,FALSE))
)
/5,0)*5,0)</f>
        <v>129535</v>
      </c>
      <c r="J25" s="5">
        <f>IFERROR(
ROUND(
IF($A$2="COSTO",
   (D25*(1+IFERROR(VLOOKUP($D$2,COLORES[],2,FALSE),0)))
   *(1-SUMPRODUCT(
        (DESC_PROV[LINEA]=$B$2)*
        (DESC_PROV[LISTA]=$C$2)*
        (DESC_PROV[DESCUENTO])
   )),
   (D25*(1+IFERROR(VLOOKUP($D$2,COLORES[],2,FALSE),0)))
   *(1-SUMPRODUCT(
        (DESC_PROV[LINEA]=$B$2)*
        (DESC_PROV[LISTA]=$C$2)*
        (DESC_PROV[DESCUENTO])
   ))
   *(1+VLOOKUP($C$2,LISTAS[],2,FALSE))
   *(1+VLOOKUP($C$2,LISTAS[],4,FALSE))
)
/5,0)*5,0)</f>
        <v>43220</v>
      </c>
      <c r="K25" s="6">
        <f>IFERROR(
ROUND(
IF($A$2="COSTO",
   (B25*(1+IFERROR(VLOOKUP($D$2,COLORES[],2,FALSE),0))+E25)
   *(1+VLOOKUP($C$2,LISTAS[],5,FALSE))
   *(1-SUMPRODUCT(
        (DESC_PROV[LINEA]=$B$2)*
        (DESC_PROV[LISTA]=$C$2)*
        (DESC_PROV[DESCUENTO])
   )),
   (B25*(1+IFERROR(VLOOKUP($D$2,COLORES[],2,FALSE),0))+E25)
   *(1-SUMPRODUCT(
        (DESC_PROV[LINEA]=$B$2)*
        (DESC_PROV[LISTA]=$C$2)*
        (DESC_PROV[DESCUENTO])
   ))
   *(1+VLOOKUP($C$2,LISTAS[],5,FALSE))
   *(1+VLOOKUP($C$2,LISTAS[],2,FALSE))
   *(1+VLOOKUP($C$2,LISTAS[],3,FALSE))
)
/5,0)*5,0)</f>
        <v>146200</v>
      </c>
    </row>
    <row r="26" spans="1:11">
      <c r="A26" s="18" t="s">
        <v>15</v>
      </c>
      <c r="B26" s="3">
        <v>53234</v>
      </c>
      <c r="C26" s="3">
        <v>17209</v>
      </c>
      <c r="D26" s="3">
        <v>21728</v>
      </c>
      <c r="E26" s="7">
        <v>13776</v>
      </c>
      <c r="G26" s="21" t="s">
        <v>15</v>
      </c>
      <c r="H26" s="5">
        <f>IFERROR(
ROUND(
IF($A$2="COSTO",
   ((B26*(1+IFERROR(VLOOKUP($D$2,COLORES[],2,FALSE),0)))+E26)
   *(1-SUMPRODUCT(
        (DESC_PROV[LINEA]=$B$2)*
        (DESC_PROV[LISTA]=$C$2)*
        (DESC_PROV[DESCUENTO])
   )),
   ((B26*(1+IFERROR(VLOOKUP($D$2,COLORES[],2,FALSE),0)))+E26)
   *(1-SUMPRODUCT(
        (DESC_PROV[LINEA]=$B$2)*
        (DESC_PROV[LISTA]=$C$2)*
        (DESC_PROV[DESCUENTO])
   ))
   *(1+VLOOKUP($C$2,LISTAS[],2,FALSE))
   *(1+VLOOKUP($C$2,LISTAS[],3,FALSE))
)
/5,0)*5,0)</f>
        <v>83105</v>
      </c>
      <c r="I26" s="5">
        <f>IFERROR(
ROUND(
IF($A$2="COSTO",
   ((B26*(1+IFERROR(VLOOKUP($D$2,COLORES[],2,FALSE),0)))
   + C26
   + E26)
   *(1-SUMPRODUCT(
        (DESC_PROV[LINEA]=$B$2)*
        (DESC_PROV[LISTA]=$C$2)*
        (DESC_PROV[DESCUENTO])
   )),
   ((B26*(1+IFERROR(VLOOKUP($D$2,COLORES[],2,FALSE),0)))
   + C26
   + E26)
   *(1-SUMPRODUCT(
        (DESC_PROV[LINEA]=$B$2)*
        (DESC_PROV[LISTA]=$C$2)*
        (DESC_PROV[DESCUENTO])
   ))
   *(1+VLOOKUP($C$2,LISTAS[],2,FALSE))
   *(1+VLOOKUP($C$2,LISTAS[],3,FALSE))
)
/5,0)*5,0)</f>
        <v>104450</v>
      </c>
      <c r="J26" s="5">
        <f>IFERROR(
ROUND(
IF($A$2="COSTO",
   (D26*(1+IFERROR(VLOOKUP($D$2,COLORES[],2,FALSE),0)))
   *(1-SUMPRODUCT(
        (DESC_PROV[LINEA]=$B$2)*
        (DESC_PROV[LISTA]=$C$2)*
        (DESC_PROV[DESCUENTO])
   )),
   (D26*(1+IFERROR(VLOOKUP($D$2,COLORES[],2,FALSE),0)))
   *(1-SUMPRODUCT(
        (DESC_PROV[LINEA]=$B$2)*
        (DESC_PROV[LISTA]=$C$2)*
        (DESC_PROV[DESCUENTO])
   ))
   *(1+VLOOKUP($C$2,LISTAS[],2,FALSE))
   *(1+VLOOKUP($C$2,LISTAS[],4,FALSE))
)
/5,0)*5,0)</f>
        <v>33165</v>
      </c>
      <c r="K26" s="6">
        <f>IFERROR(
ROUND(
IF($A$2="COSTO",
   (B26*(1+IFERROR(VLOOKUP($D$2,COLORES[],2,FALSE),0))+E26)
   *(1+VLOOKUP($C$2,LISTAS[],5,FALSE))
   *(1-SUMPRODUCT(
        (DESC_PROV[LINEA]=$B$2)*
        (DESC_PROV[LISTA]=$C$2)*
        (DESC_PROV[DESCUENTO])
   )),
   (B26*(1+IFERROR(VLOOKUP($D$2,COLORES[],2,FALSE),0))+E26)
   *(1-SUMPRODUCT(
        (DESC_PROV[LINEA]=$B$2)*
        (DESC_PROV[LISTA]=$C$2)*
        (DESC_PROV[DESCUENTO])
   ))
   *(1+VLOOKUP($C$2,LISTAS[],5,FALSE))
   *(1+VLOOKUP($C$2,LISTAS[],2,FALSE))
   *(1+VLOOKUP($C$2,LISTAS[],3,FALSE))
)
/5,0)*5,0)</f>
        <v>108040</v>
      </c>
    </row>
    <row r="27" spans="1:11">
      <c r="A27" s="18" t="s">
        <v>102</v>
      </c>
      <c r="B27" s="3">
        <v>55934</v>
      </c>
      <c r="C27" s="3">
        <v>17209</v>
      </c>
      <c r="D27" s="3">
        <v>23923</v>
      </c>
      <c r="E27" s="7">
        <v>16842</v>
      </c>
      <c r="G27" s="21" t="s">
        <v>102</v>
      </c>
      <c r="H27" s="5">
        <f>IFERROR(
ROUND(
IF($A$2="COSTO",
   ((B27*(1+IFERROR(VLOOKUP($D$2,COLORES[],2,FALSE),0)))+E27)
   *(1-SUMPRODUCT(
        (DESC_PROV[LINEA]=$B$2)*
        (DESC_PROV[LISTA]=$C$2)*
        (DESC_PROV[DESCUENTO])
   )),
   ((B27*(1+IFERROR(VLOOKUP($D$2,COLORES[],2,FALSE),0)))+E27)
   *(1-SUMPRODUCT(
        (DESC_PROV[LINEA]=$B$2)*
        (DESC_PROV[LISTA]=$C$2)*
        (DESC_PROV[DESCUENTO])
   ))
   *(1+VLOOKUP($C$2,LISTAS[],2,FALSE))
   *(1+VLOOKUP($C$2,LISTAS[],3,FALSE))
)
/5,0)*5,0)</f>
        <v>90255</v>
      </c>
      <c r="I27" s="5">
        <f>IFERROR(
ROUND(
IF($A$2="COSTO",
   ((B27*(1+IFERROR(VLOOKUP($D$2,COLORES[],2,FALSE),0)))
   + C27
   + E27)
   *(1-SUMPRODUCT(
        (DESC_PROV[LINEA]=$B$2)*
        (DESC_PROV[LISTA]=$C$2)*
        (DESC_PROV[DESCUENTO])
   )),
   ((B27*(1+IFERROR(VLOOKUP($D$2,COLORES[],2,FALSE),0)))
   + C27
   + E27)
   *(1-SUMPRODUCT(
        (DESC_PROV[LINEA]=$B$2)*
        (DESC_PROV[LISTA]=$C$2)*
        (DESC_PROV[DESCUENTO])
   ))
   *(1+VLOOKUP($C$2,LISTAS[],2,FALSE))
   *(1+VLOOKUP($C$2,LISTAS[],3,FALSE))
)
/5,0)*5,0)</f>
        <v>111600</v>
      </c>
      <c r="J27" s="5">
        <f>IFERROR(
ROUND(
IF($A$2="COSTO",
   (D27*(1+IFERROR(VLOOKUP($D$2,COLORES[],2,FALSE),0)))
   *(1-SUMPRODUCT(
        (DESC_PROV[LINEA]=$B$2)*
        (DESC_PROV[LISTA]=$C$2)*
        (DESC_PROV[DESCUENTO])
   )),
   (D27*(1+IFERROR(VLOOKUP($D$2,COLORES[],2,FALSE),0)))
   *(1-SUMPRODUCT(
        (DESC_PROV[LINEA]=$B$2)*
        (DESC_PROV[LISTA]=$C$2)*
        (DESC_PROV[DESCUENTO])
   ))
   *(1+VLOOKUP($C$2,LISTAS[],2,FALSE))
   *(1+VLOOKUP($C$2,LISTAS[],4,FALSE))
)
/5,0)*5,0)</f>
        <v>36515</v>
      </c>
      <c r="K27" s="6">
        <f>IFERROR(
ROUND(
IF($A$2="COSTO",
   (B27*(1+IFERROR(VLOOKUP($D$2,COLORES[],2,FALSE),0))+E27)
   *(1+VLOOKUP($C$2,LISTAS[],5,FALSE))
   *(1-SUMPRODUCT(
        (DESC_PROV[LINEA]=$B$2)*
        (DESC_PROV[LISTA]=$C$2)*
        (DESC_PROV[DESCUENTO])
   )),
   (B27*(1+IFERROR(VLOOKUP($D$2,COLORES[],2,FALSE),0))+E27)
   *(1-SUMPRODUCT(
        (DESC_PROV[LINEA]=$B$2)*
        (DESC_PROV[LISTA]=$C$2)*
        (DESC_PROV[DESCUENTO])
   ))
   *(1+VLOOKUP($C$2,LISTAS[],5,FALSE))
   *(1+VLOOKUP($C$2,LISTAS[],2,FALSE))
   *(1+VLOOKUP($C$2,LISTAS[],3,FALSE))
)
/5,0)*5,0)</f>
        <v>117335</v>
      </c>
    </row>
    <row r="28" spans="1:11">
      <c r="A28" s="18" t="s">
        <v>16</v>
      </c>
      <c r="B28" s="3">
        <v>61937</v>
      </c>
      <c r="C28" s="3">
        <v>17209</v>
      </c>
      <c r="D28" s="3">
        <v>27216</v>
      </c>
      <c r="E28" s="7">
        <v>21432</v>
      </c>
      <c r="G28" s="21" t="s">
        <v>16</v>
      </c>
      <c r="H28" s="5">
        <f>IFERROR(
ROUND(
IF($A$2="COSTO",
   ((B28*(1+IFERROR(VLOOKUP($D$2,COLORES[],2,FALSE),0)))+E28)
   *(1-SUMPRODUCT(
        (DESC_PROV[LINEA]=$B$2)*
        (DESC_PROV[LISTA]=$C$2)*
        (DESC_PROV[DESCUENTO])
   )),
   ((B28*(1+IFERROR(VLOOKUP($D$2,COLORES[],2,FALSE),0)))+E28)
   *(1-SUMPRODUCT(
        (DESC_PROV[LINEA]=$B$2)*
        (DESC_PROV[LISTA]=$C$2)*
        (DESC_PROV[DESCUENTO])
   ))
   *(1+VLOOKUP($C$2,LISTAS[],2,FALSE))
   *(1+VLOOKUP($C$2,LISTAS[],3,FALSE))
)
/5,0)*5,0)</f>
        <v>103395</v>
      </c>
      <c r="I28" s="5">
        <f>IFERROR(
ROUND(
IF($A$2="COSTO",
   ((B28*(1+IFERROR(VLOOKUP($D$2,COLORES[],2,FALSE),0)))
   + C28
   + E28)
   *(1-SUMPRODUCT(
        (DESC_PROV[LINEA]=$B$2)*
        (DESC_PROV[LISTA]=$C$2)*
        (DESC_PROV[DESCUENTO])
   )),
   ((B28*(1+IFERROR(VLOOKUP($D$2,COLORES[],2,FALSE),0)))
   + C28
   + E28)
   *(1-SUMPRODUCT(
        (DESC_PROV[LINEA]=$B$2)*
        (DESC_PROV[LISTA]=$C$2)*
        (DESC_PROV[DESCUENTO])
   ))
   *(1+VLOOKUP($C$2,LISTAS[],2,FALSE))
   *(1+VLOOKUP($C$2,LISTAS[],3,FALSE))
)
/5,0)*5,0)</f>
        <v>124735</v>
      </c>
      <c r="J28" s="5">
        <f>IFERROR(
ROUND(
IF($A$2="COSTO",
   (D28*(1+IFERROR(VLOOKUP($D$2,COLORES[],2,FALSE),0)))
   *(1-SUMPRODUCT(
        (DESC_PROV[LINEA]=$B$2)*
        (DESC_PROV[LISTA]=$C$2)*
        (DESC_PROV[DESCUENTO])
   )),
   (D28*(1+IFERROR(VLOOKUP($D$2,COLORES[],2,FALSE),0)))
   *(1-SUMPRODUCT(
        (DESC_PROV[LINEA]=$B$2)*
        (DESC_PROV[LISTA]=$C$2)*
        (DESC_PROV[DESCUENTO])
   ))
   *(1+VLOOKUP($C$2,LISTAS[],2,FALSE))
   *(1+VLOOKUP($C$2,LISTAS[],4,FALSE))
)
/5,0)*5,0)</f>
        <v>41545</v>
      </c>
      <c r="K28" s="6">
        <f>IFERROR(
ROUND(
IF($A$2="COSTO",
   (B28*(1+IFERROR(VLOOKUP($D$2,COLORES[],2,FALSE),0))+E28)
   *(1+VLOOKUP($C$2,LISTAS[],5,FALSE))
   *(1-SUMPRODUCT(
        (DESC_PROV[LINEA]=$B$2)*
        (DESC_PROV[LISTA]=$C$2)*
        (DESC_PROV[DESCUENTO])
   )),
   (B28*(1+IFERROR(VLOOKUP($D$2,COLORES[],2,FALSE),0))+E28)
   *(1-SUMPRODUCT(
        (DESC_PROV[LINEA]=$B$2)*
        (DESC_PROV[LISTA]=$C$2)*
        (DESC_PROV[DESCUENTO])
   ))
   *(1+VLOOKUP($C$2,LISTAS[],5,FALSE))
   *(1+VLOOKUP($C$2,LISTAS[],2,FALSE))
   *(1+VLOOKUP($C$2,LISTAS[],3,FALSE))
)
/5,0)*5,0)</f>
        <v>134415</v>
      </c>
    </row>
    <row r="29" spans="1:11">
      <c r="A29" s="18" t="s">
        <v>103</v>
      </c>
      <c r="B29" s="3">
        <v>66044</v>
      </c>
      <c r="C29" s="3">
        <v>17209</v>
      </c>
      <c r="D29" s="3">
        <v>30509</v>
      </c>
      <c r="E29" s="7">
        <v>26022</v>
      </c>
      <c r="G29" s="21" t="s">
        <v>103</v>
      </c>
      <c r="H29" s="5">
        <f>IFERROR(
ROUND(
IF($A$2="COSTO",
   ((B29*(1+IFERROR(VLOOKUP($D$2,COLORES[],2,FALSE),0)))+E29)
   *(1-SUMPRODUCT(
        (DESC_PROV[LINEA]=$B$2)*
        (DESC_PROV[LISTA]=$C$2)*
        (DESC_PROV[DESCUENTO])
   )),
   ((B29*(1+IFERROR(VLOOKUP($D$2,COLORES[],2,FALSE),0)))+E29)
   *(1-SUMPRODUCT(
        (DESC_PROV[LINEA]=$B$2)*
        (DESC_PROV[LISTA]=$C$2)*
        (DESC_PROV[DESCUENTO])
   ))
   *(1+VLOOKUP($C$2,LISTAS[],2,FALSE))
   *(1+VLOOKUP($C$2,LISTAS[],3,FALSE))
)
/5,0)*5,0)</f>
        <v>114180</v>
      </c>
      <c r="I29" s="5">
        <f>IFERROR(
ROUND(
IF($A$2="COSTO",
   ((B29*(1+IFERROR(VLOOKUP($D$2,COLORES[],2,FALSE),0)))
   + C29
   + E29)
   *(1-SUMPRODUCT(
        (DESC_PROV[LINEA]=$B$2)*
        (DESC_PROV[LISTA]=$C$2)*
        (DESC_PROV[DESCUENTO])
   )),
   ((B29*(1+IFERROR(VLOOKUP($D$2,COLORES[],2,FALSE),0)))
   + C29
   + E29)
   *(1-SUMPRODUCT(
        (DESC_PROV[LINEA]=$B$2)*
        (DESC_PROV[LISTA]=$C$2)*
        (DESC_PROV[DESCUENTO])
   ))
   *(1+VLOOKUP($C$2,LISTAS[],2,FALSE))
   *(1+VLOOKUP($C$2,LISTAS[],3,FALSE))
)
/5,0)*5,0)</f>
        <v>135525</v>
      </c>
      <c r="J29" s="5">
        <f>IFERROR(
ROUND(
IF($A$2="COSTO",
   (D29*(1+IFERROR(VLOOKUP($D$2,COLORES[],2,FALSE),0)))
   *(1-SUMPRODUCT(
        (DESC_PROV[LINEA]=$B$2)*
        (DESC_PROV[LISTA]=$C$2)*
        (DESC_PROV[DESCUENTO])
   )),
   (D29*(1+IFERROR(VLOOKUP($D$2,COLORES[],2,FALSE),0)))
   *(1-SUMPRODUCT(
        (DESC_PROV[LINEA]=$B$2)*
        (DESC_PROV[LISTA]=$C$2)*
        (DESC_PROV[DESCUENTO])
   ))
   *(1+VLOOKUP($C$2,LISTAS[],2,FALSE))
   *(1+VLOOKUP($C$2,LISTAS[],4,FALSE))
)
/5,0)*5,0)</f>
        <v>46570</v>
      </c>
      <c r="K29" s="6">
        <f>IFERROR(
ROUND(
IF($A$2="COSTO",
   (B29*(1+IFERROR(VLOOKUP($D$2,COLORES[],2,FALSE),0))+E29)
   *(1+VLOOKUP($C$2,LISTAS[],5,FALSE))
   *(1-SUMPRODUCT(
        (DESC_PROV[LINEA]=$B$2)*
        (DESC_PROV[LISTA]=$C$2)*
        (DESC_PROV[DESCUENTO])
   )),
   (B29*(1+IFERROR(VLOOKUP($D$2,COLORES[],2,FALSE),0))+E29)
   *(1-SUMPRODUCT(
        (DESC_PROV[LINEA]=$B$2)*
        (DESC_PROV[LISTA]=$C$2)*
        (DESC_PROV[DESCUENTO])
   ))
   *(1+VLOOKUP($C$2,LISTAS[],5,FALSE))
   *(1+VLOOKUP($C$2,LISTAS[],2,FALSE))
   *(1+VLOOKUP($C$2,LISTAS[],3,FALSE))
)
/5,0)*5,0)</f>
        <v>148435</v>
      </c>
    </row>
    <row r="30" spans="1:11">
      <c r="A30" s="18" t="s">
        <v>104</v>
      </c>
      <c r="B30" s="3">
        <v>73986</v>
      </c>
      <c r="C30" s="3">
        <v>17209</v>
      </c>
      <c r="D30" s="3">
        <v>32704</v>
      </c>
      <c r="E30" s="7">
        <v>29088</v>
      </c>
      <c r="G30" s="21" t="s">
        <v>104</v>
      </c>
      <c r="H30" s="5">
        <f>IFERROR(
ROUND(
IF($A$2="COSTO",
   ((B30*(1+IFERROR(VLOOKUP($D$2,COLORES[],2,FALSE),0)))+E30)
   *(1-SUMPRODUCT(
        (DESC_PROV[LINEA]=$B$2)*
        (DESC_PROV[LISTA]=$C$2)*
        (DESC_PROV[DESCUENTO])
   )),
   ((B30*(1+IFERROR(VLOOKUP($D$2,COLORES[],2,FALSE),0)))+E30)
   *(1-SUMPRODUCT(
        (DESC_PROV[LINEA]=$B$2)*
        (DESC_PROV[LISTA]=$C$2)*
        (DESC_PROV[DESCUENTO])
   ))
   *(1+VLOOKUP($C$2,LISTAS[],2,FALSE))
   *(1+VLOOKUP($C$2,LISTAS[],3,FALSE))
)
/5,0)*5,0)</f>
        <v>127830</v>
      </c>
      <c r="I30" s="5">
        <f>IFERROR(
ROUND(
IF($A$2="COSTO",
   ((B30*(1+IFERROR(VLOOKUP($D$2,COLORES[],2,FALSE),0)))
   + C30
   + E30)
   *(1-SUMPRODUCT(
        (DESC_PROV[LINEA]=$B$2)*
        (DESC_PROV[LISTA]=$C$2)*
        (DESC_PROV[DESCUENTO])
   )),
   ((B30*(1+IFERROR(VLOOKUP($D$2,COLORES[],2,FALSE),0)))
   + C30
   + E30)
   *(1-SUMPRODUCT(
        (DESC_PROV[LINEA]=$B$2)*
        (DESC_PROV[LISTA]=$C$2)*
        (DESC_PROV[DESCUENTO])
   ))
   *(1+VLOOKUP($C$2,LISTAS[],2,FALSE))
   *(1+VLOOKUP($C$2,LISTAS[],3,FALSE))
)
/5,0)*5,0)</f>
        <v>149175</v>
      </c>
      <c r="J30" s="5">
        <f>IFERROR(
ROUND(
IF($A$2="COSTO",
   (D30*(1+IFERROR(VLOOKUP($D$2,COLORES[],2,FALSE),0)))
   *(1-SUMPRODUCT(
        (DESC_PROV[LINEA]=$B$2)*
        (DESC_PROV[LISTA]=$C$2)*
        (DESC_PROV[DESCUENTO])
   )),
   (D30*(1+IFERROR(VLOOKUP($D$2,COLORES[],2,FALSE),0)))
   *(1-SUMPRODUCT(
        (DESC_PROV[LINEA]=$B$2)*
        (DESC_PROV[LISTA]=$C$2)*
        (DESC_PROV[DESCUENTO])
   ))
   *(1+VLOOKUP($C$2,LISTAS[],2,FALSE))
   *(1+VLOOKUP($C$2,LISTAS[],4,FALSE))
)
/5,0)*5,0)</f>
        <v>49920</v>
      </c>
      <c r="K30" s="6">
        <f>IFERROR(
ROUND(
IF($A$2="COSTO",
   (B30*(1+IFERROR(VLOOKUP($D$2,COLORES[],2,FALSE),0))+E30)
   *(1+VLOOKUP($C$2,LISTAS[],5,FALSE))
   *(1-SUMPRODUCT(
        (DESC_PROV[LINEA]=$B$2)*
        (DESC_PROV[LISTA]=$C$2)*
        (DESC_PROV[DESCUENTO])
   )),
   (B30*(1+IFERROR(VLOOKUP($D$2,COLORES[],2,FALSE),0))+E30)
   *(1-SUMPRODUCT(
        (DESC_PROV[LINEA]=$B$2)*
        (DESC_PROV[LISTA]=$C$2)*
        (DESC_PROV[DESCUENTO])
   ))
   *(1+VLOOKUP($C$2,LISTAS[],5,FALSE))
   *(1+VLOOKUP($C$2,LISTAS[],2,FALSE))
   *(1+VLOOKUP($C$2,LISTAS[],3,FALSE))
)
/5,0)*5,0)</f>
        <v>166180</v>
      </c>
    </row>
    <row r="31" spans="1:11">
      <c r="A31" s="18" t="s">
        <v>105</v>
      </c>
      <c r="B31" s="3">
        <v>76353</v>
      </c>
      <c r="C31" s="3">
        <v>17209</v>
      </c>
      <c r="D31" s="3">
        <v>34899</v>
      </c>
      <c r="E31" s="7">
        <v>32148</v>
      </c>
      <c r="G31" s="21" t="s">
        <v>105</v>
      </c>
      <c r="H31" s="5">
        <f>IFERROR(
ROUND(
IF($A$2="COSTO",
   ((B31*(1+IFERROR(VLOOKUP($D$2,COLORES[],2,FALSE),0)))+E31)
   *(1-SUMPRODUCT(
        (DESC_PROV[LINEA]=$B$2)*
        (DESC_PROV[LISTA]=$C$2)*
        (DESC_PROV[DESCUENTO])
   )),
   ((B31*(1+IFERROR(VLOOKUP($D$2,COLORES[],2,FALSE),0)))+E31)
   *(1-SUMPRODUCT(
        (DESC_PROV[LINEA]=$B$2)*
        (DESC_PROV[LISTA]=$C$2)*
        (DESC_PROV[DESCUENTO])
   ))
   *(1+VLOOKUP($C$2,LISTAS[],2,FALSE))
   *(1+VLOOKUP($C$2,LISTAS[],3,FALSE))
)
/5,0)*5,0)</f>
        <v>134565</v>
      </c>
      <c r="I31" s="5">
        <f>IFERROR(
ROUND(
IF($A$2="COSTO",
   ((B31*(1+IFERROR(VLOOKUP($D$2,COLORES[],2,FALSE),0)))
   + C31
   + E31)
   *(1-SUMPRODUCT(
        (DESC_PROV[LINEA]=$B$2)*
        (DESC_PROV[LISTA]=$C$2)*
        (DESC_PROV[DESCUENTO])
   )),
   ((B31*(1+IFERROR(VLOOKUP($D$2,COLORES[],2,FALSE),0)))
   + C31
   + E31)
   *(1-SUMPRODUCT(
        (DESC_PROV[LINEA]=$B$2)*
        (DESC_PROV[LISTA]=$C$2)*
        (DESC_PROV[DESCUENTO])
   ))
   *(1+VLOOKUP($C$2,LISTAS[],2,FALSE))
   *(1+VLOOKUP($C$2,LISTAS[],3,FALSE))
)
/5,0)*5,0)</f>
        <v>155905</v>
      </c>
      <c r="J31" s="5">
        <f>IFERROR(
ROUND(
IF($A$2="COSTO",
   (D31*(1+IFERROR(VLOOKUP($D$2,COLORES[],2,FALSE),0)))
   *(1-SUMPRODUCT(
        (DESC_PROV[LINEA]=$B$2)*
        (DESC_PROV[LISTA]=$C$2)*
        (DESC_PROV[DESCUENTO])
   )),
   (D31*(1+IFERROR(VLOOKUP($D$2,COLORES[],2,FALSE),0)))
   *(1-SUMPRODUCT(
        (DESC_PROV[LINEA]=$B$2)*
        (DESC_PROV[LISTA]=$C$2)*
        (DESC_PROV[DESCUENTO])
   ))
   *(1+VLOOKUP($C$2,LISTAS[],2,FALSE))
   *(1+VLOOKUP($C$2,LISTAS[],4,FALSE))
)
/5,0)*5,0)</f>
        <v>53270</v>
      </c>
      <c r="K31" s="6">
        <f>IFERROR(
ROUND(
IF($A$2="COSTO",
   (B31*(1+IFERROR(VLOOKUP($D$2,COLORES[],2,FALSE),0))+E31)
   *(1+VLOOKUP($C$2,LISTAS[],5,FALSE))
   *(1-SUMPRODUCT(
        (DESC_PROV[LINEA]=$B$2)*
        (DESC_PROV[LISTA]=$C$2)*
        (DESC_PROV[DESCUENTO])
   )),
   (B31*(1+IFERROR(VLOOKUP($D$2,COLORES[],2,FALSE),0))+E31)
   *(1-SUMPRODUCT(
        (DESC_PROV[LINEA]=$B$2)*
        (DESC_PROV[LISTA]=$C$2)*
        (DESC_PROV[DESCUENTO])
   ))
   *(1+VLOOKUP($C$2,LISTAS[],5,FALSE))
   *(1+VLOOKUP($C$2,LISTAS[],2,FALSE))
   *(1+VLOOKUP($C$2,LISTAS[],3,FALSE))
)
/5,0)*5,0)</f>
        <v>174930</v>
      </c>
    </row>
    <row r="32" spans="1:11">
      <c r="A32" s="18" t="s">
        <v>106</v>
      </c>
      <c r="B32" s="3">
        <v>79834</v>
      </c>
      <c r="C32" s="3">
        <v>17209</v>
      </c>
      <c r="D32" s="3">
        <v>37094</v>
      </c>
      <c r="E32" s="7">
        <v>35208</v>
      </c>
      <c r="G32" s="21" t="s">
        <v>106</v>
      </c>
      <c r="H32" s="5">
        <f>IFERROR(
ROUND(
IF($A$2="COSTO",
   ((B32*(1+IFERROR(VLOOKUP($D$2,COLORES[],2,FALSE),0)))+E32)
   *(1-SUMPRODUCT(
        (DESC_PROV[LINEA]=$B$2)*
        (DESC_PROV[LISTA]=$C$2)*
        (DESC_PROV[DESCUENTO])
   )),
   ((B32*(1+IFERROR(VLOOKUP($D$2,COLORES[],2,FALSE),0)))+E32)
   *(1-SUMPRODUCT(
        (DESC_PROV[LINEA]=$B$2)*
        (DESC_PROV[LISTA]=$C$2)*
        (DESC_PROV[DESCUENTO])
   ))
   *(1+VLOOKUP($C$2,LISTAS[],2,FALSE))
   *(1+VLOOKUP($C$2,LISTAS[],3,FALSE))
)
/5,0)*5,0)</f>
        <v>142675</v>
      </c>
      <c r="I32" s="5">
        <f>IFERROR(
ROUND(
IF($A$2="COSTO",
   ((B32*(1+IFERROR(VLOOKUP($D$2,COLORES[],2,FALSE),0)))
   + C32
   + E32)
   *(1-SUMPRODUCT(
        (DESC_PROV[LINEA]=$B$2)*
        (DESC_PROV[LISTA]=$C$2)*
        (DESC_PROV[DESCUENTO])
   )),
   ((B32*(1+IFERROR(VLOOKUP($D$2,COLORES[],2,FALSE),0)))
   + C32
   + E32)
   *(1-SUMPRODUCT(
        (DESC_PROV[LINEA]=$B$2)*
        (DESC_PROV[LISTA]=$C$2)*
        (DESC_PROV[DESCUENTO])
   ))
   *(1+VLOOKUP($C$2,LISTAS[],2,FALSE))
   *(1+VLOOKUP($C$2,LISTAS[],3,FALSE))
)
/5,0)*5,0)</f>
        <v>164020</v>
      </c>
      <c r="J32" s="5">
        <f>IFERROR(
ROUND(
IF($A$2="COSTO",
   (D32*(1+IFERROR(VLOOKUP($D$2,COLORES[],2,FALSE),0)))
   *(1-SUMPRODUCT(
        (DESC_PROV[LINEA]=$B$2)*
        (DESC_PROV[LISTA]=$C$2)*
        (DESC_PROV[DESCUENTO])
   )),
   (D32*(1+IFERROR(VLOOKUP($D$2,COLORES[],2,FALSE),0)))
   *(1-SUMPRODUCT(
        (DESC_PROV[LINEA]=$B$2)*
        (DESC_PROV[LISTA]=$C$2)*
        (DESC_PROV[DESCUENTO])
   ))
   *(1+VLOOKUP($C$2,LISTAS[],2,FALSE))
   *(1+VLOOKUP($C$2,LISTAS[],4,FALSE))
)
/5,0)*5,0)</f>
        <v>56620</v>
      </c>
      <c r="K32" s="6">
        <f>IFERROR(
ROUND(
IF($A$2="COSTO",
   (B32*(1+IFERROR(VLOOKUP($D$2,COLORES[],2,FALSE),0))+E32)
   *(1+VLOOKUP($C$2,LISTAS[],5,FALSE))
   *(1-SUMPRODUCT(
        (DESC_PROV[LINEA]=$B$2)*
        (DESC_PROV[LISTA]=$C$2)*
        (DESC_PROV[DESCUENTO])
   )),
   (B32*(1+IFERROR(VLOOKUP($D$2,COLORES[],2,FALSE),0))+E32)
   *(1-SUMPRODUCT(
        (DESC_PROV[LINEA]=$B$2)*
        (DESC_PROV[LISTA]=$C$2)*
        (DESC_PROV[DESCUENTO])
   ))
   *(1+VLOOKUP($C$2,LISTAS[],5,FALSE))
   *(1+VLOOKUP($C$2,LISTAS[],2,FALSE))
   *(1+VLOOKUP($C$2,LISTAS[],3,FALSE))
)
/5,0)*5,0)</f>
        <v>185480</v>
      </c>
    </row>
    <row r="33" spans="1:11">
      <c r="A33" s="18" t="s">
        <v>58</v>
      </c>
      <c r="B33" s="3">
        <v>56769</v>
      </c>
      <c r="C33" s="3">
        <v>18929</v>
      </c>
      <c r="D33" s="3">
        <v>23363</v>
      </c>
      <c r="E33" s="7">
        <v>15312</v>
      </c>
      <c r="G33" s="21" t="s">
        <v>58</v>
      </c>
      <c r="H33" s="5">
        <f>IFERROR(
ROUND(
IF($A$2="COSTO",
   ((B33*(1+IFERROR(VLOOKUP($D$2,COLORES[],2,FALSE),0)))+E33)
   *(1-SUMPRODUCT(
        (DESC_PROV[LINEA]=$B$2)*
        (DESC_PROV[LISTA]=$C$2)*
        (DESC_PROV[DESCUENTO])
   )),
   ((B33*(1+IFERROR(VLOOKUP($D$2,COLORES[],2,FALSE),0)))+E33)
   *(1-SUMPRODUCT(
        (DESC_PROV[LINEA]=$B$2)*
        (DESC_PROV[LISTA]=$C$2)*
        (DESC_PROV[DESCUENTO])
   ))
   *(1+VLOOKUP($C$2,LISTAS[],2,FALSE))
   *(1+VLOOKUP($C$2,LISTAS[],3,FALSE))
)
/5,0)*5,0)</f>
        <v>89395</v>
      </c>
      <c r="I33" s="5">
        <f>IFERROR(
ROUND(
IF($A$2="COSTO",
   ((B33*(1+IFERROR(VLOOKUP($D$2,COLORES[],2,FALSE),0)))
   + C33
   + E33)
   *(1-SUMPRODUCT(
        (DESC_PROV[LINEA]=$B$2)*
        (DESC_PROV[LISTA]=$C$2)*
        (DESC_PROV[DESCUENTO])
   )),
   ((B33*(1+IFERROR(VLOOKUP($D$2,COLORES[],2,FALSE),0)))
   + C33
   + E33)
   *(1-SUMPRODUCT(
        (DESC_PROV[LINEA]=$B$2)*
        (DESC_PROV[LISTA]=$C$2)*
        (DESC_PROV[DESCUENTO])
   ))
   *(1+VLOOKUP($C$2,LISTAS[],2,FALSE))
   *(1+VLOOKUP($C$2,LISTAS[],3,FALSE))
)
/5,0)*5,0)</f>
        <v>112870</v>
      </c>
      <c r="J33" s="5">
        <f>IFERROR(
ROUND(
IF($A$2="COSTO",
   (D33*(1+IFERROR(VLOOKUP($D$2,COLORES[],2,FALSE),0)))
   *(1-SUMPRODUCT(
        (DESC_PROV[LINEA]=$B$2)*
        (DESC_PROV[LISTA]=$C$2)*
        (DESC_PROV[DESCUENTO])
   )),
   (D33*(1+IFERROR(VLOOKUP($D$2,COLORES[],2,FALSE),0)))
   *(1-SUMPRODUCT(
        (DESC_PROV[LINEA]=$B$2)*
        (DESC_PROV[LISTA]=$C$2)*
        (DESC_PROV[DESCUENTO])
   ))
   *(1+VLOOKUP($C$2,LISTAS[],2,FALSE))
   *(1+VLOOKUP($C$2,LISTAS[],4,FALSE))
)
/5,0)*5,0)</f>
        <v>35660</v>
      </c>
      <c r="K33" s="6">
        <f>IFERROR(
ROUND(
IF($A$2="COSTO",
   (B33*(1+IFERROR(VLOOKUP($D$2,COLORES[],2,FALSE),0))+E33)
   *(1+VLOOKUP($C$2,LISTAS[],5,FALSE))
   *(1-SUMPRODUCT(
        (DESC_PROV[LINEA]=$B$2)*
        (DESC_PROV[LISTA]=$C$2)*
        (DESC_PROV[DESCUENTO])
   )),
   (B33*(1+IFERROR(VLOOKUP($D$2,COLORES[],2,FALSE),0))+E33)
   *(1-SUMPRODUCT(
        (DESC_PROV[LINEA]=$B$2)*
        (DESC_PROV[LISTA]=$C$2)*
        (DESC_PROV[DESCUENTO])
   ))
   *(1+VLOOKUP($C$2,LISTAS[],5,FALSE))
   *(1+VLOOKUP($C$2,LISTAS[],2,FALSE))
   *(1+VLOOKUP($C$2,LISTAS[],3,FALSE))
)
/5,0)*5,0)</f>
        <v>116215</v>
      </c>
    </row>
    <row r="34" spans="1:11">
      <c r="A34" s="18" t="s">
        <v>59</v>
      </c>
      <c r="B34" s="3">
        <v>60249</v>
      </c>
      <c r="C34" s="3">
        <v>18929</v>
      </c>
      <c r="D34" s="3">
        <v>25670</v>
      </c>
      <c r="E34" s="7">
        <v>18708</v>
      </c>
      <c r="G34" s="21" t="s">
        <v>59</v>
      </c>
      <c r="H34" s="5">
        <f>IFERROR(
ROUND(
IF($A$2="COSTO",
   ((B34*(1+IFERROR(VLOOKUP($D$2,COLORES[],2,FALSE),0)))+E34)
   *(1-SUMPRODUCT(
        (DESC_PROV[LINEA]=$B$2)*
        (DESC_PROV[LISTA]=$C$2)*
        (DESC_PROV[DESCUENTO])
   )),
   ((B34*(1+IFERROR(VLOOKUP($D$2,COLORES[],2,FALSE),0)))+E34)
   *(1-SUMPRODUCT(
        (DESC_PROV[LINEA]=$B$2)*
        (DESC_PROV[LISTA]=$C$2)*
        (DESC_PROV[DESCUENTO])
   ))
   *(1+VLOOKUP($C$2,LISTAS[],2,FALSE))
   *(1+VLOOKUP($C$2,LISTAS[],3,FALSE))
)
/5,0)*5,0)</f>
        <v>97920</v>
      </c>
      <c r="I34" s="5">
        <f>IFERROR(
ROUND(
IF($A$2="COSTO",
   ((B34*(1+IFERROR(VLOOKUP($D$2,COLORES[],2,FALSE),0)))
   + C34
   + E34)
   *(1-SUMPRODUCT(
        (DESC_PROV[LINEA]=$B$2)*
        (DESC_PROV[LISTA]=$C$2)*
        (DESC_PROV[DESCUENTO])
   )),
   ((B34*(1+IFERROR(VLOOKUP($D$2,COLORES[],2,FALSE),0)))
   + C34
   + E34)
   *(1-SUMPRODUCT(
        (DESC_PROV[LINEA]=$B$2)*
        (DESC_PROV[LISTA]=$C$2)*
        (DESC_PROV[DESCUENTO])
   ))
   *(1+VLOOKUP($C$2,LISTAS[],2,FALSE))
   *(1+VLOOKUP($C$2,LISTAS[],3,FALSE))
)
/5,0)*5,0)</f>
        <v>121400</v>
      </c>
      <c r="J34" s="5">
        <f>IFERROR(
ROUND(
IF($A$2="COSTO",
   (D34*(1+IFERROR(VLOOKUP($D$2,COLORES[],2,FALSE),0)))
   *(1-SUMPRODUCT(
        (DESC_PROV[LINEA]=$B$2)*
        (DESC_PROV[LISTA]=$C$2)*
        (DESC_PROV[DESCUENTO])
   )),
   (D34*(1+IFERROR(VLOOKUP($D$2,COLORES[],2,FALSE),0)))
   *(1-SUMPRODUCT(
        (DESC_PROV[LINEA]=$B$2)*
        (DESC_PROV[LISTA]=$C$2)*
        (DESC_PROV[DESCUENTO])
   ))
   *(1+VLOOKUP($C$2,LISTAS[],2,FALSE))
   *(1+VLOOKUP($C$2,LISTAS[],4,FALSE))
)
/5,0)*5,0)</f>
        <v>39185</v>
      </c>
      <c r="K34" s="6">
        <f>IFERROR(
ROUND(
IF($A$2="COSTO",
   (B34*(1+IFERROR(VLOOKUP($D$2,COLORES[],2,FALSE),0))+E34)
   *(1+VLOOKUP($C$2,LISTAS[],5,FALSE))
   *(1-SUMPRODUCT(
        (DESC_PROV[LINEA]=$B$2)*
        (DESC_PROV[LISTA]=$C$2)*
        (DESC_PROV[DESCUENTO])
   )),
   (B34*(1+IFERROR(VLOOKUP($D$2,COLORES[],2,FALSE),0))+E34)
   *(1-SUMPRODUCT(
        (DESC_PROV[LINEA]=$B$2)*
        (DESC_PROV[LISTA]=$C$2)*
        (DESC_PROV[DESCUENTO])
   ))
   *(1+VLOOKUP($C$2,LISTAS[],5,FALSE))
   *(1+VLOOKUP($C$2,LISTAS[],2,FALSE))
   *(1+VLOOKUP($C$2,LISTAS[],3,FALSE))
)
/5,0)*5,0)</f>
        <v>127300</v>
      </c>
    </row>
    <row r="35" spans="1:11">
      <c r="A35" s="18" t="s">
        <v>60</v>
      </c>
      <c r="B35" s="3">
        <v>66081</v>
      </c>
      <c r="C35" s="3">
        <v>18929</v>
      </c>
      <c r="D35" s="3">
        <v>29131</v>
      </c>
      <c r="E35" s="7">
        <v>23814</v>
      </c>
      <c r="G35" s="21" t="s">
        <v>60</v>
      </c>
      <c r="H35" s="5">
        <f>IFERROR(
ROUND(
IF($A$2="COSTO",
   ((B35*(1+IFERROR(VLOOKUP($D$2,COLORES[],2,FALSE),0)))+E35)
   *(1-SUMPRODUCT(
        (DESC_PROV[LINEA]=$B$2)*
        (DESC_PROV[LISTA]=$C$2)*
        (DESC_PROV[DESCUENTO])
   )),
   ((B35*(1+IFERROR(VLOOKUP($D$2,COLORES[],2,FALSE),0)))+E35)
   *(1-SUMPRODUCT(
        (DESC_PROV[LINEA]=$B$2)*
        (DESC_PROV[LISTA]=$C$2)*
        (DESC_PROV[DESCUENTO])
   ))
   *(1+VLOOKUP($C$2,LISTAS[],2,FALSE))
   *(1+VLOOKUP($C$2,LISTAS[],3,FALSE))
)
/5,0)*5,0)</f>
        <v>111490</v>
      </c>
      <c r="I35" s="5">
        <f>IFERROR(
ROUND(
IF($A$2="COSTO",
   ((B35*(1+IFERROR(VLOOKUP($D$2,COLORES[],2,FALSE),0)))
   + C35
   + E35)
   *(1-SUMPRODUCT(
        (DESC_PROV[LINEA]=$B$2)*
        (DESC_PROV[LISTA]=$C$2)*
        (DESC_PROV[DESCUENTO])
   )),
   ((B35*(1+IFERROR(VLOOKUP($D$2,COLORES[],2,FALSE),0)))
   + C35
   + E35)
   *(1-SUMPRODUCT(
        (DESC_PROV[LINEA]=$B$2)*
        (DESC_PROV[LISTA]=$C$2)*
        (DESC_PROV[DESCUENTO])
   ))
   *(1+VLOOKUP($C$2,LISTAS[],2,FALSE))
   *(1+VLOOKUP($C$2,LISTAS[],3,FALSE))
)
/5,0)*5,0)</f>
        <v>134965</v>
      </c>
      <c r="J35" s="5">
        <f>IFERROR(
ROUND(
IF($A$2="COSTO",
   (D35*(1+IFERROR(VLOOKUP($D$2,COLORES[],2,FALSE),0)))
   *(1-SUMPRODUCT(
        (DESC_PROV[LINEA]=$B$2)*
        (DESC_PROV[LISTA]=$C$2)*
        (DESC_PROV[DESCUENTO])
   )),
   (D35*(1+IFERROR(VLOOKUP($D$2,COLORES[],2,FALSE),0)))
   *(1-SUMPRODUCT(
        (DESC_PROV[LINEA]=$B$2)*
        (DESC_PROV[LISTA]=$C$2)*
        (DESC_PROV[DESCUENTO])
   ))
   *(1+VLOOKUP($C$2,LISTAS[],2,FALSE))
   *(1+VLOOKUP($C$2,LISTAS[],4,FALSE))
)
/5,0)*5,0)</f>
        <v>44465</v>
      </c>
      <c r="K35" s="6">
        <f>IFERROR(
ROUND(
IF($A$2="COSTO",
   (B35*(1+IFERROR(VLOOKUP($D$2,COLORES[],2,FALSE),0))+E35)
   *(1+VLOOKUP($C$2,LISTAS[],5,FALSE))
   *(1-SUMPRODUCT(
        (DESC_PROV[LINEA]=$B$2)*
        (DESC_PROV[LISTA]=$C$2)*
        (DESC_PROV[DESCUENTO])
   )),
   (B35*(1+IFERROR(VLOOKUP($D$2,COLORES[],2,FALSE),0))+E35)
   *(1-SUMPRODUCT(
        (DESC_PROV[LINEA]=$B$2)*
        (DESC_PROV[LISTA]=$C$2)*
        (DESC_PROV[DESCUENTO])
   ))
   *(1+VLOOKUP($C$2,LISTAS[],5,FALSE))
   *(1+VLOOKUP($C$2,LISTAS[],2,FALSE))
   *(1+VLOOKUP($C$2,LISTAS[],3,FALSE))
)
/5,0)*5,0)</f>
        <v>144935</v>
      </c>
    </row>
    <row r="36" spans="1:11">
      <c r="A36" s="18" t="s">
        <v>61</v>
      </c>
      <c r="B36" s="3">
        <v>70746</v>
      </c>
      <c r="C36" s="3">
        <v>18929</v>
      </c>
      <c r="D36" s="3">
        <v>32592</v>
      </c>
      <c r="E36" s="7">
        <v>28920</v>
      </c>
      <c r="G36" s="21" t="s">
        <v>61</v>
      </c>
      <c r="H36" s="5">
        <f>IFERROR(
ROUND(
IF($A$2="COSTO",
   ((B36*(1+IFERROR(VLOOKUP($D$2,COLORES[],2,FALSE),0)))+E36)
   *(1-SUMPRODUCT(
        (DESC_PROV[LINEA]=$B$2)*
        (DESC_PROV[LISTA]=$C$2)*
        (DESC_PROV[DESCUENTO])
   )),
   ((B36*(1+IFERROR(VLOOKUP($D$2,COLORES[],2,FALSE),0)))+E36)
   *(1-SUMPRODUCT(
        (DESC_PROV[LINEA]=$B$2)*
        (DESC_PROV[LISTA]=$C$2)*
        (DESC_PROV[DESCUENTO])
   ))
   *(1+VLOOKUP($C$2,LISTAS[],2,FALSE))
   *(1+VLOOKUP($C$2,LISTAS[],3,FALSE))
)
/5,0)*5,0)</f>
        <v>123605</v>
      </c>
      <c r="I36" s="5">
        <f>IFERROR(
ROUND(
IF($A$2="COSTO",
   ((B36*(1+IFERROR(VLOOKUP($D$2,COLORES[],2,FALSE),0)))
   + C36
   + E36)
   *(1-SUMPRODUCT(
        (DESC_PROV[LINEA]=$B$2)*
        (DESC_PROV[LISTA]=$C$2)*
        (DESC_PROV[DESCUENTO])
   )),
   ((B36*(1+IFERROR(VLOOKUP($D$2,COLORES[],2,FALSE),0)))
   + C36
   + E36)
   *(1-SUMPRODUCT(
        (DESC_PROV[LINEA]=$B$2)*
        (DESC_PROV[LISTA]=$C$2)*
        (DESC_PROV[DESCUENTO])
   ))
   *(1+VLOOKUP($C$2,LISTAS[],2,FALSE))
   *(1+VLOOKUP($C$2,LISTAS[],3,FALSE))
)
/5,0)*5,0)</f>
        <v>147080</v>
      </c>
      <c r="J36" s="5">
        <f>IFERROR(
ROUND(
IF($A$2="COSTO",
   (D36*(1+IFERROR(VLOOKUP($D$2,COLORES[],2,FALSE),0)))
   *(1-SUMPRODUCT(
        (DESC_PROV[LINEA]=$B$2)*
        (DESC_PROV[LISTA]=$C$2)*
        (DESC_PROV[DESCUENTO])
   )),
   (D36*(1+IFERROR(VLOOKUP($D$2,COLORES[],2,FALSE),0)))
   *(1-SUMPRODUCT(
        (DESC_PROV[LINEA]=$B$2)*
        (DESC_PROV[LISTA]=$C$2)*
        (DESC_PROV[DESCUENTO])
   ))
   *(1+VLOOKUP($C$2,LISTAS[],2,FALSE))
   *(1+VLOOKUP($C$2,LISTAS[],4,FALSE))
)
/5,0)*5,0)</f>
        <v>49750</v>
      </c>
      <c r="K36" s="6">
        <f>IFERROR(
ROUND(
IF($A$2="COSTO",
   (B36*(1+IFERROR(VLOOKUP($D$2,COLORES[],2,FALSE),0))+E36)
   *(1+VLOOKUP($C$2,LISTAS[],5,FALSE))
   *(1-SUMPRODUCT(
        (DESC_PROV[LINEA]=$B$2)*
        (DESC_PROV[LISTA]=$C$2)*
        (DESC_PROV[DESCUENTO])
   )),
   (B36*(1+IFERROR(VLOOKUP($D$2,COLORES[],2,FALSE),0))+E36)
   *(1-SUMPRODUCT(
        (DESC_PROV[LINEA]=$B$2)*
        (DESC_PROV[LISTA]=$C$2)*
        (DESC_PROV[DESCUENTO])
   ))
   *(1+VLOOKUP($C$2,LISTAS[],5,FALSE))
   *(1+VLOOKUP($C$2,LISTAS[],2,FALSE))
   *(1+VLOOKUP($C$2,LISTAS[],3,FALSE))
)
/5,0)*5,0)</f>
        <v>160690</v>
      </c>
    </row>
    <row r="37" spans="1:11">
      <c r="A37" s="18" t="s">
        <v>63</v>
      </c>
      <c r="B37" s="3">
        <v>81200</v>
      </c>
      <c r="C37" s="3">
        <v>18929</v>
      </c>
      <c r="D37" s="3">
        <v>39514</v>
      </c>
      <c r="E37" s="7">
        <v>35718</v>
      </c>
      <c r="G37" s="21" t="s">
        <v>63</v>
      </c>
      <c r="H37" s="5">
        <f>IFERROR(
ROUND(
IF($A$2="COSTO",
   ((B37*(1+IFERROR(VLOOKUP($D$2,COLORES[],2,FALSE),0)))+E37)
   *(1-SUMPRODUCT(
        (DESC_PROV[LINEA]=$B$2)*
        (DESC_PROV[LISTA]=$C$2)*
        (DESC_PROV[DESCUENTO])
   )),
   ((B37*(1+IFERROR(VLOOKUP($D$2,COLORES[],2,FALSE),0)))+E37)
   *(1-SUMPRODUCT(
        (DESC_PROV[LINEA]=$B$2)*
        (DESC_PROV[LISTA]=$C$2)*
        (DESC_PROV[DESCUENTO])
   ))
   *(1+VLOOKUP($C$2,LISTAS[],2,FALSE))
   *(1+VLOOKUP($C$2,LISTAS[],3,FALSE))
)
/5,0)*5,0)</f>
        <v>145000</v>
      </c>
      <c r="I37" s="5">
        <f>IFERROR(
ROUND(
IF($A$2="COSTO",
   ((B37*(1+IFERROR(VLOOKUP($D$2,COLORES[],2,FALSE),0)))
   + C37
   + E37)
   *(1-SUMPRODUCT(
        (DESC_PROV[LINEA]=$B$2)*
        (DESC_PROV[LISTA]=$C$2)*
        (DESC_PROV[DESCUENTO])
   )),
   ((B37*(1+IFERROR(VLOOKUP($D$2,COLORES[],2,FALSE),0)))
   + C37
   + E37)
   *(1-SUMPRODUCT(
        (DESC_PROV[LINEA]=$B$2)*
        (DESC_PROV[LISTA]=$C$2)*
        (DESC_PROV[DESCUENTO])
   ))
   *(1+VLOOKUP($C$2,LISTAS[],2,FALSE))
   *(1+VLOOKUP($C$2,LISTAS[],3,FALSE))
)
/5,0)*5,0)</f>
        <v>168475</v>
      </c>
      <c r="J37" s="5">
        <f>IFERROR(
ROUND(
IF($A$2="COSTO",
   (D37*(1+IFERROR(VLOOKUP($D$2,COLORES[],2,FALSE),0)))
   *(1-SUMPRODUCT(
        (DESC_PROV[LINEA]=$B$2)*
        (DESC_PROV[LISTA]=$C$2)*
        (DESC_PROV[DESCUENTO])
   )),
   (D37*(1+IFERROR(VLOOKUP($D$2,COLORES[],2,FALSE),0)))
   *(1-SUMPRODUCT(
        (DESC_PROV[LINEA]=$B$2)*
        (DESC_PROV[LISTA]=$C$2)*
        (DESC_PROV[DESCUENTO])
   ))
   *(1+VLOOKUP($C$2,LISTAS[],2,FALSE))
   *(1+VLOOKUP($C$2,LISTAS[],4,FALSE))
)
/5,0)*5,0)</f>
        <v>60315</v>
      </c>
      <c r="K37" s="6">
        <f>IFERROR(
ROUND(
IF($A$2="COSTO",
   (B37*(1+IFERROR(VLOOKUP($D$2,COLORES[],2,FALSE),0))+E37)
   *(1+VLOOKUP($C$2,LISTAS[],5,FALSE))
   *(1-SUMPRODUCT(
        (DESC_PROV[LINEA]=$B$2)*
        (DESC_PROV[LISTA]=$C$2)*
        (DESC_PROV[DESCUENTO])
   )),
   (B37*(1+IFERROR(VLOOKUP($D$2,COLORES[],2,FALSE),0))+E37)
   *(1-SUMPRODUCT(
        (DESC_PROV[LINEA]=$B$2)*
        (DESC_PROV[LISTA]=$C$2)*
        (DESC_PROV[DESCUENTO])
   ))
   *(1+VLOOKUP($C$2,LISTAS[],5,FALSE))
   *(1+VLOOKUP($C$2,LISTAS[],2,FALSE))
   *(1+VLOOKUP($C$2,LISTAS[],3,FALSE))
)
/5,0)*5,0)</f>
        <v>188500</v>
      </c>
    </row>
    <row r="38" spans="1:11">
      <c r="A38" s="18" t="s">
        <v>64</v>
      </c>
      <c r="B38" s="3">
        <v>81200</v>
      </c>
      <c r="C38" s="3">
        <v>18929</v>
      </c>
      <c r="D38" s="3">
        <v>39514</v>
      </c>
      <c r="E38" s="7">
        <v>39120</v>
      </c>
      <c r="G38" s="21" t="s">
        <v>64</v>
      </c>
      <c r="H38" s="5">
        <f>IFERROR(
ROUND(
IF($A$2="COSTO",
   ((B38*(1+IFERROR(VLOOKUP($D$2,COLORES[],2,FALSE),0)))+E38)
   *(1-SUMPRODUCT(
        (DESC_PROV[LINEA]=$B$2)*
        (DESC_PROV[LISTA]=$C$2)*
        (DESC_PROV[DESCUENTO])
   )),
   ((B38*(1+IFERROR(VLOOKUP($D$2,COLORES[],2,FALSE),0)))+E38)
   *(1-SUMPRODUCT(
        (DESC_PROV[LINEA]=$B$2)*
        (DESC_PROV[LISTA]=$C$2)*
        (DESC_PROV[DESCUENTO])
   ))
   *(1+VLOOKUP($C$2,LISTAS[],2,FALSE))
   *(1+VLOOKUP($C$2,LISTAS[],3,FALSE))
)
/5,0)*5,0)</f>
        <v>149220</v>
      </c>
      <c r="I38" s="5">
        <f>IFERROR(
ROUND(
IF($A$2="COSTO",
   ((B38*(1+IFERROR(VLOOKUP($D$2,COLORES[],2,FALSE),0)))
   + C38
   + E38)
   *(1-SUMPRODUCT(
        (DESC_PROV[LINEA]=$B$2)*
        (DESC_PROV[LISTA]=$C$2)*
        (DESC_PROV[DESCUENTO])
   )),
   ((B38*(1+IFERROR(VLOOKUP($D$2,COLORES[],2,FALSE),0)))
   + C38
   + E38)
   *(1-SUMPRODUCT(
        (DESC_PROV[LINEA]=$B$2)*
        (DESC_PROV[LISTA]=$C$2)*
        (DESC_PROV[DESCUENTO])
   ))
   *(1+VLOOKUP($C$2,LISTAS[],2,FALSE))
   *(1+VLOOKUP($C$2,LISTAS[],3,FALSE))
)
/5,0)*5,0)</f>
        <v>172695</v>
      </c>
      <c r="J38" s="5">
        <f>IFERROR(
ROUND(
IF($A$2="COSTO",
   (D38*(1+IFERROR(VLOOKUP($D$2,COLORES[],2,FALSE),0)))
   *(1-SUMPRODUCT(
        (DESC_PROV[LINEA]=$B$2)*
        (DESC_PROV[LISTA]=$C$2)*
        (DESC_PROV[DESCUENTO])
   )),
   (D38*(1+IFERROR(VLOOKUP($D$2,COLORES[],2,FALSE),0)))
   *(1-SUMPRODUCT(
        (DESC_PROV[LINEA]=$B$2)*
        (DESC_PROV[LISTA]=$C$2)*
        (DESC_PROV[DESCUENTO])
   ))
   *(1+VLOOKUP($C$2,LISTAS[],2,FALSE))
   *(1+VLOOKUP($C$2,LISTAS[],4,FALSE))
)
/5,0)*5,0)</f>
        <v>60315</v>
      </c>
      <c r="K38" s="6">
        <f>IFERROR(
ROUND(
IF($A$2="COSTO",
   (B38*(1+IFERROR(VLOOKUP($D$2,COLORES[],2,FALSE),0))+E38)
   *(1+VLOOKUP($C$2,LISTAS[],5,FALSE))
   *(1-SUMPRODUCT(
        (DESC_PROV[LINEA]=$B$2)*
        (DESC_PROV[LISTA]=$C$2)*
        (DESC_PROV[DESCUENTO])
   )),
   (B38*(1+IFERROR(VLOOKUP($D$2,COLORES[],2,FALSE),0))+E38)
   *(1-SUMPRODUCT(
        (DESC_PROV[LINEA]=$B$2)*
        (DESC_PROV[LISTA]=$C$2)*
        (DESC_PROV[DESCUENTO])
   ))
   *(1+VLOOKUP($C$2,LISTAS[],5,FALSE))
   *(1+VLOOKUP($C$2,LISTAS[],2,FALSE))
   *(1+VLOOKUP($C$2,LISTAS[],3,FALSE))
)
/5,0)*5,0)</f>
        <v>193985</v>
      </c>
    </row>
    <row r="39" spans="1:11">
      <c r="A39" s="18" t="s">
        <v>107</v>
      </c>
      <c r="B39" s="3">
        <v>59233</v>
      </c>
      <c r="C39" s="3">
        <v>20650</v>
      </c>
      <c r="D39" s="3">
        <v>24998</v>
      </c>
      <c r="E39" s="7">
        <v>16842</v>
      </c>
      <c r="G39" s="21" t="s">
        <v>107</v>
      </c>
      <c r="H39" s="5">
        <f>IFERROR(
ROUND(
IF($A$2="COSTO",
   ((B39*(1+IFERROR(VLOOKUP($D$2,COLORES[],2,FALSE),0)))+E39)
   *(1-SUMPRODUCT(
        (DESC_PROV[LINEA]=$B$2)*
        (DESC_PROV[LISTA]=$C$2)*
        (DESC_PROV[DESCUENTO])
   )),
   ((B39*(1+IFERROR(VLOOKUP($D$2,COLORES[],2,FALSE),0)))+E39)
   *(1-SUMPRODUCT(
        (DESC_PROV[LINEA]=$B$2)*
        (DESC_PROV[LISTA]=$C$2)*
        (DESC_PROV[DESCUENTO])
   ))
   *(1+VLOOKUP($C$2,LISTAS[],2,FALSE))
   *(1+VLOOKUP($C$2,LISTAS[],3,FALSE))
)
/5,0)*5,0)</f>
        <v>94350</v>
      </c>
      <c r="I39" s="5">
        <f>IFERROR(
ROUND(
IF($A$2="COSTO",
   ((B39*(1+IFERROR(VLOOKUP($D$2,COLORES[],2,FALSE),0)))
   + C39
   + E39)
   *(1-SUMPRODUCT(
        (DESC_PROV[LINEA]=$B$2)*
        (DESC_PROV[LISTA]=$C$2)*
        (DESC_PROV[DESCUENTO])
   )),
   ((B39*(1+IFERROR(VLOOKUP($D$2,COLORES[],2,FALSE),0)))
   + C39
   + E39)
   *(1-SUMPRODUCT(
        (DESC_PROV[LINEA]=$B$2)*
        (DESC_PROV[LISTA]=$C$2)*
        (DESC_PROV[DESCUENTO])
   ))
   *(1+VLOOKUP($C$2,LISTAS[],2,FALSE))
   *(1+VLOOKUP($C$2,LISTAS[],3,FALSE))
)
/5,0)*5,0)</f>
        <v>119960</v>
      </c>
      <c r="J39" s="5">
        <f>IFERROR(
ROUND(
IF($A$2="COSTO",
   (D39*(1+IFERROR(VLOOKUP($D$2,COLORES[],2,FALSE),0)))
   *(1-SUMPRODUCT(
        (DESC_PROV[LINEA]=$B$2)*
        (DESC_PROV[LISTA]=$C$2)*
        (DESC_PROV[DESCUENTO])
   )),
   (D39*(1+IFERROR(VLOOKUP($D$2,COLORES[],2,FALSE),0)))
   *(1-SUMPRODUCT(
        (DESC_PROV[LINEA]=$B$2)*
        (DESC_PROV[LISTA]=$C$2)*
        (DESC_PROV[DESCUENTO])
   ))
   *(1+VLOOKUP($C$2,LISTAS[],2,FALSE))
   *(1+VLOOKUP($C$2,LISTAS[],4,FALSE))
)
/5,0)*5,0)</f>
        <v>38155</v>
      </c>
      <c r="K39" s="6">
        <f>IFERROR(
ROUND(
IF($A$2="COSTO",
   (B39*(1+IFERROR(VLOOKUP($D$2,COLORES[],2,FALSE),0))+E39)
   *(1+VLOOKUP($C$2,LISTAS[],5,FALSE))
   *(1-SUMPRODUCT(
        (DESC_PROV[LINEA]=$B$2)*
        (DESC_PROV[LISTA]=$C$2)*
        (DESC_PROV[DESCUENTO])
   )),
   (B39*(1+IFERROR(VLOOKUP($D$2,COLORES[],2,FALSE),0))+E39)
   *(1-SUMPRODUCT(
        (DESC_PROV[LINEA]=$B$2)*
        (DESC_PROV[LISTA]=$C$2)*
        (DESC_PROV[DESCUENTO])
   ))
   *(1+VLOOKUP($C$2,LISTAS[],5,FALSE))
   *(1+VLOOKUP($C$2,LISTAS[],2,FALSE))
   *(1+VLOOKUP($C$2,LISTAS[],3,FALSE))
)
/5,0)*5,0)</f>
        <v>122655</v>
      </c>
    </row>
    <row r="40" spans="1:11">
      <c r="A40" s="18" t="s">
        <v>108</v>
      </c>
      <c r="B40" s="3">
        <v>62714</v>
      </c>
      <c r="C40" s="3">
        <v>20650</v>
      </c>
      <c r="D40" s="3">
        <v>27418</v>
      </c>
      <c r="E40" s="7">
        <v>20580</v>
      </c>
      <c r="G40" s="21" t="s">
        <v>108</v>
      </c>
      <c r="H40" s="5">
        <f>IFERROR(
ROUND(
IF($A$2="COSTO",
   ((B40*(1+IFERROR(VLOOKUP($D$2,COLORES[],2,FALSE),0)))+E40)
   *(1-SUMPRODUCT(
        (DESC_PROV[LINEA]=$B$2)*
        (DESC_PROV[LISTA]=$C$2)*
        (DESC_PROV[DESCUENTO])
   )),
   ((B40*(1+IFERROR(VLOOKUP($D$2,COLORES[],2,FALSE),0)))+E40)
   *(1-SUMPRODUCT(
        (DESC_PROV[LINEA]=$B$2)*
        (DESC_PROV[LISTA]=$C$2)*
        (DESC_PROV[DESCUENTO])
   ))
   *(1+VLOOKUP($C$2,LISTAS[],2,FALSE))
   *(1+VLOOKUP($C$2,LISTAS[],3,FALSE))
)
/5,0)*5,0)</f>
        <v>103300</v>
      </c>
      <c r="I40" s="5">
        <f>IFERROR(
ROUND(
IF($A$2="COSTO",
   ((B40*(1+IFERROR(VLOOKUP($D$2,COLORES[],2,FALSE),0)))
   + C40
   + E40)
   *(1-SUMPRODUCT(
        (DESC_PROV[LINEA]=$B$2)*
        (DESC_PROV[LISTA]=$C$2)*
        (DESC_PROV[DESCUENTO])
   )),
   ((B40*(1+IFERROR(VLOOKUP($D$2,COLORES[],2,FALSE),0)))
   + C40
   + E40)
   *(1-SUMPRODUCT(
        (DESC_PROV[LINEA]=$B$2)*
        (DESC_PROV[LISTA]=$C$2)*
        (DESC_PROV[DESCUENTO])
   ))
   *(1+VLOOKUP($C$2,LISTAS[],2,FALSE))
   *(1+VLOOKUP($C$2,LISTAS[],3,FALSE))
)
/5,0)*5,0)</f>
        <v>128910</v>
      </c>
      <c r="J40" s="5">
        <f>IFERROR(
ROUND(
IF($A$2="COSTO",
   (D40*(1+IFERROR(VLOOKUP($D$2,COLORES[],2,FALSE),0)))
   *(1-SUMPRODUCT(
        (DESC_PROV[LINEA]=$B$2)*
        (DESC_PROV[LISTA]=$C$2)*
        (DESC_PROV[DESCUENTO])
   )),
   (D40*(1+IFERROR(VLOOKUP($D$2,COLORES[],2,FALSE),0)))
   *(1-SUMPRODUCT(
        (DESC_PROV[LINEA]=$B$2)*
        (DESC_PROV[LISTA]=$C$2)*
        (DESC_PROV[DESCUENTO])
   ))
   *(1+VLOOKUP($C$2,LISTAS[],2,FALSE))
   *(1+VLOOKUP($C$2,LISTAS[],4,FALSE))
)
/5,0)*5,0)</f>
        <v>41850</v>
      </c>
      <c r="K40" s="6">
        <f>IFERROR(
ROUND(
IF($A$2="COSTO",
   (B40*(1+IFERROR(VLOOKUP($D$2,COLORES[],2,FALSE),0))+E40)
   *(1+VLOOKUP($C$2,LISTAS[],5,FALSE))
   *(1-SUMPRODUCT(
        (DESC_PROV[LINEA]=$B$2)*
        (DESC_PROV[LISTA]=$C$2)*
        (DESC_PROV[DESCUENTO])
   )),
   (B40*(1+IFERROR(VLOOKUP($D$2,COLORES[],2,FALSE),0))+E40)
   *(1-SUMPRODUCT(
        (DESC_PROV[LINEA]=$B$2)*
        (DESC_PROV[LISTA]=$C$2)*
        (DESC_PROV[DESCUENTO])
   ))
   *(1+VLOOKUP($C$2,LISTAS[],5,FALSE))
   *(1+VLOOKUP($C$2,LISTAS[],2,FALSE))
   *(1+VLOOKUP($C$2,LISTAS[],3,FALSE))
)
/5,0)*5,0)</f>
        <v>134290</v>
      </c>
    </row>
    <row r="41" spans="1:11">
      <c r="A41" s="18" t="s">
        <v>109</v>
      </c>
      <c r="B41" s="3">
        <v>68494</v>
      </c>
      <c r="C41" s="3">
        <v>20650</v>
      </c>
      <c r="D41" s="3">
        <v>31046</v>
      </c>
      <c r="E41" s="7">
        <v>26196</v>
      </c>
      <c r="G41" s="21" t="s">
        <v>109</v>
      </c>
      <c r="H41" s="5">
        <f>IFERROR(
ROUND(
IF($A$2="COSTO",
   ((B41*(1+IFERROR(VLOOKUP($D$2,COLORES[],2,FALSE),0)))+E41)
   *(1-SUMPRODUCT(
        (DESC_PROV[LINEA]=$B$2)*
        (DESC_PROV[LISTA]=$C$2)*
        (DESC_PROV[DESCUENTO])
   )),
   ((B41*(1+IFERROR(VLOOKUP($D$2,COLORES[],2,FALSE),0)))+E41)
   *(1-SUMPRODUCT(
        (DESC_PROV[LINEA]=$B$2)*
        (DESC_PROV[LISTA]=$C$2)*
        (DESC_PROV[DESCUENTO])
   ))
   *(1+VLOOKUP($C$2,LISTAS[],2,FALSE))
   *(1+VLOOKUP($C$2,LISTAS[],3,FALSE))
)
/5,0)*5,0)</f>
        <v>117435</v>
      </c>
      <c r="I41" s="5">
        <f>IFERROR(
ROUND(
IF($A$2="COSTO",
   ((B41*(1+IFERROR(VLOOKUP($D$2,COLORES[],2,FALSE),0)))
   + C41
   + E41)
   *(1-SUMPRODUCT(
        (DESC_PROV[LINEA]=$B$2)*
        (DESC_PROV[LISTA]=$C$2)*
        (DESC_PROV[DESCUENTO])
   )),
   ((B41*(1+IFERROR(VLOOKUP($D$2,COLORES[],2,FALSE),0)))
   + C41
   + E41)
   *(1-SUMPRODUCT(
        (DESC_PROV[LINEA]=$B$2)*
        (DESC_PROV[LISTA]=$C$2)*
        (DESC_PROV[DESCUENTO])
   ))
   *(1+VLOOKUP($C$2,LISTAS[],2,FALSE))
   *(1+VLOOKUP($C$2,LISTAS[],3,FALSE))
)
/5,0)*5,0)</f>
        <v>143045</v>
      </c>
      <c r="J41" s="5">
        <f>IFERROR(
ROUND(
IF($A$2="COSTO",
   (D41*(1+IFERROR(VLOOKUP($D$2,COLORES[],2,FALSE),0)))
   *(1-SUMPRODUCT(
        (DESC_PROV[LINEA]=$B$2)*
        (DESC_PROV[LISTA]=$C$2)*
        (DESC_PROV[DESCUENTO])
   )),
   (D41*(1+IFERROR(VLOOKUP($D$2,COLORES[],2,FALSE),0)))
   *(1-SUMPRODUCT(
        (DESC_PROV[LINEA]=$B$2)*
        (DESC_PROV[LISTA]=$C$2)*
        (DESC_PROV[DESCUENTO])
   ))
   *(1+VLOOKUP($C$2,LISTAS[],2,FALSE))
   *(1+VLOOKUP($C$2,LISTAS[],4,FALSE))
)
/5,0)*5,0)</f>
        <v>47390</v>
      </c>
      <c r="K41" s="6">
        <f>IFERROR(
ROUND(
IF($A$2="COSTO",
   (B41*(1+IFERROR(VLOOKUP($D$2,COLORES[],2,FALSE),0))+E41)
   *(1+VLOOKUP($C$2,LISTAS[],5,FALSE))
   *(1-SUMPRODUCT(
        (DESC_PROV[LINEA]=$B$2)*
        (DESC_PROV[LISTA]=$C$2)*
        (DESC_PROV[DESCUENTO])
   )),
   (B41*(1+IFERROR(VLOOKUP($D$2,COLORES[],2,FALSE),0))+E41)
   *(1-SUMPRODUCT(
        (DESC_PROV[LINEA]=$B$2)*
        (DESC_PROV[LISTA]=$C$2)*
        (DESC_PROV[DESCUENTO])
   ))
   *(1+VLOOKUP($C$2,LISTAS[],5,FALSE))
   *(1+VLOOKUP($C$2,LISTAS[],2,FALSE))
   *(1+VLOOKUP($C$2,LISTAS[],3,FALSE))
)
/5,0)*5,0)</f>
        <v>152665</v>
      </c>
    </row>
    <row r="42" spans="1:11">
      <c r="A42" s="18" t="s">
        <v>110</v>
      </c>
      <c r="B42" s="3">
        <v>73158</v>
      </c>
      <c r="C42" s="3">
        <v>20650</v>
      </c>
      <c r="D42" s="3">
        <v>34675</v>
      </c>
      <c r="E42" s="7">
        <v>31806</v>
      </c>
      <c r="G42" s="21" t="s">
        <v>110</v>
      </c>
      <c r="H42" s="5">
        <f>IFERROR(
ROUND(
IF($A$2="COSTO",
   ((B42*(1+IFERROR(VLOOKUP($D$2,COLORES[],2,FALSE),0)))+E42)
   *(1-SUMPRODUCT(
        (DESC_PROV[LINEA]=$B$2)*
        (DESC_PROV[LISTA]=$C$2)*
        (DESC_PROV[DESCUENTO])
   )),
   ((B42*(1+IFERROR(VLOOKUP($D$2,COLORES[],2,FALSE),0)))+E42)
   *(1-SUMPRODUCT(
        (DESC_PROV[LINEA]=$B$2)*
        (DESC_PROV[LISTA]=$C$2)*
        (DESC_PROV[DESCUENTO])
   ))
   *(1+VLOOKUP($C$2,LISTAS[],2,FALSE))
   *(1+VLOOKUP($C$2,LISTAS[],3,FALSE))
)
/5,0)*5,0)</f>
        <v>130175</v>
      </c>
      <c r="I42" s="5">
        <f>IFERROR(
ROUND(
IF($A$2="COSTO",
   ((B42*(1+IFERROR(VLOOKUP($D$2,COLORES[],2,FALSE),0)))
   + C42
   + E42)
   *(1-SUMPRODUCT(
        (DESC_PROV[LINEA]=$B$2)*
        (DESC_PROV[LISTA]=$C$2)*
        (DESC_PROV[DESCUENTO])
   )),
   ((B42*(1+IFERROR(VLOOKUP($D$2,COLORES[],2,FALSE),0)))
   + C42
   + E42)
   *(1-SUMPRODUCT(
        (DESC_PROV[LINEA]=$B$2)*
        (DESC_PROV[LISTA]=$C$2)*
        (DESC_PROV[DESCUENTO])
   ))
   *(1+VLOOKUP($C$2,LISTAS[],2,FALSE))
   *(1+VLOOKUP($C$2,LISTAS[],3,FALSE))
)
/5,0)*5,0)</f>
        <v>155785</v>
      </c>
      <c r="J42" s="5">
        <f>IFERROR(
ROUND(
IF($A$2="COSTO",
   (D42*(1+IFERROR(VLOOKUP($D$2,COLORES[],2,FALSE),0)))
   *(1-SUMPRODUCT(
        (DESC_PROV[LINEA]=$B$2)*
        (DESC_PROV[LISTA]=$C$2)*
        (DESC_PROV[DESCUENTO])
   )),
   (D42*(1+IFERROR(VLOOKUP($D$2,COLORES[],2,FALSE),0)))
   *(1-SUMPRODUCT(
        (DESC_PROV[LINEA]=$B$2)*
        (DESC_PROV[LISTA]=$C$2)*
        (DESC_PROV[DESCUENTO])
   ))
   *(1+VLOOKUP($C$2,LISTAS[],2,FALSE))
   *(1+VLOOKUP($C$2,LISTAS[],4,FALSE))
)
/5,0)*5,0)</f>
        <v>52930</v>
      </c>
      <c r="K42" s="6">
        <f>IFERROR(
ROUND(
IF($A$2="COSTO",
   (B42*(1+IFERROR(VLOOKUP($D$2,COLORES[],2,FALSE),0))+E42)
   *(1+VLOOKUP($C$2,LISTAS[],5,FALSE))
   *(1-SUMPRODUCT(
        (DESC_PROV[LINEA]=$B$2)*
        (DESC_PROV[LISTA]=$C$2)*
        (DESC_PROV[DESCUENTO])
   )),
   (B42*(1+IFERROR(VLOOKUP($D$2,COLORES[],2,FALSE),0))+E42)
   *(1-SUMPRODUCT(
        (DESC_PROV[LINEA]=$B$2)*
        (DESC_PROV[LISTA]=$C$2)*
        (DESC_PROV[DESCUENTO])
   ))
   *(1+VLOOKUP($C$2,LISTAS[],5,FALSE))
   *(1+VLOOKUP($C$2,LISTAS[],2,FALSE))
   *(1+VLOOKUP($C$2,LISTAS[],3,FALSE))
)
/5,0)*5,0)</f>
        <v>169230</v>
      </c>
    </row>
    <row r="43" spans="1:11">
      <c r="A43" s="18" t="s">
        <v>111</v>
      </c>
      <c r="B43" s="3">
        <v>79937</v>
      </c>
      <c r="C43" s="3">
        <v>20650</v>
      </c>
      <c r="D43" s="3">
        <v>37094</v>
      </c>
      <c r="E43" s="7">
        <v>35550</v>
      </c>
      <c r="G43" s="21" t="s">
        <v>111</v>
      </c>
      <c r="H43" s="5">
        <f>IFERROR(
ROUND(
IF($A$2="COSTO",
   ((B43*(1+IFERROR(VLOOKUP($D$2,COLORES[],2,FALSE),0)))+E43)
   *(1-SUMPRODUCT(
        (DESC_PROV[LINEA]=$B$2)*
        (DESC_PROV[LISTA]=$C$2)*
        (DESC_PROV[DESCUENTO])
   )),
   ((B43*(1+IFERROR(VLOOKUP($D$2,COLORES[],2,FALSE),0)))+E43)
   *(1-SUMPRODUCT(
        (DESC_PROV[LINEA]=$B$2)*
        (DESC_PROV[LISTA]=$C$2)*
        (DESC_PROV[DESCUENTO])
   ))
   *(1+VLOOKUP($C$2,LISTAS[],2,FALSE))
   *(1+VLOOKUP($C$2,LISTAS[],3,FALSE))
)
/5,0)*5,0)</f>
        <v>143225</v>
      </c>
      <c r="I43" s="5">
        <f>IFERROR(
ROUND(
IF($A$2="COSTO",
   ((B43*(1+IFERROR(VLOOKUP($D$2,COLORES[],2,FALSE),0)))
   + C43
   + E43)
   *(1-SUMPRODUCT(
        (DESC_PROV[LINEA]=$B$2)*
        (DESC_PROV[LISTA]=$C$2)*
        (DESC_PROV[DESCUENTO])
   )),
   ((B43*(1+IFERROR(VLOOKUP($D$2,COLORES[],2,FALSE),0)))
   + C43
   + E43)
   *(1-SUMPRODUCT(
        (DESC_PROV[LINEA]=$B$2)*
        (DESC_PROV[LISTA]=$C$2)*
        (DESC_PROV[DESCUENTO])
   ))
   *(1+VLOOKUP($C$2,LISTAS[],2,FALSE))
   *(1+VLOOKUP($C$2,LISTAS[],3,FALSE))
)
/5,0)*5,0)</f>
        <v>168835</v>
      </c>
      <c r="J43" s="5">
        <f>IFERROR(
ROUND(
IF($A$2="COSTO",
   (D43*(1+IFERROR(VLOOKUP($D$2,COLORES[],2,FALSE),0)))
   *(1-SUMPRODUCT(
        (DESC_PROV[LINEA]=$B$2)*
        (DESC_PROV[LISTA]=$C$2)*
        (DESC_PROV[DESCUENTO])
   )),
   (D43*(1+IFERROR(VLOOKUP($D$2,COLORES[],2,FALSE),0)))
   *(1-SUMPRODUCT(
        (DESC_PROV[LINEA]=$B$2)*
        (DESC_PROV[LISTA]=$C$2)*
        (DESC_PROV[DESCUENTO])
   ))
   *(1+VLOOKUP($C$2,LISTAS[],2,FALSE))
   *(1+VLOOKUP($C$2,LISTAS[],4,FALSE))
)
/5,0)*5,0)</f>
        <v>56620</v>
      </c>
      <c r="K43" s="6">
        <f>IFERROR(
ROUND(
IF($A$2="COSTO",
   (B43*(1+IFERROR(VLOOKUP($D$2,COLORES[],2,FALSE),0))+E43)
   *(1+VLOOKUP($C$2,LISTAS[],5,FALSE))
   *(1-SUMPRODUCT(
        (DESC_PROV[LINEA]=$B$2)*
        (DESC_PROV[LISTA]=$C$2)*
        (DESC_PROV[DESCUENTO])
   )),
   (B43*(1+IFERROR(VLOOKUP($D$2,COLORES[],2,FALSE),0))+E43)
   *(1-SUMPRODUCT(
        (DESC_PROV[LINEA]=$B$2)*
        (DESC_PROV[LISTA]=$C$2)*
        (DESC_PROV[DESCUENTO])
   ))
   *(1+VLOOKUP($C$2,LISTAS[],5,FALSE))
   *(1+VLOOKUP($C$2,LISTAS[],2,FALSE))
   *(1+VLOOKUP($C$2,LISTAS[],3,FALSE))
)
/5,0)*5,0)</f>
        <v>186195</v>
      </c>
    </row>
    <row r="44" spans="1:11">
      <c r="A44" s="18" t="s">
        <v>112</v>
      </c>
      <c r="B44" s="3">
        <v>83467</v>
      </c>
      <c r="C44" s="3">
        <v>20650</v>
      </c>
      <c r="D44" s="3">
        <v>39514</v>
      </c>
      <c r="E44" s="7">
        <v>39294</v>
      </c>
      <c r="G44" s="21" t="s">
        <v>112</v>
      </c>
      <c r="H44" s="5">
        <f>IFERROR(
ROUND(
IF($A$2="COSTO",
   ((B44*(1+IFERROR(VLOOKUP($D$2,COLORES[],2,FALSE),0)))+E44)
   *(1-SUMPRODUCT(
        (DESC_PROV[LINEA]=$B$2)*
        (DESC_PROV[LISTA]=$C$2)*
        (DESC_PROV[DESCUENTO])
   )),
   ((B44*(1+IFERROR(VLOOKUP($D$2,COLORES[],2,FALSE),0)))+E44)
   *(1-SUMPRODUCT(
        (DESC_PROV[LINEA]=$B$2)*
        (DESC_PROV[LISTA]=$C$2)*
        (DESC_PROV[DESCUENTO])
   ))
   *(1+VLOOKUP($C$2,LISTAS[],2,FALSE))
   *(1+VLOOKUP($C$2,LISTAS[],3,FALSE))
)
/5,0)*5,0)</f>
        <v>152250</v>
      </c>
      <c r="I44" s="5">
        <f>IFERROR(
ROUND(
IF($A$2="COSTO",
   ((B44*(1+IFERROR(VLOOKUP($D$2,COLORES[],2,FALSE),0)))
   + C44
   + E44)
   *(1-SUMPRODUCT(
        (DESC_PROV[LINEA]=$B$2)*
        (DESC_PROV[LISTA]=$C$2)*
        (DESC_PROV[DESCUENTO])
   )),
   ((B44*(1+IFERROR(VLOOKUP($D$2,COLORES[],2,FALSE),0)))
   + C44
   + E44)
   *(1-SUMPRODUCT(
        (DESC_PROV[LINEA]=$B$2)*
        (DESC_PROV[LISTA]=$C$2)*
        (DESC_PROV[DESCUENTO])
   ))
   *(1+VLOOKUP($C$2,LISTAS[],2,FALSE))
   *(1+VLOOKUP($C$2,LISTAS[],3,FALSE))
)
/5,0)*5,0)</f>
        <v>177860</v>
      </c>
      <c r="J44" s="5">
        <f>IFERROR(
ROUND(
IF($A$2="COSTO",
   (D44*(1+IFERROR(VLOOKUP($D$2,COLORES[],2,FALSE),0)))
   *(1-SUMPRODUCT(
        (DESC_PROV[LINEA]=$B$2)*
        (DESC_PROV[LISTA]=$C$2)*
        (DESC_PROV[DESCUENTO])
   )),
   (D44*(1+IFERROR(VLOOKUP($D$2,COLORES[],2,FALSE),0)))
   *(1-SUMPRODUCT(
        (DESC_PROV[LINEA]=$B$2)*
        (DESC_PROV[LISTA]=$C$2)*
        (DESC_PROV[DESCUENTO])
   ))
   *(1+VLOOKUP($C$2,LISTAS[],2,FALSE))
   *(1+VLOOKUP($C$2,LISTAS[],4,FALSE))
)
/5,0)*5,0)</f>
        <v>60315</v>
      </c>
      <c r="K44" s="6">
        <f>IFERROR(
ROUND(
IF($A$2="COSTO",
   (B44*(1+IFERROR(VLOOKUP($D$2,COLORES[],2,FALSE),0))+E44)
   *(1+VLOOKUP($C$2,LISTAS[],5,FALSE))
   *(1-SUMPRODUCT(
        (DESC_PROV[LINEA]=$B$2)*
        (DESC_PROV[LISTA]=$C$2)*
        (DESC_PROV[DESCUENTO])
   )),
   (B44*(1+IFERROR(VLOOKUP($D$2,COLORES[],2,FALSE),0))+E44)
   *(1-SUMPRODUCT(
        (DESC_PROV[LINEA]=$B$2)*
        (DESC_PROV[LISTA]=$C$2)*
        (DESC_PROV[DESCUENTO])
   ))
   *(1+VLOOKUP($C$2,LISTAS[],5,FALSE))
   *(1+VLOOKUP($C$2,LISTAS[],2,FALSE))
   *(1+VLOOKUP($C$2,LISTAS[],3,FALSE))
)
/5,0)*5,0)</f>
        <v>197925</v>
      </c>
    </row>
    <row r="45" spans="1:11">
      <c r="A45" s="18" t="s">
        <v>113</v>
      </c>
      <c r="B45" s="3">
        <v>85547</v>
      </c>
      <c r="C45" s="3">
        <v>20650</v>
      </c>
      <c r="D45" s="3">
        <v>41933</v>
      </c>
      <c r="E45" s="7">
        <v>43038</v>
      </c>
      <c r="G45" s="21" t="s">
        <v>113</v>
      </c>
      <c r="H45" s="5">
        <f>IFERROR(
ROUND(
IF($A$2="COSTO",
   ((B45*(1+IFERROR(VLOOKUP($D$2,COLORES[],2,FALSE),0)))+E45)
   *(1-SUMPRODUCT(
        (DESC_PROV[LINEA]=$B$2)*
        (DESC_PROV[LISTA]=$C$2)*
        (DESC_PROV[DESCUENTO])
   )),
   ((B45*(1+IFERROR(VLOOKUP($D$2,COLORES[],2,FALSE),0)))+E45)
   *(1-SUMPRODUCT(
        (DESC_PROV[LINEA]=$B$2)*
        (DESC_PROV[LISTA]=$C$2)*
        (DESC_PROV[DESCUENTO])
   ))
   *(1+VLOOKUP($C$2,LISTAS[],2,FALSE))
   *(1+VLOOKUP($C$2,LISTAS[],3,FALSE))
)
/5,0)*5,0)</f>
        <v>159470</v>
      </c>
      <c r="I45" s="5">
        <f>IFERROR(
ROUND(
IF($A$2="COSTO",
   ((B45*(1+IFERROR(VLOOKUP($D$2,COLORES[],2,FALSE),0)))
   + C45
   + E45)
   *(1-SUMPRODUCT(
        (DESC_PROV[LINEA]=$B$2)*
        (DESC_PROV[LISTA]=$C$2)*
        (DESC_PROV[DESCUENTO])
   )),
   ((B45*(1+IFERROR(VLOOKUP($D$2,COLORES[],2,FALSE),0)))
   + C45
   + E45)
   *(1-SUMPRODUCT(
        (DESC_PROV[LINEA]=$B$2)*
        (DESC_PROV[LISTA]=$C$2)*
        (DESC_PROV[DESCUENTO])
   ))
   *(1+VLOOKUP($C$2,LISTAS[],2,FALSE))
   *(1+VLOOKUP($C$2,LISTAS[],3,FALSE))
)
/5,0)*5,0)</f>
        <v>185080</v>
      </c>
      <c r="J45" s="5">
        <f>IFERROR(
ROUND(
IF($A$2="COSTO",
   (D45*(1+IFERROR(VLOOKUP($D$2,COLORES[],2,FALSE),0)))
   *(1-SUMPRODUCT(
        (DESC_PROV[LINEA]=$B$2)*
        (DESC_PROV[LISTA]=$C$2)*
        (DESC_PROV[DESCUENTO])
   )),
   (D45*(1+IFERROR(VLOOKUP($D$2,COLORES[],2,FALSE),0)))
   *(1-SUMPRODUCT(
        (DESC_PROV[LINEA]=$B$2)*
        (DESC_PROV[LISTA]=$C$2)*
        (DESC_PROV[DESCUENTO])
   ))
   *(1+VLOOKUP($C$2,LISTAS[],2,FALSE))
   *(1+VLOOKUP($C$2,LISTAS[],4,FALSE))
)
/5,0)*5,0)</f>
        <v>64005</v>
      </c>
      <c r="K45" s="6">
        <f>IFERROR(
ROUND(
IF($A$2="COSTO",
   (B45*(1+IFERROR(VLOOKUP($D$2,COLORES[],2,FALSE),0))+E45)
   *(1+VLOOKUP($C$2,LISTAS[],5,FALSE))
   *(1-SUMPRODUCT(
        (DESC_PROV[LINEA]=$B$2)*
        (DESC_PROV[LISTA]=$C$2)*
        (DESC_PROV[DESCUENTO])
   )),
   (B45*(1+IFERROR(VLOOKUP($D$2,COLORES[],2,FALSE),0))+E45)
   *(1-SUMPRODUCT(
        (DESC_PROV[LINEA]=$B$2)*
        (DESC_PROV[LISTA]=$C$2)*
        (DESC_PROV[DESCUENTO])
   ))
   *(1+VLOOKUP($C$2,LISTAS[],5,FALSE))
   *(1+VLOOKUP($C$2,LISTAS[],2,FALSE))
   *(1+VLOOKUP($C$2,LISTAS[],3,FALSE))
)
/5,0)*5,0)</f>
        <v>207310</v>
      </c>
    </row>
    <row r="46" spans="1:11">
      <c r="A46" s="18" t="s">
        <v>114</v>
      </c>
      <c r="B46" s="3">
        <v>67529</v>
      </c>
      <c r="C46" s="3">
        <v>25813</v>
      </c>
      <c r="D46" s="3">
        <v>29904</v>
      </c>
      <c r="E46" s="7">
        <v>21432</v>
      </c>
      <c r="G46" s="21" t="s">
        <v>114</v>
      </c>
      <c r="H46" s="5">
        <f>IFERROR(
ROUND(
IF($A$2="COSTO",
   ((B46*(1+IFERROR(VLOOKUP($D$2,COLORES[],2,FALSE),0)))+E46)
   *(1-SUMPRODUCT(
        (DESC_PROV[LINEA]=$B$2)*
        (DESC_PROV[LISTA]=$C$2)*
        (DESC_PROV[DESCUENTO])
   )),
   ((B46*(1+IFERROR(VLOOKUP($D$2,COLORES[],2,FALSE),0)))+E46)
   *(1-SUMPRODUCT(
        (DESC_PROV[LINEA]=$B$2)*
        (DESC_PROV[LISTA]=$C$2)*
        (DESC_PROV[DESCUENTO])
   ))
   *(1+VLOOKUP($C$2,LISTAS[],2,FALSE))
   *(1+VLOOKUP($C$2,LISTAS[],3,FALSE))
)
/5,0)*5,0)</f>
        <v>110330</v>
      </c>
      <c r="I46" s="5">
        <f>IFERROR(
ROUND(
IF($A$2="COSTO",
   ((B46*(1+IFERROR(VLOOKUP($D$2,COLORES[],2,FALSE),0)))
   + C46
   + E46)
   *(1-SUMPRODUCT(
        (DESC_PROV[LINEA]=$B$2)*
        (DESC_PROV[LISTA]=$C$2)*
        (DESC_PROV[DESCUENTO])
   )),
   ((B46*(1+IFERROR(VLOOKUP($D$2,COLORES[],2,FALSE),0)))
   + C46
   + E46)
   *(1-SUMPRODUCT(
        (DESC_PROV[LINEA]=$B$2)*
        (DESC_PROV[LISTA]=$C$2)*
        (DESC_PROV[DESCUENTO])
   ))
   *(1+VLOOKUP($C$2,LISTAS[],2,FALSE))
   *(1+VLOOKUP($C$2,LISTAS[],3,FALSE))
)
/5,0)*5,0)</f>
        <v>142345</v>
      </c>
      <c r="J46" s="5">
        <f>IFERROR(
ROUND(
IF($A$2="COSTO",
   (D46*(1+IFERROR(VLOOKUP($D$2,COLORES[],2,FALSE),0)))
   *(1-SUMPRODUCT(
        (DESC_PROV[LINEA]=$B$2)*
        (DESC_PROV[LISTA]=$C$2)*
        (DESC_PROV[DESCUENTO])
   )),
   (D46*(1+IFERROR(VLOOKUP($D$2,COLORES[],2,FALSE),0)))
   *(1-SUMPRODUCT(
        (DESC_PROV[LINEA]=$B$2)*
        (DESC_PROV[LISTA]=$C$2)*
        (DESC_PROV[DESCUENTO])
   ))
   *(1+VLOOKUP($C$2,LISTAS[],2,FALSE))
   *(1+VLOOKUP($C$2,LISTAS[],4,FALSE))
)
/5,0)*5,0)</f>
        <v>45645</v>
      </c>
      <c r="K46" s="6">
        <f>IFERROR(
ROUND(
IF($A$2="COSTO",
   (B46*(1+IFERROR(VLOOKUP($D$2,COLORES[],2,FALSE),0))+E46)
   *(1+VLOOKUP($C$2,LISTAS[],5,FALSE))
   *(1-SUMPRODUCT(
        (DESC_PROV[LINEA]=$B$2)*
        (DESC_PROV[LISTA]=$C$2)*
        (DESC_PROV[DESCUENTO])
   )),
   (B46*(1+IFERROR(VLOOKUP($D$2,COLORES[],2,FALSE),0))+E46)
   *(1-SUMPRODUCT(
        (DESC_PROV[LINEA]=$B$2)*
        (DESC_PROV[LISTA]=$C$2)*
        (DESC_PROV[DESCUENTO])
   ))
   *(1+VLOOKUP($C$2,LISTAS[],5,FALSE))
   *(1+VLOOKUP($C$2,LISTAS[],2,FALSE))
   *(1+VLOOKUP($C$2,LISTAS[],3,FALSE))
)
/5,0)*5,0)</f>
        <v>143430</v>
      </c>
    </row>
    <row r="47" spans="1:11">
      <c r="A47" s="18" t="s">
        <v>71</v>
      </c>
      <c r="B47" s="3">
        <v>71011</v>
      </c>
      <c r="C47" s="3">
        <v>25813</v>
      </c>
      <c r="D47" s="3">
        <v>32659</v>
      </c>
      <c r="E47" s="7">
        <v>26196</v>
      </c>
      <c r="G47" s="21" t="s">
        <v>71</v>
      </c>
      <c r="H47" s="5">
        <f>IFERROR(
ROUND(
IF($A$2="COSTO",
   ((B47*(1+IFERROR(VLOOKUP($D$2,COLORES[],2,FALSE),0)))+E47)
   *(1-SUMPRODUCT(
        (DESC_PROV[LINEA]=$B$2)*
        (DESC_PROV[LISTA]=$C$2)*
        (DESC_PROV[DESCUENTO])
   )),
   ((B47*(1+IFERROR(VLOOKUP($D$2,COLORES[],2,FALSE),0)))+E47)
   *(1-SUMPRODUCT(
        (DESC_PROV[LINEA]=$B$2)*
        (DESC_PROV[LISTA]=$C$2)*
        (DESC_PROV[DESCUENTO])
   ))
   *(1+VLOOKUP($C$2,LISTAS[],2,FALSE))
   *(1+VLOOKUP($C$2,LISTAS[],3,FALSE))
)
/5,0)*5,0)</f>
        <v>120555</v>
      </c>
      <c r="I47" s="5">
        <f>IFERROR(
ROUND(
IF($A$2="COSTO",
   ((B47*(1+IFERROR(VLOOKUP($D$2,COLORES[],2,FALSE),0)))
   + C47
   + E47)
   *(1-SUMPRODUCT(
        (DESC_PROV[LINEA]=$B$2)*
        (DESC_PROV[LISTA]=$C$2)*
        (DESC_PROV[DESCUENTO])
   )),
   ((B47*(1+IFERROR(VLOOKUP($D$2,COLORES[],2,FALSE),0)))
   + C47
   + E47)
   *(1-SUMPRODUCT(
        (DESC_PROV[LINEA]=$B$2)*
        (DESC_PROV[LISTA]=$C$2)*
        (DESC_PROV[DESCUENTO])
   ))
   *(1+VLOOKUP($C$2,LISTAS[],2,FALSE))
   *(1+VLOOKUP($C$2,LISTAS[],3,FALSE))
)
/5,0)*5,0)</f>
        <v>152570</v>
      </c>
      <c r="J47" s="5">
        <f>IFERROR(
ROUND(
IF($A$2="COSTO",
   (D47*(1+IFERROR(VLOOKUP($D$2,COLORES[],2,FALSE),0)))
   *(1-SUMPRODUCT(
        (DESC_PROV[LINEA]=$B$2)*
        (DESC_PROV[LISTA]=$C$2)*
        (DESC_PROV[DESCUENTO])
   )),
   (D47*(1+IFERROR(VLOOKUP($D$2,COLORES[],2,FALSE),0)))
   *(1-SUMPRODUCT(
        (DESC_PROV[LINEA]=$B$2)*
        (DESC_PROV[LISTA]=$C$2)*
        (DESC_PROV[DESCUENTO])
   ))
   *(1+VLOOKUP($C$2,LISTAS[],2,FALSE))
   *(1+VLOOKUP($C$2,LISTAS[],4,FALSE))
)
/5,0)*5,0)</f>
        <v>49850</v>
      </c>
      <c r="K47" s="6">
        <f>IFERROR(
ROUND(
IF($A$2="COSTO",
   (B47*(1+IFERROR(VLOOKUP($D$2,COLORES[],2,FALSE),0))+E47)
   *(1+VLOOKUP($C$2,LISTAS[],5,FALSE))
   *(1-SUMPRODUCT(
        (DESC_PROV[LINEA]=$B$2)*
        (DESC_PROV[LISTA]=$C$2)*
        (DESC_PROV[DESCUENTO])
   )),
   (B47*(1+IFERROR(VLOOKUP($D$2,COLORES[],2,FALSE),0))+E47)
   *(1-SUMPRODUCT(
        (DESC_PROV[LINEA]=$B$2)*
        (DESC_PROV[LISTA]=$C$2)*
        (DESC_PROV[DESCUENTO])
   ))
   *(1+VLOOKUP($C$2,LISTAS[],5,FALSE))
   *(1+VLOOKUP($C$2,LISTAS[],2,FALSE))
   *(1+VLOOKUP($C$2,LISTAS[],3,FALSE))
)
/5,0)*5,0)</f>
        <v>156725</v>
      </c>
    </row>
    <row r="48" spans="1:11">
      <c r="A48" s="18" t="s">
        <v>72</v>
      </c>
      <c r="B48" s="3">
        <v>76790</v>
      </c>
      <c r="C48" s="3">
        <v>25813</v>
      </c>
      <c r="D48" s="3">
        <v>36792</v>
      </c>
      <c r="E48" s="7">
        <v>33336</v>
      </c>
      <c r="G48" s="21" t="s">
        <v>72</v>
      </c>
      <c r="H48" s="5">
        <f>IFERROR(
ROUND(
IF($A$2="COSTO",
   ((B48*(1+IFERROR(VLOOKUP($D$2,COLORES[],2,FALSE),0)))+E48)
   *(1-SUMPRODUCT(
        (DESC_PROV[LINEA]=$B$2)*
        (DESC_PROV[LISTA]=$C$2)*
        (DESC_PROV[DESCUENTO])
   )),
   ((B48*(1+IFERROR(VLOOKUP($D$2,COLORES[],2,FALSE),0)))+E48)
   *(1-SUMPRODUCT(
        (DESC_PROV[LINEA]=$B$2)*
        (DESC_PROV[LISTA]=$C$2)*
        (DESC_PROV[DESCUENTO])
   ))
   *(1+VLOOKUP($C$2,LISTAS[],2,FALSE))
   *(1+VLOOKUP($C$2,LISTAS[],3,FALSE))
)
/5,0)*5,0)</f>
        <v>136580</v>
      </c>
      <c r="I48" s="5">
        <f>IFERROR(
ROUND(
IF($A$2="COSTO",
   ((B48*(1+IFERROR(VLOOKUP($D$2,COLORES[],2,FALSE),0)))
   + C48
   + E48)
   *(1-SUMPRODUCT(
        (DESC_PROV[LINEA]=$B$2)*
        (DESC_PROV[LISTA]=$C$2)*
        (DESC_PROV[DESCUENTO])
   )),
   ((B48*(1+IFERROR(VLOOKUP($D$2,COLORES[],2,FALSE),0)))
   + C48
   + E48)
   *(1-SUMPRODUCT(
        (DESC_PROV[LINEA]=$B$2)*
        (DESC_PROV[LISTA]=$C$2)*
        (DESC_PROV[DESCUENTO])
   ))
   *(1+VLOOKUP($C$2,LISTAS[],2,FALSE))
   *(1+VLOOKUP($C$2,LISTAS[],3,FALSE))
)
/5,0)*5,0)</f>
        <v>168590</v>
      </c>
      <c r="J48" s="5">
        <f>IFERROR(
ROUND(
IF($A$2="COSTO",
   (D48*(1+IFERROR(VLOOKUP($D$2,COLORES[],2,FALSE),0)))
   *(1-SUMPRODUCT(
        (DESC_PROV[LINEA]=$B$2)*
        (DESC_PROV[LISTA]=$C$2)*
        (DESC_PROV[DESCUENTO])
   )),
   (D48*(1+IFERROR(VLOOKUP($D$2,COLORES[],2,FALSE),0)))
   *(1-SUMPRODUCT(
        (DESC_PROV[LINEA]=$B$2)*
        (DESC_PROV[LISTA]=$C$2)*
        (DESC_PROV[DESCUENTO])
   ))
   *(1+VLOOKUP($C$2,LISTAS[],2,FALSE))
   *(1+VLOOKUP($C$2,LISTAS[],4,FALSE))
)
/5,0)*5,0)</f>
        <v>56160</v>
      </c>
      <c r="K48" s="6">
        <f>IFERROR(
ROUND(
IF($A$2="COSTO",
   (B48*(1+IFERROR(VLOOKUP($D$2,COLORES[],2,FALSE),0))+E48)
   *(1+VLOOKUP($C$2,LISTAS[],5,FALSE))
   *(1-SUMPRODUCT(
        (DESC_PROV[LINEA]=$B$2)*
        (DESC_PROV[LISTA]=$C$2)*
        (DESC_PROV[DESCUENTO])
   )),
   (B48*(1+IFERROR(VLOOKUP($D$2,COLORES[],2,FALSE),0))+E48)
   *(1-SUMPRODUCT(
        (DESC_PROV[LINEA]=$B$2)*
        (DESC_PROV[LISTA]=$C$2)*
        (DESC_PROV[DESCUENTO])
   ))
   *(1+VLOOKUP($C$2,LISTAS[],5,FALSE))
   *(1+VLOOKUP($C$2,LISTAS[],2,FALSE))
   *(1+VLOOKUP($C$2,LISTAS[],3,FALSE))
)
/5,0)*5,0)</f>
        <v>177550</v>
      </c>
    </row>
    <row r="49" spans="1:11">
      <c r="A49" s="18" t="s">
        <v>73</v>
      </c>
      <c r="B49" s="3">
        <v>80340</v>
      </c>
      <c r="C49" s="3">
        <v>25813</v>
      </c>
      <c r="D49" s="3">
        <v>40925</v>
      </c>
      <c r="E49" s="7">
        <v>40482</v>
      </c>
      <c r="G49" s="21" t="s">
        <v>73</v>
      </c>
      <c r="H49" s="5">
        <f>IFERROR(
ROUND(
IF($A$2="COSTO",
   ((B49*(1+IFERROR(VLOOKUP($D$2,COLORES[],2,FALSE),0)))+E49)
   *(1-SUMPRODUCT(
        (DESC_PROV[LINEA]=$B$2)*
        (DESC_PROV[LISTA]=$C$2)*
        (DESC_PROV[DESCUENTO])
   )),
   ((B49*(1+IFERROR(VLOOKUP($D$2,COLORES[],2,FALSE),0)))+E49)
   *(1-SUMPRODUCT(
        (DESC_PROV[LINEA]=$B$2)*
        (DESC_PROV[LISTA]=$C$2)*
        (DESC_PROV[DESCUENTO])
   ))
   *(1+VLOOKUP($C$2,LISTAS[],2,FALSE))
   *(1+VLOOKUP($C$2,LISTAS[],3,FALSE))
)
/5,0)*5,0)</f>
        <v>149845</v>
      </c>
      <c r="I49" s="5">
        <f>IFERROR(
ROUND(
IF($A$2="COSTO",
   ((B49*(1+IFERROR(VLOOKUP($D$2,COLORES[],2,FALSE),0)))
   + C49
   + E49)
   *(1-SUMPRODUCT(
        (DESC_PROV[LINEA]=$B$2)*
        (DESC_PROV[LISTA]=$C$2)*
        (DESC_PROV[DESCUENTO])
   )),
   ((B49*(1+IFERROR(VLOOKUP($D$2,COLORES[],2,FALSE),0)))
   + C49
   + E49)
   *(1-SUMPRODUCT(
        (DESC_PROV[LINEA]=$B$2)*
        (DESC_PROV[LISTA]=$C$2)*
        (DESC_PROV[DESCUENTO])
   ))
   *(1+VLOOKUP($C$2,LISTAS[],2,FALSE))
   *(1+VLOOKUP($C$2,LISTAS[],3,FALSE))
)
/5,0)*5,0)</f>
        <v>181855</v>
      </c>
      <c r="J49" s="5">
        <f>IFERROR(
ROUND(
IF($A$2="COSTO",
   (D49*(1+IFERROR(VLOOKUP($D$2,COLORES[],2,FALSE),0)))
   *(1-SUMPRODUCT(
        (DESC_PROV[LINEA]=$B$2)*
        (DESC_PROV[LISTA]=$C$2)*
        (DESC_PROV[DESCUENTO])
   )),
   (D49*(1+IFERROR(VLOOKUP($D$2,COLORES[],2,FALSE),0)))
   *(1-SUMPRODUCT(
        (DESC_PROV[LINEA]=$B$2)*
        (DESC_PROV[LISTA]=$C$2)*
        (DESC_PROV[DESCUENTO])
   ))
   *(1+VLOOKUP($C$2,LISTAS[],2,FALSE))
   *(1+VLOOKUP($C$2,LISTAS[],4,FALSE))
)
/5,0)*5,0)</f>
        <v>62470</v>
      </c>
      <c r="K49" s="6">
        <f>IFERROR(
ROUND(
IF($A$2="COSTO",
   (B49*(1+IFERROR(VLOOKUP($D$2,COLORES[],2,FALSE),0))+E49)
   *(1+VLOOKUP($C$2,LISTAS[],5,FALSE))
   *(1-SUMPRODUCT(
        (DESC_PROV[LINEA]=$B$2)*
        (DESC_PROV[LISTA]=$C$2)*
        (DESC_PROV[DESCUENTO])
   )),
   (B49*(1+IFERROR(VLOOKUP($D$2,COLORES[],2,FALSE),0))+E49)
   *(1-SUMPRODUCT(
        (DESC_PROV[LINEA]=$B$2)*
        (DESC_PROV[LISTA]=$C$2)*
        (DESC_PROV[DESCUENTO])
   ))
   *(1+VLOOKUP($C$2,LISTAS[],5,FALSE))
   *(1+VLOOKUP($C$2,LISTAS[],2,FALSE))
   *(1+VLOOKUP($C$2,LISTAS[],3,FALSE))
)
/5,0)*5,0)</f>
        <v>194795</v>
      </c>
    </row>
    <row r="50" spans="1:11">
      <c r="A50" s="18" t="s">
        <v>74</v>
      </c>
      <c r="B50" s="3">
        <v>87942</v>
      </c>
      <c r="C50" s="3">
        <v>25813</v>
      </c>
      <c r="D50" s="3">
        <v>43680</v>
      </c>
      <c r="E50" s="7">
        <v>45246</v>
      </c>
      <c r="G50" s="21" t="s">
        <v>74</v>
      </c>
      <c r="H50" s="5">
        <f>IFERROR(
ROUND(
IF($A$2="COSTO",
   ((B50*(1+IFERROR(VLOOKUP($D$2,COLORES[],2,FALSE),0)))+E50)
   *(1-SUMPRODUCT(
        (DESC_PROV[LINEA]=$B$2)*
        (DESC_PROV[LISTA]=$C$2)*
        (DESC_PROV[DESCUENTO])
   )),
   ((B50*(1+IFERROR(VLOOKUP($D$2,COLORES[],2,FALSE),0)))+E50)
   *(1-SUMPRODUCT(
        (DESC_PROV[LINEA]=$B$2)*
        (DESC_PROV[LISTA]=$C$2)*
        (DESC_PROV[DESCUENTO])
   ))
   *(1+VLOOKUP($C$2,LISTAS[],2,FALSE))
   *(1+VLOOKUP($C$2,LISTAS[],3,FALSE))
)
/5,0)*5,0)</f>
        <v>165180</v>
      </c>
      <c r="I50" s="5">
        <f>IFERROR(
ROUND(
IF($A$2="COSTO",
   ((B50*(1+IFERROR(VLOOKUP($D$2,COLORES[],2,FALSE),0)))
   + C50
   + E50)
   *(1-SUMPRODUCT(
        (DESC_PROV[LINEA]=$B$2)*
        (DESC_PROV[LISTA]=$C$2)*
        (DESC_PROV[DESCUENTO])
   )),
   ((B50*(1+IFERROR(VLOOKUP($D$2,COLORES[],2,FALSE),0)))
   + C50
   + E50)
   *(1-SUMPRODUCT(
        (DESC_PROV[LINEA]=$B$2)*
        (DESC_PROV[LISTA]=$C$2)*
        (DESC_PROV[DESCUENTO])
   ))
   *(1+VLOOKUP($C$2,LISTAS[],2,FALSE))
   *(1+VLOOKUP($C$2,LISTAS[],3,FALSE))
)
/5,0)*5,0)</f>
        <v>197195</v>
      </c>
      <c r="J50" s="5">
        <f>IFERROR(
ROUND(
IF($A$2="COSTO",
   (D50*(1+IFERROR(VLOOKUP($D$2,COLORES[],2,FALSE),0)))
   *(1-SUMPRODUCT(
        (DESC_PROV[LINEA]=$B$2)*
        (DESC_PROV[LISTA]=$C$2)*
        (DESC_PROV[DESCUENTO])
   )),
   (D50*(1+IFERROR(VLOOKUP($D$2,COLORES[],2,FALSE),0)))
   *(1-SUMPRODUCT(
        (DESC_PROV[LINEA]=$B$2)*
        (DESC_PROV[LISTA]=$C$2)*
        (DESC_PROV[DESCUENTO])
   ))
   *(1+VLOOKUP($C$2,LISTAS[],2,FALSE))
   *(1+VLOOKUP($C$2,LISTAS[],4,FALSE))
)
/5,0)*5,0)</f>
        <v>66675</v>
      </c>
      <c r="K50" s="6">
        <f>IFERROR(
ROUND(
IF($A$2="COSTO",
   (B50*(1+IFERROR(VLOOKUP($D$2,COLORES[],2,FALSE),0))+E50)
   *(1+VLOOKUP($C$2,LISTAS[],5,FALSE))
   *(1-SUMPRODUCT(
        (DESC_PROV[LINEA]=$B$2)*
        (DESC_PROV[LISTA]=$C$2)*
        (DESC_PROV[DESCUENTO])
   )),
   (B50*(1+IFERROR(VLOOKUP($D$2,COLORES[],2,FALSE),0))+E50)
   *(1-SUMPRODUCT(
        (DESC_PROV[LINEA]=$B$2)*
        (DESC_PROV[LISTA]=$C$2)*
        (DESC_PROV[DESCUENTO])
   ))
   *(1+VLOOKUP($C$2,LISTAS[],5,FALSE))
   *(1+VLOOKUP($C$2,LISTAS[],2,FALSE))
   *(1+VLOOKUP($C$2,LISTAS[],3,FALSE))
)
/5,0)*5,0)</f>
        <v>214735</v>
      </c>
    </row>
    <row r="51" spans="1:11">
      <c r="A51" s="18" t="s">
        <v>75</v>
      </c>
      <c r="B51" s="3">
        <v>90649</v>
      </c>
      <c r="C51" s="3">
        <v>25813</v>
      </c>
      <c r="D51" s="3">
        <v>46435</v>
      </c>
      <c r="E51" s="7">
        <v>50004</v>
      </c>
      <c r="G51" s="21" t="s">
        <v>75</v>
      </c>
      <c r="H51" s="5">
        <f>IFERROR(
ROUND(
IF($A$2="COSTO",
   ((B51*(1+IFERROR(VLOOKUP($D$2,COLORES[],2,FALSE),0)))+E51)
   *(1-SUMPRODUCT(
        (DESC_PROV[LINEA]=$B$2)*
        (DESC_PROV[LISTA]=$C$2)*
        (DESC_PROV[DESCUENTO])
   )),
   ((B51*(1+IFERROR(VLOOKUP($D$2,COLORES[],2,FALSE),0)))+E51)
   *(1-SUMPRODUCT(
        (DESC_PROV[LINEA]=$B$2)*
        (DESC_PROV[LISTA]=$C$2)*
        (DESC_PROV[DESCUENTO])
   ))
   *(1+VLOOKUP($C$2,LISTAS[],2,FALSE))
   *(1+VLOOKUP($C$2,LISTAS[],3,FALSE))
)
/5,0)*5,0)</f>
        <v>174440</v>
      </c>
      <c r="I51" s="5">
        <f>IFERROR(
ROUND(
IF($A$2="COSTO",
   ((B51*(1+IFERROR(VLOOKUP($D$2,COLORES[],2,FALSE),0)))
   + C51
   + E51)
   *(1-SUMPRODUCT(
        (DESC_PROV[LINEA]=$B$2)*
        (DESC_PROV[LISTA]=$C$2)*
        (DESC_PROV[DESCUENTO])
   )),
   ((B51*(1+IFERROR(VLOOKUP($D$2,COLORES[],2,FALSE),0)))
   + C51
   + E51)
   *(1-SUMPRODUCT(
        (DESC_PROV[LINEA]=$B$2)*
        (DESC_PROV[LISTA]=$C$2)*
        (DESC_PROV[DESCUENTO])
   ))
   *(1+VLOOKUP($C$2,LISTAS[],2,FALSE))
   *(1+VLOOKUP($C$2,LISTAS[],3,FALSE))
)
/5,0)*5,0)</f>
        <v>206450</v>
      </c>
      <c r="J51" s="5">
        <f>IFERROR(
ROUND(
IF($A$2="COSTO",
   (D51*(1+IFERROR(VLOOKUP($D$2,COLORES[],2,FALSE),0)))
   *(1-SUMPRODUCT(
        (DESC_PROV[LINEA]=$B$2)*
        (DESC_PROV[LISTA]=$C$2)*
        (DESC_PROV[DESCUENTO])
   )),
   (D51*(1+IFERROR(VLOOKUP($D$2,COLORES[],2,FALSE),0)))
   *(1-SUMPRODUCT(
        (DESC_PROV[LINEA]=$B$2)*
        (DESC_PROV[LISTA]=$C$2)*
        (DESC_PROV[DESCUENTO])
   ))
   *(1+VLOOKUP($C$2,LISTAS[],2,FALSE))
   *(1+VLOOKUP($C$2,LISTAS[],4,FALSE))
)
/5,0)*5,0)</f>
        <v>70880</v>
      </c>
      <c r="K51" s="6">
        <f>IFERROR(
ROUND(
IF($A$2="COSTO",
   (B51*(1+IFERROR(VLOOKUP($D$2,COLORES[],2,FALSE),0))+E51)
   *(1+VLOOKUP($C$2,LISTAS[],5,FALSE))
   *(1-SUMPRODUCT(
        (DESC_PROV[LINEA]=$B$2)*
        (DESC_PROV[LISTA]=$C$2)*
        (DESC_PROV[DESCUENTO])
   )),
   (B51*(1+IFERROR(VLOOKUP($D$2,COLORES[],2,FALSE),0))+E51)
   *(1-SUMPRODUCT(
        (DESC_PROV[LINEA]=$B$2)*
        (DESC_PROV[LISTA]=$C$2)*
        (DESC_PROV[DESCUENTO])
   ))
   *(1+VLOOKUP($C$2,LISTAS[],5,FALSE))
   *(1+VLOOKUP($C$2,LISTAS[],2,FALSE))
   *(1+VLOOKUP($C$2,LISTAS[],3,FALSE))
)
/5,0)*5,0)</f>
        <v>226770</v>
      </c>
    </row>
    <row r="52" spans="1:11">
      <c r="A52" s="18" t="s">
        <v>76</v>
      </c>
      <c r="B52" s="3">
        <v>94129</v>
      </c>
      <c r="C52" s="3">
        <v>25813</v>
      </c>
      <c r="D52" s="3">
        <v>49190</v>
      </c>
      <c r="E52" s="7">
        <v>54774</v>
      </c>
      <c r="G52" s="21" t="s">
        <v>76</v>
      </c>
      <c r="H52" s="5">
        <f>IFERROR(
ROUND(
IF($A$2="COSTO",
   ((B52*(1+IFERROR(VLOOKUP($D$2,COLORES[],2,FALSE),0)))+E52)
   *(1-SUMPRODUCT(
        (DESC_PROV[LINEA]=$B$2)*
        (DESC_PROV[LISTA]=$C$2)*
        (DESC_PROV[DESCUENTO])
   )),
   ((B52*(1+IFERROR(VLOOKUP($D$2,COLORES[],2,FALSE),0)))+E52)
   *(1-SUMPRODUCT(
        (DESC_PROV[LINEA]=$B$2)*
        (DESC_PROV[LISTA]=$C$2)*
        (DESC_PROV[DESCUENTO])
   ))
   *(1+VLOOKUP($C$2,LISTAS[],2,FALSE))
   *(1+VLOOKUP($C$2,LISTAS[],3,FALSE))
)
/5,0)*5,0)</f>
        <v>184670</v>
      </c>
      <c r="I52" s="5">
        <f>IFERROR(
ROUND(
IF($A$2="COSTO",
   ((B52*(1+IFERROR(VLOOKUP($D$2,COLORES[],2,FALSE),0)))
   + C52
   + E52)
   *(1-SUMPRODUCT(
        (DESC_PROV[LINEA]=$B$2)*
        (DESC_PROV[LISTA]=$C$2)*
        (DESC_PROV[DESCUENTO])
   )),
   ((B52*(1+IFERROR(VLOOKUP($D$2,COLORES[],2,FALSE),0)))
   + C52
   + E52)
   *(1-SUMPRODUCT(
        (DESC_PROV[LINEA]=$B$2)*
        (DESC_PROV[LISTA]=$C$2)*
        (DESC_PROV[DESCUENTO])
   ))
   *(1+VLOOKUP($C$2,LISTAS[],2,FALSE))
   *(1+VLOOKUP($C$2,LISTAS[],3,FALSE))
)
/5,0)*5,0)</f>
        <v>216685</v>
      </c>
      <c r="J52" s="5">
        <f>IFERROR(
ROUND(
IF($A$2="COSTO",
   (D52*(1+IFERROR(VLOOKUP($D$2,COLORES[],2,FALSE),0)))
   *(1-SUMPRODUCT(
        (DESC_PROV[LINEA]=$B$2)*
        (DESC_PROV[LISTA]=$C$2)*
        (DESC_PROV[DESCUENTO])
   )),
   (D52*(1+IFERROR(VLOOKUP($D$2,COLORES[],2,FALSE),0)))
   *(1-SUMPRODUCT(
        (DESC_PROV[LINEA]=$B$2)*
        (DESC_PROV[LISTA]=$C$2)*
        (DESC_PROV[DESCUENTO])
   ))
   *(1+VLOOKUP($C$2,LISTAS[],2,FALSE))
   *(1+VLOOKUP($C$2,LISTAS[],4,FALSE))
)
/5,0)*5,0)</f>
        <v>75085</v>
      </c>
      <c r="K52" s="6">
        <f>IFERROR(
ROUND(
IF($A$2="COSTO",
   (B52*(1+IFERROR(VLOOKUP($D$2,COLORES[],2,FALSE),0))+E52)
   *(1+VLOOKUP($C$2,LISTAS[],5,FALSE))
   *(1-SUMPRODUCT(
        (DESC_PROV[LINEA]=$B$2)*
        (DESC_PROV[LISTA]=$C$2)*
        (DESC_PROV[DESCUENTO])
   )),
   (B52*(1+IFERROR(VLOOKUP($D$2,COLORES[],2,FALSE),0))+E52)
   *(1-SUMPRODUCT(
        (DESC_PROV[LINEA]=$B$2)*
        (DESC_PROV[LISTA]=$C$2)*
        (DESC_PROV[DESCUENTO])
   ))
   *(1+VLOOKUP($C$2,LISTAS[],5,FALSE))
   *(1+VLOOKUP($C$2,LISTAS[],2,FALSE))
   *(1+VLOOKUP($C$2,LISTAS[],3,FALSE))
)
/5,0)*5,0)</f>
        <v>240070</v>
      </c>
    </row>
    <row r="53" spans="1:11">
      <c r="A53" s="18" t="s">
        <v>17</v>
      </c>
      <c r="B53" s="3">
        <v>86650</v>
      </c>
      <c r="C53" s="3">
        <v>34418</v>
      </c>
      <c r="D53" s="3">
        <v>38080</v>
      </c>
      <c r="E53" s="7">
        <v>29088</v>
      </c>
      <c r="G53" s="21" t="s">
        <v>17</v>
      </c>
      <c r="H53" s="5">
        <f>IFERROR(
ROUND(
IF($A$2="COSTO",
   ((B53*(1+IFERROR(VLOOKUP($D$2,COLORES[],2,FALSE),0)))+E53)
   *(1-SUMPRODUCT(
        (DESC_PROV[LINEA]=$B$2)*
        (DESC_PROV[LISTA]=$C$2)*
        (DESC_PROV[DESCUENTO])
   )),
   ((B53*(1+IFERROR(VLOOKUP($D$2,COLORES[],2,FALSE),0)))+E53)
   *(1-SUMPRODUCT(
        (DESC_PROV[LINEA]=$B$2)*
        (DESC_PROV[LISTA]=$C$2)*
        (DESC_PROV[DESCUENTO])
   ))
   *(1+VLOOKUP($C$2,LISTAS[],2,FALSE))
   *(1+VLOOKUP($C$2,LISTAS[],3,FALSE))
)
/5,0)*5,0)</f>
        <v>143540</v>
      </c>
      <c r="I53" s="5">
        <f>IFERROR(
ROUND(
IF($A$2="COSTO",
   ((B53*(1+IFERROR(VLOOKUP($D$2,COLORES[],2,FALSE),0)))
   + C53
   + E53)
   *(1-SUMPRODUCT(
        (DESC_PROV[LINEA]=$B$2)*
        (DESC_PROV[LISTA]=$C$2)*
        (DESC_PROV[DESCUENTO])
   )),
   ((B53*(1+IFERROR(VLOOKUP($D$2,COLORES[],2,FALSE),0)))
   + C53
   + E53)
   *(1-SUMPRODUCT(
        (DESC_PROV[LINEA]=$B$2)*
        (DESC_PROV[LISTA]=$C$2)*
        (DESC_PROV[DESCUENTO])
   ))
   *(1+VLOOKUP($C$2,LISTAS[],2,FALSE))
   *(1+VLOOKUP($C$2,LISTAS[],3,FALSE))
)
/5,0)*5,0)</f>
        <v>186225</v>
      </c>
      <c r="J53" s="5">
        <f>IFERROR(
ROUND(
IF($A$2="COSTO",
   (D53*(1+IFERROR(VLOOKUP($D$2,COLORES[],2,FALSE),0)))
   *(1-SUMPRODUCT(
        (DESC_PROV[LINEA]=$B$2)*
        (DESC_PROV[LISTA]=$C$2)*
        (DESC_PROV[DESCUENTO])
   )),
   (D53*(1+IFERROR(VLOOKUP($D$2,COLORES[],2,FALSE),0)))
   *(1-SUMPRODUCT(
        (DESC_PROV[LINEA]=$B$2)*
        (DESC_PROV[LISTA]=$C$2)*
        (DESC_PROV[DESCUENTO])
   ))
   *(1+VLOOKUP($C$2,LISTAS[],2,FALSE))
   *(1+VLOOKUP($C$2,LISTAS[],4,FALSE))
)
/5,0)*5,0)</f>
        <v>58125</v>
      </c>
      <c r="K53" s="6">
        <f>IFERROR(
ROUND(
IF($A$2="COSTO",
   (B53*(1+IFERROR(VLOOKUP($D$2,COLORES[],2,FALSE),0))+E53)
   *(1+VLOOKUP($C$2,LISTAS[],5,FALSE))
   *(1-SUMPRODUCT(
        (DESC_PROV[LINEA]=$B$2)*
        (DESC_PROV[LISTA]=$C$2)*
        (DESC_PROV[DESCUENTO])
   )),
   (B53*(1+IFERROR(VLOOKUP($D$2,COLORES[],2,FALSE),0))+E53)
   *(1-SUMPRODUCT(
        (DESC_PROV[LINEA]=$B$2)*
        (DESC_PROV[LISTA]=$C$2)*
        (DESC_PROV[DESCUENTO])
   ))
   *(1+VLOOKUP($C$2,LISTAS[],5,FALSE))
   *(1+VLOOKUP($C$2,LISTAS[],2,FALSE))
   *(1+VLOOKUP($C$2,LISTAS[],3,FALSE))
)
/5,0)*5,0)</f>
        <v>186600</v>
      </c>
    </row>
    <row r="54" spans="1:11">
      <c r="A54" s="18" t="s">
        <v>83</v>
      </c>
      <c r="B54" s="3">
        <v>92782</v>
      </c>
      <c r="C54" s="3">
        <v>34418</v>
      </c>
      <c r="D54" s="3">
        <v>41395</v>
      </c>
      <c r="E54" s="7">
        <v>35550</v>
      </c>
      <c r="G54" s="21" t="s">
        <v>83</v>
      </c>
      <c r="H54" s="5">
        <f>IFERROR(
ROUND(
IF($A$2="COSTO",
   ((B54*(1+IFERROR(VLOOKUP($D$2,COLORES[],2,FALSE),0)))+E54)
   *(1-SUMPRODUCT(
        (DESC_PROV[LINEA]=$B$2)*
        (DESC_PROV[LISTA]=$C$2)*
        (DESC_PROV[DESCUENTO])
   )),
   ((B54*(1+IFERROR(VLOOKUP($D$2,COLORES[],2,FALSE),0)))+E54)
   *(1-SUMPRODUCT(
        (DESC_PROV[LINEA]=$B$2)*
        (DESC_PROV[LISTA]=$C$2)*
        (DESC_PROV[DESCUENTO])
   ))
   *(1+VLOOKUP($C$2,LISTAS[],2,FALSE))
   *(1+VLOOKUP($C$2,LISTAS[],3,FALSE))
)
/5,0)*5,0)</f>
        <v>159155</v>
      </c>
      <c r="I54" s="5">
        <f>IFERROR(
ROUND(
IF($A$2="COSTO",
   ((B54*(1+IFERROR(VLOOKUP($D$2,COLORES[],2,FALSE),0)))
   + C54
   + E54)
   *(1-SUMPRODUCT(
        (DESC_PROV[LINEA]=$B$2)*
        (DESC_PROV[LISTA]=$C$2)*
        (DESC_PROV[DESCUENTO])
   )),
   ((B54*(1+IFERROR(VLOOKUP($D$2,COLORES[],2,FALSE),0)))
   + C54
   + E54)
   *(1-SUMPRODUCT(
        (DESC_PROV[LINEA]=$B$2)*
        (DESC_PROV[LISTA]=$C$2)*
        (DESC_PROV[DESCUENTO])
   ))
   *(1+VLOOKUP($C$2,LISTAS[],2,FALSE))
   *(1+VLOOKUP($C$2,LISTAS[],3,FALSE))
)
/5,0)*5,0)</f>
        <v>201845</v>
      </c>
      <c r="J54" s="5">
        <f>IFERROR(
ROUND(
IF($A$2="COSTO",
   (D54*(1+IFERROR(VLOOKUP($D$2,COLORES[],2,FALSE),0)))
   *(1-SUMPRODUCT(
        (DESC_PROV[LINEA]=$B$2)*
        (DESC_PROV[LISTA]=$C$2)*
        (DESC_PROV[DESCUENTO])
   )),
   (D54*(1+IFERROR(VLOOKUP($D$2,COLORES[],2,FALSE),0)))
   *(1-SUMPRODUCT(
        (DESC_PROV[LINEA]=$B$2)*
        (DESC_PROV[LISTA]=$C$2)*
        (DESC_PROV[DESCUENTO])
   ))
   *(1+VLOOKUP($C$2,LISTAS[],2,FALSE))
   *(1+VLOOKUP($C$2,LISTAS[],4,FALSE))
)
/5,0)*5,0)</f>
        <v>63185</v>
      </c>
      <c r="K54" s="6">
        <f>IFERROR(
ROUND(
IF($A$2="COSTO",
   (B54*(1+IFERROR(VLOOKUP($D$2,COLORES[],2,FALSE),0))+E54)
   *(1+VLOOKUP($C$2,LISTAS[],5,FALSE))
   *(1-SUMPRODUCT(
        (DESC_PROV[LINEA]=$B$2)*
        (DESC_PROV[LISTA]=$C$2)*
        (DESC_PROV[DESCUENTO])
   )),
   (B54*(1+IFERROR(VLOOKUP($D$2,COLORES[],2,FALSE),0))+E54)
   *(1-SUMPRODUCT(
        (DESC_PROV[LINEA]=$B$2)*
        (DESC_PROV[LISTA]=$C$2)*
        (DESC_PROV[DESCUENTO])
   ))
   *(1+VLOOKUP($C$2,LISTAS[],5,FALSE))
   *(1+VLOOKUP($C$2,LISTAS[],2,FALSE))
   *(1+VLOOKUP($C$2,LISTAS[],3,FALSE))
)
/5,0)*5,0)</f>
        <v>206905</v>
      </c>
    </row>
    <row r="55" spans="1:11">
      <c r="A55" s="18" t="s">
        <v>84</v>
      </c>
      <c r="B55" s="3">
        <v>101660</v>
      </c>
      <c r="C55" s="3">
        <v>34418</v>
      </c>
      <c r="D55" s="3">
        <v>46368</v>
      </c>
      <c r="E55" s="7">
        <v>47628</v>
      </c>
      <c r="G55" s="21" t="s">
        <v>84</v>
      </c>
      <c r="H55" s="5">
        <f>IFERROR(
ROUND(
IF($A$2="COSTO",
   ((B55*(1+IFERROR(VLOOKUP($D$2,COLORES[],2,FALSE),0)))+E55)
   *(1-SUMPRODUCT(
        (DESC_PROV[LINEA]=$B$2)*
        (DESC_PROV[LISTA]=$C$2)*
        (DESC_PROV[DESCUENTO])
   )),
   ((B55*(1+IFERROR(VLOOKUP($D$2,COLORES[],2,FALSE),0)))+E55)
   *(1-SUMPRODUCT(
        (DESC_PROV[LINEA]=$B$2)*
        (DESC_PROV[LISTA]=$C$2)*
        (DESC_PROV[DESCUENTO])
   ))
   *(1+VLOOKUP($C$2,LISTAS[],2,FALSE))
   *(1+VLOOKUP($C$2,LISTAS[],3,FALSE))
)
/5,0)*5,0)</f>
        <v>185145</v>
      </c>
      <c r="I55" s="5">
        <f>IFERROR(
ROUND(
IF($A$2="COSTO",
   ((B55*(1+IFERROR(VLOOKUP($D$2,COLORES[],2,FALSE),0)))
   + C55
   + E55)
   *(1-SUMPRODUCT(
        (DESC_PROV[LINEA]=$B$2)*
        (DESC_PROV[LISTA]=$C$2)*
        (DESC_PROV[DESCUENTO])
   )),
   ((B55*(1+IFERROR(VLOOKUP($D$2,COLORES[],2,FALSE),0)))
   + C55
   + E55)
   *(1-SUMPRODUCT(
        (DESC_PROV[LINEA]=$B$2)*
        (DESC_PROV[LISTA]=$C$2)*
        (DESC_PROV[DESCUENTO])
   ))
   *(1+VLOOKUP($C$2,LISTAS[],2,FALSE))
   *(1+VLOOKUP($C$2,LISTAS[],3,FALSE))
)
/5,0)*5,0)</f>
        <v>227830</v>
      </c>
      <c r="J55" s="5">
        <f>IFERROR(
ROUND(
IF($A$2="COSTO",
   (D55*(1+IFERROR(VLOOKUP($D$2,COLORES[],2,FALSE),0)))
   *(1-SUMPRODUCT(
        (DESC_PROV[LINEA]=$B$2)*
        (DESC_PROV[LISTA]=$C$2)*
        (DESC_PROV[DESCUENTO])
   )),
   (D55*(1+IFERROR(VLOOKUP($D$2,COLORES[],2,FALSE),0)))
   *(1-SUMPRODUCT(
        (DESC_PROV[LINEA]=$B$2)*
        (DESC_PROV[LISTA]=$C$2)*
        (DESC_PROV[DESCUENTO])
   ))
   *(1+VLOOKUP($C$2,LISTAS[],2,FALSE))
   *(1+VLOOKUP($C$2,LISTAS[],4,FALSE))
)
/5,0)*5,0)</f>
        <v>70775</v>
      </c>
      <c r="K55" s="6">
        <f>IFERROR(
ROUND(
IF($A$2="COSTO",
   (B55*(1+IFERROR(VLOOKUP($D$2,COLORES[],2,FALSE),0))+E55)
   *(1+VLOOKUP($C$2,LISTAS[],5,FALSE))
   *(1-SUMPRODUCT(
        (DESC_PROV[LINEA]=$B$2)*
        (DESC_PROV[LISTA]=$C$2)*
        (DESC_PROV[DESCUENTO])
   )),
   (B55*(1+IFERROR(VLOOKUP($D$2,COLORES[],2,FALSE),0))+E55)
   *(1-SUMPRODUCT(
        (DESC_PROV[LINEA]=$B$2)*
        (DESC_PROV[LISTA]=$C$2)*
        (DESC_PROV[DESCUENTO])
   ))
   *(1+VLOOKUP($C$2,LISTAS[],5,FALSE))
   *(1+VLOOKUP($C$2,LISTAS[],2,FALSE))
   *(1+VLOOKUP($C$2,LISTAS[],3,FALSE))
)
/5,0)*5,0)</f>
        <v>240690</v>
      </c>
    </row>
    <row r="56" spans="1:11">
      <c r="A56" s="18" t="s">
        <v>85</v>
      </c>
      <c r="B56" s="3">
        <v>109037</v>
      </c>
      <c r="C56" s="3">
        <v>34418</v>
      </c>
      <c r="D56" s="3">
        <v>51341</v>
      </c>
      <c r="E56" s="7">
        <v>57834</v>
      </c>
      <c r="G56" s="21" t="s">
        <v>85</v>
      </c>
      <c r="H56" s="5">
        <f>IFERROR(
ROUND(
IF($A$2="COSTO",
   ((B56*(1+IFERROR(VLOOKUP($D$2,COLORES[],2,FALSE),0)))+E56)
   *(1-SUMPRODUCT(
        (DESC_PROV[LINEA]=$B$2)*
        (DESC_PROV[LISTA]=$C$2)*
        (DESC_PROV[DESCUENTO])
   )),
   ((B56*(1+IFERROR(VLOOKUP($D$2,COLORES[],2,FALSE),0)))+E56)
   *(1-SUMPRODUCT(
        (DESC_PROV[LINEA]=$B$2)*
        (DESC_PROV[LISTA]=$C$2)*
        (DESC_PROV[DESCUENTO])
   ))
   *(1+VLOOKUP($C$2,LISTAS[],2,FALSE))
   *(1+VLOOKUP($C$2,LISTAS[],3,FALSE))
)
/5,0)*5,0)</f>
        <v>206955</v>
      </c>
      <c r="I56" s="5">
        <f>IFERROR(
ROUND(
IF($A$2="COSTO",
   ((B56*(1+IFERROR(VLOOKUP($D$2,COLORES[],2,FALSE),0)))
   + C56
   + E56)
   *(1-SUMPRODUCT(
        (DESC_PROV[LINEA]=$B$2)*
        (DESC_PROV[LISTA]=$C$2)*
        (DESC_PROV[DESCUENTO])
   )),
   ((B56*(1+IFERROR(VLOOKUP($D$2,COLORES[],2,FALSE),0)))
   + C56
   + E56)
   *(1-SUMPRODUCT(
        (DESC_PROV[LINEA]=$B$2)*
        (DESC_PROV[LISTA]=$C$2)*
        (DESC_PROV[DESCUENTO])
   ))
   *(1+VLOOKUP($C$2,LISTAS[],2,FALSE))
   *(1+VLOOKUP($C$2,LISTAS[],3,FALSE))
)
/5,0)*5,0)</f>
        <v>249640</v>
      </c>
      <c r="J56" s="5">
        <f>IFERROR(
ROUND(
IF($A$2="COSTO",
   (D56*(1+IFERROR(VLOOKUP($D$2,COLORES[],2,FALSE),0)))
   *(1-SUMPRODUCT(
        (DESC_PROV[LINEA]=$B$2)*
        (DESC_PROV[LISTA]=$C$2)*
        (DESC_PROV[DESCUENTO])
   )),
   (D56*(1+IFERROR(VLOOKUP($D$2,COLORES[],2,FALSE),0)))
   *(1-SUMPRODUCT(
        (DESC_PROV[LINEA]=$B$2)*
        (DESC_PROV[LISTA]=$C$2)*
        (DESC_PROV[DESCUENTO])
   ))
   *(1+VLOOKUP($C$2,LISTAS[],2,FALSE))
   *(1+VLOOKUP($C$2,LISTAS[],4,FALSE))
)
/5,0)*5,0)</f>
        <v>78365</v>
      </c>
      <c r="K56" s="6">
        <f>IFERROR(
ROUND(
IF($A$2="COSTO",
   (B56*(1+IFERROR(VLOOKUP($D$2,COLORES[],2,FALSE),0))+E56)
   *(1+VLOOKUP($C$2,LISTAS[],5,FALSE))
   *(1-SUMPRODUCT(
        (DESC_PROV[LINEA]=$B$2)*
        (DESC_PROV[LISTA]=$C$2)*
        (DESC_PROV[DESCUENTO])
   )),
   (B56*(1+IFERROR(VLOOKUP($D$2,COLORES[],2,FALSE),0))+E56)
   *(1-SUMPRODUCT(
        (DESC_PROV[LINEA]=$B$2)*
        (DESC_PROV[LISTA]=$C$2)*
        (DESC_PROV[DESCUENTO])
   ))
   *(1+VLOOKUP($C$2,LISTAS[],5,FALSE))
   *(1+VLOOKUP($C$2,LISTAS[],2,FALSE))
   *(1+VLOOKUP($C$2,LISTAS[],3,FALSE))
)
/5,0)*5,0)</f>
        <v>269040</v>
      </c>
    </row>
    <row r="57" spans="1:11">
      <c r="A57" s="18" t="s">
        <v>86</v>
      </c>
      <c r="B57" s="3">
        <v>116081</v>
      </c>
      <c r="C57" s="3">
        <v>34418</v>
      </c>
      <c r="D57" s="3">
        <v>54656</v>
      </c>
      <c r="E57" s="7">
        <v>64638</v>
      </c>
      <c r="G57" s="21" t="s">
        <v>86</v>
      </c>
      <c r="H57" s="5">
        <f>IFERROR(
ROUND(
IF($A$2="COSTO",
   ((B57*(1+IFERROR(VLOOKUP($D$2,COLORES[],2,FALSE),0)))+E57)
   *(1-SUMPRODUCT(
        (DESC_PROV[LINEA]=$B$2)*
        (DESC_PROV[LISTA]=$C$2)*
        (DESC_PROV[DESCUENTO])
   )),
   ((B57*(1+IFERROR(VLOOKUP($D$2,COLORES[],2,FALSE),0)))+E57)
   *(1-SUMPRODUCT(
        (DESC_PROV[LINEA]=$B$2)*
        (DESC_PROV[LISTA]=$C$2)*
        (DESC_PROV[DESCUENTO])
   ))
   *(1+VLOOKUP($C$2,LISTAS[],2,FALSE))
   *(1+VLOOKUP($C$2,LISTAS[],3,FALSE))
)
/5,0)*5,0)</f>
        <v>224130</v>
      </c>
      <c r="I57" s="5">
        <f>IFERROR(
ROUND(
IF($A$2="COSTO",
   ((B57*(1+IFERROR(VLOOKUP($D$2,COLORES[],2,FALSE),0)))
   + C57
   + E57)
   *(1-SUMPRODUCT(
        (DESC_PROV[LINEA]=$B$2)*
        (DESC_PROV[LISTA]=$C$2)*
        (DESC_PROV[DESCUENTO])
   )),
   ((B57*(1+IFERROR(VLOOKUP($D$2,COLORES[],2,FALSE),0)))
   + C57
   + E57)
   *(1-SUMPRODUCT(
        (DESC_PROV[LINEA]=$B$2)*
        (DESC_PROV[LISTA]=$C$2)*
        (DESC_PROV[DESCUENTO])
   ))
   *(1+VLOOKUP($C$2,LISTAS[],2,FALSE))
   *(1+VLOOKUP($C$2,LISTAS[],3,FALSE))
)
/5,0)*5,0)</f>
        <v>266815</v>
      </c>
      <c r="J57" s="5">
        <f>IFERROR(
ROUND(
IF($A$2="COSTO",
   (D57*(1+IFERROR(VLOOKUP($D$2,COLORES[],2,FALSE),0)))
   *(1-SUMPRODUCT(
        (DESC_PROV[LINEA]=$B$2)*
        (DESC_PROV[LISTA]=$C$2)*
        (DESC_PROV[DESCUENTO])
   )),
   (D57*(1+IFERROR(VLOOKUP($D$2,COLORES[],2,FALSE),0)))
   *(1-SUMPRODUCT(
        (DESC_PROV[LINEA]=$B$2)*
        (DESC_PROV[LISTA]=$C$2)*
        (DESC_PROV[DESCUENTO])
   ))
   *(1+VLOOKUP($C$2,LISTAS[],2,FALSE))
   *(1+VLOOKUP($C$2,LISTAS[],4,FALSE))
)
/5,0)*5,0)</f>
        <v>83425</v>
      </c>
      <c r="K57" s="6">
        <f>IFERROR(
ROUND(
IF($A$2="COSTO",
   (B57*(1+IFERROR(VLOOKUP($D$2,COLORES[],2,FALSE),0))+E57)
   *(1+VLOOKUP($C$2,LISTAS[],5,FALSE))
   *(1-SUMPRODUCT(
        (DESC_PROV[LINEA]=$B$2)*
        (DESC_PROV[LISTA]=$C$2)*
        (DESC_PROV[DESCUENTO])
   )),
   (B57*(1+IFERROR(VLOOKUP($D$2,COLORES[],2,FALSE),0))+E57)
   *(1-SUMPRODUCT(
        (DESC_PROV[LINEA]=$B$2)*
        (DESC_PROV[LISTA]=$C$2)*
        (DESC_PROV[DESCUENTO])
   ))
   *(1+VLOOKUP($C$2,LISTAS[],5,FALSE))
   *(1+VLOOKUP($C$2,LISTAS[],2,FALSE))
   *(1+VLOOKUP($C$2,LISTAS[],3,FALSE))
)
/5,0)*5,0)</f>
        <v>291365</v>
      </c>
    </row>
    <row r="58" spans="1:11">
      <c r="A58" s="18" t="s">
        <v>87</v>
      </c>
      <c r="B58" s="3">
        <v>123055</v>
      </c>
      <c r="C58" s="3">
        <v>34418</v>
      </c>
      <c r="D58" s="3">
        <v>57971</v>
      </c>
      <c r="E58" s="7">
        <v>71442</v>
      </c>
      <c r="G58" s="21" t="s">
        <v>87</v>
      </c>
      <c r="H58" s="5">
        <f>IFERROR(
ROUND(
IF($A$2="COSTO",
   ((B58*(1+IFERROR(VLOOKUP($D$2,COLORES[],2,FALSE),0)))+E58)
   *(1-SUMPRODUCT(
        (DESC_PROV[LINEA]=$B$2)*
        (DESC_PROV[LISTA]=$C$2)*
        (DESC_PROV[DESCUENTO])
   )),
   ((B58*(1+IFERROR(VLOOKUP($D$2,COLORES[],2,FALSE),0)))+E58)
   *(1-SUMPRODUCT(
        (DESC_PROV[LINEA]=$B$2)*
        (DESC_PROV[LISTA]=$C$2)*
        (DESC_PROV[DESCUENTO])
   ))
   *(1+VLOOKUP($C$2,LISTAS[],2,FALSE))
   *(1+VLOOKUP($C$2,LISTAS[],3,FALSE))
)
/5,0)*5,0)</f>
        <v>241215</v>
      </c>
      <c r="I58" s="5">
        <f>IFERROR(
ROUND(
IF($A$2="COSTO",
   ((B58*(1+IFERROR(VLOOKUP($D$2,COLORES[],2,FALSE),0)))
   + C58
   + E58)
   *(1-SUMPRODUCT(
        (DESC_PROV[LINEA]=$B$2)*
        (DESC_PROV[LISTA]=$C$2)*
        (DESC_PROV[DESCUENTO])
   )),
   ((B58*(1+IFERROR(VLOOKUP($D$2,COLORES[],2,FALSE),0)))
   + C58
   + E58)
   *(1-SUMPRODUCT(
        (DESC_PROV[LINEA]=$B$2)*
        (DESC_PROV[LISTA]=$C$2)*
        (DESC_PROV[DESCUENTO])
   ))
   *(1+VLOOKUP($C$2,LISTAS[],2,FALSE))
   *(1+VLOOKUP($C$2,LISTAS[],3,FALSE))
)
/5,0)*5,0)</f>
        <v>283900</v>
      </c>
      <c r="J58" s="5">
        <f>IFERROR(
ROUND(
IF($A$2="COSTO",
   (D58*(1+IFERROR(VLOOKUP($D$2,COLORES[],2,FALSE),0)))
   *(1-SUMPRODUCT(
        (DESC_PROV[LINEA]=$B$2)*
        (DESC_PROV[LISTA]=$C$2)*
        (DESC_PROV[DESCUENTO])
   )),
   (D58*(1+IFERROR(VLOOKUP($D$2,COLORES[],2,FALSE),0)))
   *(1-SUMPRODUCT(
        (DESC_PROV[LINEA]=$B$2)*
        (DESC_PROV[LISTA]=$C$2)*
        (DESC_PROV[DESCUENTO])
   ))
   *(1+VLOOKUP($C$2,LISTAS[],2,FALSE))
   *(1+VLOOKUP($C$2,LISTAS[],4,FALSE))
)
/5,0)*5,0)</f>
        <v>88485</v>
      </c>
      <c r="K58" s="6">
        <f>IFERROR(
ROUND(
IF($A$2="COSTO",
   (B58*(1+IFERROR(VLOOKUP($D$2,COLORES[],2,FALSE),0))+E58)
   *(1+VLOOKUP($C$2,LISTAS[],5,FALSE))
   *(1-SUMPRODUCT(
        (DESC_PROV[LINEA]=$B$2)*
        (DESC_PROV[LISTA]=$C$2)*
        (DESC_PROV[DESCUENTO])
   )),
   (B58*(1+IFERROR(VLOOKUP($D$2,COLORES[],2,FALSE),0))+E58)
   *(1-SUMPRODUCT(
        (DESC_PROV[LINEA]=$B$2)*
        (DESC_PROV[LISTA]=$C$2)*
        (DESC_PROV[DESCUENTO])
   ))
   *(1+VLOOKUP($C$2,LISTAS[],5,FALSE))
   *(1+VLOOKUP($C$2,LISTAS[],2,FALSE))
   *(1+VLOOKUP($C$2,LISTAS[],3,FALSE))
)
/5,0)*5,0)</f>
        <v>313580</v>
      </c>
    </row>
    <row r="59" spans="1:11">
      <c r="A59" s="18" t="s">
        <v>88</v>
      </c>
      <c r="B59" s="3">
        <v>127846</v>
      </c>
      <c r="C59" s="3">
        <v>34418</v>
      </c>
      <c r="D59" s="3">
        <v>61286</v>
      </c>
      <c r="E59" s="7">
        <v>78246</v>
      </c>
      <c r="G59" s="21" t="s">
        <v>88</v>
      </c>
      <c r="H59" s="5">
        <f>IFERROR(
ROUND(
IF($A$2="COSTO",
   ((B59*(1+IFERROR(VLOOKUP($D$2,COLORES[],2,FALSE),0)))+E59)
   *(1-SUMPRODUCT(
        (DESC_PROV[LINEA]=$B$2)*
        (DESC_PROV[LISTA]=$C$2)*
        (DESC_PROV[DESCUENTO])
   )),
   ((B59*(1+IFERROR(VLOOKUP($D$2,COLORES[],2,FALSE),0)))+E59)
   *(1-SUMPRODUCT(
        (DESC_PROV[LINEA]=$B$2)*
        (DESC_PROV[LISTA]=$C$2)*
        (DESC_PROV[DESCUENTO])
   ))
   *(1+VLOOKUP($C$2,LISTAS[],2,FALSE))
   *(1+VLOOKUP($C$2,LISTAS[],3,FALSE))
)
/5,0)*5,0)</f>
        <v>255595</v>
      </c>
      <c r="I59" s="5">
        <f>IFERROR(
ROUND(
IF($A$2="COSTO",
   ((B59*(1+IFERROR(VLOOKUP($D$2,COLORES[],2,FALSE),0)))
   + C59
   + E59)
   *(1-SUMPRODUCT(
        (DESC_PROV[LINEA]=$B$2)*
        (DESC_PROV[LISTA]=$C$2)*
        (DESC_PROV[DESCUENTO])
   )),
   ((B59*(1+IFERROR(VLOOKUP($D$2,COLORES[],2,FALSE),0)))
   + C59
   + E59)
   *(1-SUMPRODUCT(
        (DESC_PROV[LINEA]=$B$2)*
        (DESC_PROV[LISTA]=$C$2)*
        (DESC_PROV[DESCUENTO])
   ))
   *(1+VLOOKUP($C$2,LISTAS[],2,FALSE))
   *(1+VLOOKUP($C$2,LISTAS[],3,FALSE))
)
/5,0)*5,0)</f>
        <v>298280</v>
      </c>
      <c r="J59" s="5">
        <f>IFERROR(
ROUND(
IF($A$2="COSTO",
   (D59*(1+IFERROR(VLOOKUP($D$2,COLORES[],2,FALSE),0)))
   *(1-SUMPRODUCT(
        (DESC_PROV[LINEA]=$B$2)*
        (DESC_PROV[LISTA]=$C$2)*
        (DESC_PROV[DESCUENTO])
   )),
   (D59*(1+IFERROR(VLOOKUP($D$2,COLORES[],2,FALSE),0)))
   *(1-SUMPRODUCT(
        (DESC_PROV[LINEA]=$B$2)*
        (DESC_PROV[LISTA]=$C$2)*
        (DESC_PROV[DESCUENTO])
   ))
   *(1+VLOOKUP($C$2,LISTAS[],2,FALSE))
   *(1+VLOOKUP($C$2,LISTAS[],4,FALSE))
)
/5,0)*5,0)</f>
        <v>93545</v>
      </c>
      <c r="K59" s="6">
        <f>IFERROR(
ROUND(
IF($A$2="COSTO",
   (B59*(1+IFERROR(VLOOKUP($D$2,COLORES[],2,FALSE),0))+E59)
   *(1+VLOOKUP($C$2,LISTAS[],5,FALSE))
   *(1-SUMPRODUCT(
        (DESC_PROV[LINEA]=$B$2)*
        (DESC_PROV[LISTA]=$C$2)*
        (DESC_PROV[DESCUENTO])
   )),
   (B59*(1+IFERROR(VLOOKUP($D$2,COLORES[],2,FALSE),0))+E59)
   *(1-SUMPRODUCT(
        (DESC_PROV[LINEA]=$B$2)*
        (DESC_PROV[LISTA]=$C$2)*
        (DESC_PROV[DESCUENTO])
   ))
   *(1+VLOOKUP($C$2,LISTAS[],5,FALSE))
   *(1+VLOOKUP($C$2,LISTAS[],2,FALSE))
   *(1+VLOOKUP($C$2,LISTAS[],3,FALSE))
)
/5,0)*5,0)</f>
        <v>332275</v>
      </c>
    </row>
    <row r="60" spans="1:11" ht="14.65" thickBot="1">
      <c r="A60" s="19" t="s">
        <v>115</v>
      </c>
      <c r="B60" s="8">
        <f>B59*(1+5%)</f>
        <v>134238.30000000002</v>
      </c>
      <c r="C60" s="8">
        <f>C59*(1+5%)</f>
        <v>36138.9</v>
      </c>
      <c r="D60" s="8">
        <f>D59*(1+5%)</f>
        <v>64350.3</v>
      </c>
      <c r="E60" s="9">
        <f>E59*(1+5%)</f>
        <v>82158.3</v>
      </c>
      <c r="G60" s="22" t="s">
        <v>115</v>
      </c>
      <c r="H60" s="5">
        <f>IFERROR(
ROUND(
IF($A$2="COSTO",
   ((B60*(1+IFERROR(VLOOKUP($D$2,COLORES[],2,FALSE),0)))+E60)
   *(1-SUMPRODUCT(
        (DESC_PROV[LINEA]=$B$2)*
        (DESC_PROV[LISTA]=$C$2)*
        (DESC_PROV[DESCUENTO])
   )),
   ((B60*(1+IFERROR(VLOOKUP($D$2,COLORES[],2,FALSE),0)))+E60)
   *(1-SUMPRODUCT(
        (DESC_PROV[LINEA]=$B$2)*
        (DESC_PROV[LISTA]=$C$2)*
        (DESC_PROV[DESCUENTO])
   ))
   *(1+VLOOKUP($C$2,LISTAS[],2,FALSE))
   *(1+VLOOKUP($C$2,LISTAS[],3,FALSE))
)
/5,0)*5,0)</f>
        <v>268375</v>
      </c>
      <c r="I60" s="5">
        <f>IFERROR(
ROUND(
IF($A$2="COSTO",
   ((B60*(1+IFERROR(VLOOKUP($D$2,COLORES[],2,FALSE),0)))
   + C60
   + E60)
   *(1-SUMPRODUCT(
        (DESC_PROV[LINEA]=$B$2)*
        (DESC_PROV[LISTA]=$C$2)*
        (DESC_PROV[DESCUENTO])
   )),
   ((B60*(1+IFERROR(VLOOKUP($D$2,COLORES[],2,FALSE),0)))
   + C60
   + E60)
   *(1-SUMPRODUCT(
        (DESC_PROV[LINEA]=$B$2)*
        (DESC_PROV[LISTA]=$C$2)*
        (DESC_PROV[DESCUENTO])
   ))
   *(1+VLOOKUP($C$2,LISTAS[],2,FALSE))
   *(1+VLOOKUP($C$2,LISTAS[],3,FALSE))
)
/5,0)*5,0)</f>
        <v>313195</v>
      </c>
      <c r="J60" s="5">
        <f>IFERROR(
ROUND(
IF($A$2="COSTO",
   (D60*(1+IFERROR(VLOOKUP($D$2,COLORES[],2,FALSE),0)))
   *(1-SUMPRODUCT(
        (DESC_PROV[LINEA]=$B$2)*
        (DESC_PROV[LISTA]=$C$2)*
        (DESC_PROV[DESCUENTO])
   )),
   (D60*(1+IFERROR(VLOOKUP($D$2,COLORES[],2,FALSE),0)))
   *(1-SUMPRODUCT(
        (DESC_PROV[LINEA]=$B$2)*
        (DESC_PROV[LISTA]=$C$2)*
        (DESC_PROV[DESCUENTO])
   ))
   *(1+VLOOKUP($C$2,LISTAS[],2,FALSE))
   *(1+VLOOKUP($C$2,LISTAS[],4,FALSE))
)
/5,0)*5,0)</f>
        <v>98225</v>
      </c>
      <c r="K60" s="6">
        <f>IFERROR(
ROUND(
IF($A$2="COSTO",
   (B60*(1+IFERROR(VLOOKUP($D$2,COLORES[],2,FALSE),0))+E60)
   *(1+VLOOKUP($C$2,LISTAS[],5,FALSE))
   *(1-SUMPRODUCT(
        (DESC_PROV[LINEA]=$B$2)*
        (DESC_PROV[LISTA]=$C$2)*
        (DESC_PROV[DESCUENTO])
   )),
   (B60*(1+IFERROR(VLOOKUP($D$2,COLORES[],2,FALSE),0))+E60)
   *(1-SUMPRODUCT(
        (DESC_PROV[LINEA]=$B$2)*
        (DESC_PROV[LISTA]=$C$2)*
        (DESC_PROV[DESCUENTO])
   ))
   *(1+VLOOKUP($C$2,LISTAS[],5,FALSE))
   *(1+VLOOKUP($C$2,LISTAS[],2,FALSE))
   *(1+VLOOKUP($C$2,LISTAS[],3,FALSE))
)
/5,0)*5,0)</f>
        <v>348890</v>
      </c>
    </row>
  </sheetData>
  <mergeCells count="2">
    <mergeCell ref="A4:E4"/>
    <mergeCell ref="G4:K4"/>
  </mergeCells>
  <pageMargins left="0.7" right="0.7" top="0.75" bottom="0.75" header="0.3" footer="0.3"/>
  <pageSetup scale="77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0000"/>
  </sheetPr>
  <dimension ref="A1:E60"/>
  <sheetViews>
    <sheetView zoomScale="70" zoomScaleNormal="70" workbookViewId="0">
      <selection activeCell="B3" sqref="B3"/>
    </sheetView>
  </sheetViews>
  <sheetFormatPr baseColWidth="10" defaultColWidth="10.73046875" defaultRowHeight="14.25"/>
  <cols>
    <col min="1" max="1" width="15.73046875" style="4" customWidth="1"/>
    <col min="2" max="2" width="22" style="4" customWidth="1"/>
    <col min="3" max="3" width="10.73046875" style="4"/>
    <col min="4" max="4" width="15.73046875" style="4" customWidth="1"/>
    <col min="5" max="5" width="22" style="4" customWidth="1"/>
    <col min="6" max="7" width="10.73046875" style="4"/>
    <col min="8" max="8" width="16" style="4" customWidth="1"/>
    <col min="9" max="16384" width="10.73046875" style="4"/>
  </cols>
  <sheetData>
    <row r="1" spans="1:5">
      <c r="A1" s="254" t="s">
        <v>34</v>
      </c>
      <c r="B1" s="255" t="s">
        <v>395</v>
      </c>
      <c r="C1" s="270" t="s">
        <v>396</v>
      </c>
      <c r="D1" s="256" t="s">
        <v>28</v>
      </c>
      <c r="E1" s="266" t="s">
        <v>28</v>
      </c>
    </row>
    <row r="2" spans="1:5" ht="14.65" thickBot="1">
      <c r="A2" s="210" t="str">
        <f>CONTROL!B4</f>
        <v>VENTA</v>
      </c>
      <c r="B2" s="252" t="s">
        <v>398</v>
      </c>
      <c r="C2" s="252" t="s">
        <v>93</v>
      </c>
      <c r="D2" s="253" t="str">
        <f>CONTROL!D4</f>
        <v>BLANCO</v>
      </c>
      <c r="E2" s="265" t="str">
        <f>'ventana herrero'!C2</f>
        <v>AMARILLA</v>
      </c>
    </row>
    <row r="4" spans="1:5" ht="14.65" thickBot="1"/>
    <row r="5" spans="1:5" ht="16.149999999999999" thickBot="1">
      <c r="A5" s="279" t="s">
        <v>89</v>
      </c>
      <c r="B5" s="280"/>
    </row>
    <row r="6" spans="1:5" ht="17.25" thickBot="1">
      <c r="A6" s="35" t="s">
        <v>24</v>
      </c>
      <c r="B6" s="39" t="s">
        <v>35</v>
      </c>
      <c r="D6" s="35" t="s">
        <v>24</v>
      </c>
      <c r="E6" s="39" t="s">
        <v>35</v>
      </c>
    </row>
    <row r="7" spans="1:5">
      <c r="A7" s="36" t="s">
        <v>36</v>
      </c>
      <c r="B7" s="5">
        <v>11094</v>
      </c>
      <c r="D7" s="36" t="s">
        <v>36</v>
      </c>
      <c r="E7" s="5">
        <f>IFERROR(
ROUND(
IF($A$2="COSTO",
   B7
   *(1+IFERROR(VLOOKUP($D$2,COLORES[],2,FALSE),0))
   *(1+VLOOKUP($C$2,LISTAS[],6,FALSE)),
   B7
   *(1+IFERROR(VLOOKUP($D$2,COLORES[],2,FALSE),0))
   *(1+VLOOKUP($C$2,LISTAS[],6,FALSE))
   *(1+_xlfn.XLOOKUP($C$2,LISTAS[Lista],LISTAS[Mosq]))
),0),0)</f>
        <v>22046</v>
      </c>
    </row>
    <row r="8" spans="1:5">
      <c r="A8" s="37" t="s">
        <v>37</v>
      </c>
      <c r="B8" s="5">
        <v>12830</v>
      </c>
      <c r="D8" s="37" t="s">
        <v>37</v>
      </c>
      <c r="E8" s="5">
        <f>IFERROR(
ROUND(
IF($A$2="COSTO",
   B8
   *(1+IFERROR(VLOOKUP($D$2,COLORES[],2,FALSE),0))
   *(1+VLOOKUP($C$2,LISTAS[],6,FALSE)),
   B8
   *(1+IFERROR(VLOOKUP($D$2,COLORES[],2,FALSE),0))
   *(1+VLOOKUP($C$2,LISTAS[],6,FALSE))
   *(1+_xlfn.XLOOKUP($C$2,LISTAS[Lista],LISTAS[Mosq]))
),0),0)</f>
        <v>25496</v>
      </c>
    </row>
    <row r="9" spans="1:5">
      <c r="A9" s="37" t="s">
        <v>38</v>
      </c>
      <c r="B9" s="5">
        <v>14565</v>
      </c>
      <c r="D9" s="37" t="s">
        <v>38</v>
      </c>
      <c r="E9" s="5">
        <f>IFERROR(
ROUND(
IF($A$2="COSTO",
   B9
   *(1+IFERROR(VLOOKUP($D$2,COLORES[],2,FALSE),0))
   *(1+VLOOKUP($C$2,LISTAS[],6,FALSE)),
   B9
   *(1+IFERROR(VLOOKUP($D$2,COLORES[],2,FALSE),0))
   *(1+VLOOKUP($C$2,LISTAS[],6,FALSE))
   *(1+_xlfn.XLOOKUP($C$2,LISTAS[Lista],LISTAS[Mosq]))
),0),0)</f>
        <v>28944</v>
      </c>
    </row>
    <row r="10" spans="1:5">
      <c r="A10" s="37" t="s">
        <v>39</v>
      </c>
      <c r="B10" s="5">
        <v>16300</v>
      </c>
      <c r="D10" s="37" t="s">
        <v>39</v>
      </c>
      <c r="E10" s="5">
        <f>IFERROR(
ROUND(
IF($A$2="COSTO",
   B10
   *(1+IFERROR(VLOOKUP($D$2,COLORES[],2,FALSE),0))
   *(1+VLOOKUP($C$2,LISTAS[],6,FALSE)),
   B10
   *(1+IFERROR(VLOOKUP($D$2,COLORES[],2,FALSE),0))
   *(1+VLOOKUP($C$2,LISTAS[],6,FALSE))
   *(1+_xlfn.XLOOKUP($C$2,LISTAS[Lista],LISTAS[Mosq]))
),0),0)</f>
        <v>32391</v>
      </c>
    </row>
    <row r="11" spans="1:5">
      <c r="A11" s="37" t="s">
        <v>40</v>
      </c>
      <c r="B11" s="5">
        <v>18905</v>
      </c>
      <c r="D11" s="37" t="s">
        <v>40</v>
      </c>
      <c r="E11" s="5">
        <f>IFERROR(
ROUND(
IF($A$2="COSTO",
   B11
   *(1+IFERROR(VLOOKUP($D$2,COLORES[],2,FALSE),0))
   *(1+VLOOKUP($C$2,LISTAS[],6,FALSE)),
   B11
   *(1+IFERROR(VLOOKUP($D$2,COLORES[],2,FALSE),0))
   *(1+VLOOKUP($C$2,LISTAS[],6,FALSE))
   *(1+_xlfn.XLOOKUP($C$2,LISTAS[Lista],LISTAS[Mosq]))
),0),0)</f>
        <v>37568</v>
      </c>
    </row>
    <row r="12" spans="1:5">
      <c r="A12" s="37" t="s">
        <v>41</v>
      </c>
      <c r="B12" s="5">
        <v>21508</v>
      </c>
      <c r="D12" s="37" t="s">
        <v>41</v>
      </c>
      <c r="E12" s="5">
        <f>IFERROR(
ROUND(
IF($A$2="COSTO",
   B12
   *(1+IFERROR(VLOOKUP($D$2,COLORES[],2,FALSE),0))
   *(1+VLOOKUP($C$2,LISTAS[],6,FALSE)),
   B12
   *(1+IFERROR(VLOOKUP($D$2,COLORES[],2,FALSE),0))
   *(1+VLOOKUP($C$2,LISTAS[],6,FALSE))
   *(1+_xlfn.XLOOKUP($C$2,LISTAS[Lista],LISTAS[Mosq]))
),0),0)</f>
        <v>42741</v>
      </c>
    </row>
    <row r="13" spans="1:5">
      <c r="A13" s="37" t="s">
        <v>42</v>
      </c>
      <c r="B13" s="5">
        <v>23244</v>
      </c>
      <c r="D13" s="37" t="s">
        <v>42</v>
      </c>
      <c r="E13" s="5">
        <f>IFERROR(
ROUND(
IF($A$2="COSTO",
   B13
   *(1+IFERROR(VLOOKUP($D$2,COLORES[],2,FALSE),0))
   *(1+VLOOKUP($C$2,LISTAS[],6,FALSE)),
   B13
   *(1+IFERROR(VLOOKUP($D$2,COLORES[],2,FALSE),0))
   *(1+VLOOKUP($C$2,LISTAS[],6,FALSE))
   *(1+_xlfn.XLOOKUP($C$2,LISTAS[Lista],LISTAS[Mosq]))
),0),0)</f>
        <v>46190</v>
      </c>
    </row>
    <row r="14" spans="1:5">
      <c r="A14" s="37" t="s">
        <v>43</v>
      </c>
      <c r="B14" s="5">
        <v>17580</v>
      </c>
      <c r="D14" s="37" t="s">
        <v>43</v>
      </c>
      <c r="E14" s="5">
        <f>IFERROR(
ROUND(
IF($A$2="COSTO",
   B14
   *(1+IFERROR(VLOOKUP($D$2,COLORES[],2,FALSE),0))
   *(1+VLOOKUP($C$2,LISTAS[],6,FALSE)),
   B14
   *(1+IFERROR(VLOOKUP($D$2,COLORES[],2,FALSE),0))
   *(1+VLOOKUP($C$2,LISTAS[],6,FALSE))
   *(1+_xlfn.XLOOKUP($C$2,LISTAS[Lista],LISTAS[Mosq]))
),0),0)</f>
        <v>34935</v>
      </c>
    </row>
    <row r="15" spans="1:5">
      <c r="A15" s="37" t="s">
        <v>44</v>
      </c>
      <c r="B15" s="5">
        <v>19772</v>
      </c>
      <c r="D15" s="37" t="s">
        <v>44</v>
      </c>
      <c r="E15" s="5">
        <f>IFERROR(
ROUND(
IF($A$2="COSTO",
   B15
   *(1+IFERROR(VLOOKUP($D$2,COLORES[],2,FALSE),0))
   *(1+VLOOKUP($C$2,LISTAS[],6,FALSE)),
   B15
   *(1+IFERROR(VLOOKUP($D$2,COLORES[],2,FALSE),0))
   *(1+VLOOKUP($C$2,LISTAS[],6,FALSE))
   *(1+_xlfn.XLOOKUP($C$2,LISTAS[Lista],LISTAS[Mosq]))
),0),0)</f>
        <v>39291</v>
      </c>
    </row>
    <row r="16" spans="1:5">
      <c r="A16" s="37" t="s">
        <v>45</v>
      </c>
      <c r="B16" s="5">
        <v>21965</v>
      </c>
      <c r="D16" s="37" t="s">
        <v>45</v>
      </c>
      <c r="E16" s="5">
        <f>IFERROR(
ROUND(
IF($A$2="COSTO",
   B16
   *(1+IFERROR(VLOOKUP($D$2,COLORES[],2,FALSE),0))
   *(1+VLOOKUP($C$2,LISTAS[],6,FALSE)),
   B16
   *(1+IFERROR(VLOOKUP($D$2,COLORES[],2,FALSE),0))
   *(1+VLOOKUP($C$2,LISTAS[],6,FALSE))
   *(1+_xlfn.XLOOKUP($C$2,LISTAS[Lista],LISTAS[Mosq]))
),0),0)</f>
        <v>43649</v>
      </c>
    </row>
    <row r="17" spans="1:5">
      <c r="A17" s="37" t="s">
        <v>46</v>
      </c>
      <c r="B17" s="5">
        <v>25254</v>
      </c>
      <c r="D17" s="37" t="s">
        <v>46</v>
      </c>
      <c r="E17" s="5">
        <f>IFERROR(
ROUND(
IF($A$2="COSTO",
   B17
   *(1+IFERROR(VLOOKUP($D$2,COLORES[],2,FALSE),0))
   *(1+VLOOKUP($C$2,LISTAS[],6,FALSE)),
   B17
   *(1+IFERROR(VLOOKUP($D$2,COLORES[],2,FALSE),0))
   *(1+VLOOKUP($C$2,LISTAS[],6,FALSE))
   *(1+_xlfn.XLOOKUP($C$2,LISTAS[Lista],LISTAS[Mosq]))
),0),0)</f>
        <v>50185</v>
      </c>
    </row>
    <row r="18" spans="1:5">
      <c r="A18" s="37" t="s">
        <v>47</v>
      </c>
      <c r="B18" s="5">
        <v>28542</v>
      </c>
      <c r="D18" s="37" t="s">
        <v>47</v>
      </c>
      <c r="E18" s="5">
        <f>IFERROR(
ROUND(
IF($A$2="COSTO",
   B18
   *(1+IFERROR(VLOOKUP($D$2,COLORES[],2,FALSE),0))
   *(1+VLOOKUP($C$2,LISTAS[],6,FALSE)),
   B18
   *(1+IFERROR(VLOOKUP($D$2,COLORES[],2,FALSE),0))
   *(1+VLOOKUP($C$2,LISTAS[],6,FALSE))
   *(1+_xlfn.XLOOKUP($C$2,LISTAS[Lista],LISTAS[Mosq]))
),0),0)</f>
        <v>56719</v>
      </c>
    </row>
    <row r="19" spans="1:5">
      <c r="A19" s="37" t="s">
        <v>48</v>
      </c>
      <c r="B19" s="5">
        <v>30736</v>
      </c>
      <c r="D19" s="37" t="s">
        <v>48</v>
      </c>
      <c r="E19" s="5">
        <f>IFERROR(
ROUND(
IF($A$2="COSTO",
   B19
   *(1+IFERROR(VLOOKUP($D$2,COLORES[],2,FALSE),0))
   *(1+VLOOKUP($C$2,LISTAS[],6,FALSE)),
   B19
   *(1+IFERROR(VLOOKUP($D$2,COLORES[],2,FALSE),0))
   *(1+VLOOKUP($C$2,LISTAS[],6,FALSE))
   *(1+_xlfn.XLOOKUP($C$2,LISTAS[Lista],LISTAS[Mosq]))
),0),0)</f>
        <v>61079</v>
      </c>
    </row>
    <row r="20" spans="1:5">
      <c r="A20" s="37" t="s">
        <v>49</v>
      </c>
      <c r="B20" s="5">
        <v>32927</v>
      </c>
      <c r="D20" s="37" t="s">
        <v>49</v>
      </c>
      <c r="E20" s="5">
        <f>IFERROR(
ROUND(
IF($A$2="COSTO",
   B20
   *(1+IFERROR(VLOOKUP($D$2,COLORES[],2,FALSE),0))
   *(1+VLOOKUP($C$2,LISTAS[],6,FALSE)),
   B20
   *(1+IFERROR(VLOOKUP($D$2,COLORES[],2,FALSE),0))
   *(1+VLOOKUP($C$2,LISTAS[],6,FALSE))
   *(1+_xlfn.XLOOKUP($C$2,LISTAS[Lista],LISTAS[Mosq]))
),0),0)</f>
        <v>65433</v>
      </c>
    </row>
    <row r="21" spans="1:5">
      <c r="A21" s="37" t="s">
        <v>50</v>
      </c>
      <c r="B21" s="5">
        <v>35120</v>
      </c>
      <c r="D21" s="37" t="s">
        <v>50</v>
      </c>
      <c r="E21" s="5">
        <f>IFERROR(
ROUND(
IF($A$2="COSTO",
   B21
   *(1+IFERROR(VLOOKUP($D$2,COLORES[],2,FALSE),0))
   *(1+VLOOKUP($C$2,LISTAS[],6,FALSE)),
   B21
   *(1+IFERROR(VLOOKUP($D$2,COLORES[],2,FALSE),0))
   *(1+VLOOKUP($C$2,LISTAS[],6,FALSE))
   *(1+_xlfn.XLOOKUP($C$2,LISTAS[Lista],LISTAS[Mosq]))
),0),0)</f>
        <v>69790</v>
      </c>
    </row>
    <row r="22" spans="1:5">
      <c r="A22" s="37" t="s">
        <v>51</v>
      </c>
      <c r="B22" s="5">
        <v>21508</v>
      </c>
      <c r="D22" s="37" t="s">
        <v>51</v>
      </c>
      <c r="E22" s="5">
        <f>IFERROR(
ROUND(
IF($A$2="COSTO",
   B22
   *(1+IFERROR(VLOOKUP($D$2,COLORES[],2,FALSE),0))
   *(1+VLOOKUP($C$2,LISTAS[],6,FALSE)),
   B22
   *(1+IFERROR(VLOOKUP($D$2,COLORES[],2,FALSE),0))
   *(1+VLOOKUP($C$2,LISTAS[],6,FALSE))
   *(1+_xlfn.XLOOKUP($C$2,LISTAS[Lista],LISTAS[Mosq]))
),0),0)</f>
        <v>42741</v>
      </c>
    </row>
    <row r="23" spans="1:5">
      <c r="A23" s="37" t="s">
        <v>52</v>
      </c>
      <c r="B23" s="5">
        <v>23853</v>
      </c>
      <c r="D23" s="37" t="s">
        <v>52</v>
      </c>
      <c r="E23" s="5">
        <f>IFERROR(
ROUND(
IF($A$2="COSTO",
   B23
   *(1+IFERROR(VLOOKUP($D$2,COLORES[],2,FALSE),0))
   *(1+VLOOKUP($C$2,LISTAS[],6,FALSE)),
   B23
   *(1+IFERROR(VLOOKUP($D$2,COLORES[],2,FALSE),0))
   *(1+VLOOKUP($C$2,LISTAS[],6,FALSE))
   *(1+_xlfn.XLOOKUP($C$2,LISTAS[Lista],LISTAS[Mosq]))
),0),0)</f>
        <v>47401</v>
      </c>
    </row>
    <row r="24" spans="1:5">
      <c r="A24" s="37" t="s">
        <v>53</v>
      </c>
      <c r="B24" s="5">
        <v>27371</v>
      </c>
      <c r="D24" s="37" t="s">
        <v>53</v>
      </c>
      <c r="E24" s="5">
        <f>IFERROR(
ROUND(
IF($A$2="COSTO",
   B24
   *(1+IFERROR(VLOOKUP($D$2,COLORES[],2,FALSE),0))
   *(1+VLOOKUP($C$2,LISTAS[],6,FALSE)),
   B24
   *(1+IFERROR(VLOOKUP($D$2,COLORES[],2,FALSE),0))
   *(1+VLOOKUP($C$2,LISTAS[],6,FALSE))
   *(1+_xlfn.XLOOKUP($C$2,LISTAS[Lista],LISTAS[Mosq]))
),0),0)</f>
        <v>54392</v>
      </c>
    </row>
    <row r="25" spans="1:5">
      <c r="A25" s="37" t="s">
        <v>54</v>
      </c>
      <c r="B25" s="5">
        <v>30887</v>
      </c>
      <c r="D25" s="37" t="s">
        <v>54</v>
      </c>
      <c r="E25" s="5">
        <f>IFERROR(
ROUND(
IF($A$2="COSTO",
   B25
   *(1+IFERROR(VLOOKUP($D$2,COLORES[],2,FALSE),0))
   *(1+VLOOKUP($C$2,LISTAS[],6,FALSE)),
   B25
   *(1+IFERROR(VLOOKUP($D$2,COLORES[],2,FALSE),0))
   *(1+VLOOKUP($C$2,LISTAS[],6,FALSE))
   *(1+_xlfn.XLOOKUP($C$2,LISTAS[Lista],LISTAS[Mosq]))
),0),0)</f>
        <v>61379</v>
      </c>
    </row>
    <row r="26" spans="1:5">
      <c r="A26" s="37" t="s">
        <v>55</v>
      </c>
      <c r="B26" s="5">
        <v>33232</v>
      </c>
      <c r="D26" s="37" t="s">
        <v>55</v>
      </c>
      <c r="E26" s="5">
        <f>IFERROR(
ROUND(
IF($A$2="COSTO",
   B26
   *(1+IFERROR(VLOOKUP($D$2,COLORES[],2,FALSE),0))
   *(1+VLOOKUP($C$2,LISTAS[],6,FALSE)),
   B26
   *(1+IFERROR(VLOOKUP($D$2,COLORES[],2,FALSE),0))
   *(1+VLOOKUP($C$2,LISTAS[],6,FALSE))
   *(1+_xlfn.XLOOKUP($C$2,LISTAS[Lista],LISTAS[Mosq]))
),0),0)</f>
        <v>66039</v>
      </c>
    </row>
    <row r="27" spans="1:5">
      <c r="A27" s="37" t="s">
        <v>56</v>
      </c>
      <c r="B27" s="5">
        <v>35578</v>
      </c>
      <c r="D27" s="37" t="s">
        <v>56</v>
      </c>
      <c r="E27" s="5">
        <f>IFERROR(
ROUND(
IF($A$2="COSTO",
   B27
   *(1+IFERROR(VLOOKUP($D$2,COLORES[],2,FALSE),0))
   *(1+VLOOKUP($C$2,LISTAS[],6,FALSE)),
   B27
   *(1+IFERROR(VLOOKUP($D$2,COLORES[],2,FALSE),0))
   *(1+VLOOKUP($C$2,LISTAS[],6,FALSE))
   *(1+_xlfn.XLOOKUP($C$2,LISTAS[Lista],LISTAS[Mosq]))
),0),0)</f>
        <v>70701</v>
      </c>
    </row>
    <row r="28" spans="1:5">
      <c r="A28" s="37" t="s">
        <v>57</v>
      </c>
      <c r="B28" s="5">
        <v>37923</v>
      </c>
      <c r="D28" s="37" t="s">
        <v>57</v>
      </c>
      <c r="E28" s="5">
        <f>IFERROR(
ROUND(
IF($A$2="COSTO",
   B28
   *(1+IFERROR(VLOOKUP($D$2,COLORES[],2,FALSE),0))
   *(1+VLOOKUP($C$2,LISTAS[],6,FALSE)),
   B28
   *(1+IFERROR(VLOOKUP($D$2,COLORES[],2,FALSE),0))
   *(1+VLOOKUP($C$2,LISTAS[],6,FALSE))
   *(1+_xlfn.XLOOKUP($C$2,LISTAS[Lista],LISTAS[Mosq]))
),0),0)</f>
        <v>75361</v>
      </c>
    </row>
    <row r="29" spans="1:5">
      <c r="A29" s="37" t="s">
        <v>58</v>
      </c>
      <c r="B29" s="5">
        <v>24980</v>
      </c>
      <c r="D29" s="37" t="s">
        <v>58</v>
      </c>
      <c r="E29" s="5">
        <f>IFERROR(
ROUND(
IF($A$2="COSTO",
   B29
   *(1+IFERROR(VLOOKUP($D$2,COLORES[],2,FALSE),0))
   *(1+VLOOKUP($C$2,LISTAS[],6,FALSE)),
   B29
   *(1+IFERROR(VLOOKUP($D$2,COLORES[],2,FALSE),0))
   *(1+VLOOKUP($C$2,LISTAS[],6,FALSE))
   *(1+_xlfn.XLOOKUP($C$2,LISTAS[Lista],LISTAS[Mosq]))
),0),0)</f>
        <v>49640</v>
      </c>
    </row>
    <row r="30" spans="1:5">
      <c r="A30" s="37" t="s">
        <v>59</v>
      </c>
      <c r="B30" s="5">
        <v>27630</v>
      </c>
      <c r="D30" s="37" t="s">
        <v>59</v>
      </c>
      <c r="E30" s="5">
        <f>IFERROR(
ROUND(
IF($A$2="COSTO",
   B30
   *(1+IFERROR(VLOOKUP($D$2,COLORES[],2,FALSE),0))
   *(1+VLOOKUP($C$2,LISTAS[],6,FALSE)),
   B30
   *(1+IFERROR(VLOOKUP($D$2,COLORES[],2,FALSE),0))
   *(1+VLOOKUP($C$2,LISTAS[],6,FALSE))
   *(1+_xlfn.XLOOKUP($C$2,LISTAS[Lista],LISTAS[Mosq]))
),0),0)</f>
        <v>54906</v>
      </c>
    </row>
    <row r="31" spans="1:5">
      <c r="A31" s="37" t="s">
        <v>60</v>
      </c>
      <c r="B31" s="5">
        <v>31603</v>
      </c>
      <c r="D31" s="37" t="s">
        <v>60</v>
      </c>
      <c r="E31" s="5">
        <f>IFERROR(
ROUND(
IF($A$2="COSTO",
   B31
   *(1+IFERROR(VLOOKUP($D$2,COLORES[],2,FALSE),0))
   *(1+VLOOKUP($C$2,LISTAS[],6,FALSE)),
   B31
   *(1+IFERROR(VLOOKUP($D$2,COLORES[],2,FALSE),0))
   *(1+VLOOKUP($C$2,LISTAS[],6,FALSE))
   *(1+_xlfn.XLOOKUP($C$2,LISTAS[Lista],LISTAS[Mosq]))
),0),0)</f>
        <v>62801</v>
      </c>
    </row>
    <row r="32" spans="1:5">
      <c r="A32" s="37" t="s">
        <v>61</v>
      </c>
      <c r="B32" s="5">
        <v>35578</v>
      </c>
      <c r="D32" s="37" t="s">
        <v>61</v>
      </c>
      <c r="E32" s="5">
        <f>IFERROR(
ROUND(
IF($A$2="COSTO",
   B32
   *(1+IFERROR(VLOOKUP($D$2,COLORES[],2,FALSE),0))
   *(1+VLOOKUP($C$2,LISTAS[],6,FALSE)),
   B32
   *(1+IFERROR(VLOOKUP($D$2,COLORES[],2,FALSE),0))
   *(1+VLOOKUP($C$2,LISTAS[],6,FALSE))
   *(1+_xlfn.XLOOKUP($C$2,LISTAS[Lista],LISTAS[Mosq]))
),0),0)</f>
        <v>70701</v>
      </c>
    </row>
    <row r="33" spans="1:5">
      <c r="A33" s="37" t="s">
        <v>62</v>
      </c>
      <c r="B33" s="5">
        <v>38227</v>
      </c>
      <c r="D33" s="37" t="s">
        <v>62</v>
      </c>
      <c r="E33" s="5">
        <f>IFERROR(
ROUND(
IF($A$2="COSTO",
   B33
   *(1+IFERROR(VLOOKUP($D$2,COLORES[],2,FALSE),0))
   *(1+VLOOKUP($C$2,LISTAS[],6,FALSE)),
   B33
   *(1+IFERROR(VLOOKUP($D$2,COLORES[],2,FALSE),0))
   *(1+VLOOKUP($C$2,LISTAS[],6,FALSE))
   *(1+_xlfn.XLOOKUP($C$2,LISTAS[Lista],LISTAS[Mosq]))
),0),0)</f>
        <v>75965</v>
      </c>
    </row>
    <row r="34" spans="1:5">
      <c r="A34" s="37" t="s">
        <v>63</v>
      </c>
      <c r="B34" s="5">
        <v>40877</v>
      </c>
      <c r="D34" s="37" t="s">
        <v>63</v>
      </c>
      <c r="E34" s="5">
        <f>IFERROR(
ROUND(
IF($A$2="COSTO",
   B34
   *(1+IFERROR(VLOOKUP($D$2,COLORES[],2,FALSE),0))
   *(1+VLOOKUP($C$2,LISTAS[],6,FALSE)),
   B34
   *(1+IFERROR(VLOOKUP($D$2,COLORES[],2,FALSE),0))
   *(1+VLOOKUP($C$2,LISTAS[],6,FALSE))
   *(1+_xlfn.XLOOKUP($C$2,LISTAS[Lista],LISTAS[Mosq]))
),0),0)</f>
        <v>81231</v>
      </c>
    </row>
    <row r="35" spans="1:5">
      <c r="A35" s="37" t="s">
        <v>64</v>
      </c>
      <c r="B35" s="5">
        <v>43526</v>
      </c>
      <c r="D35" s="37" t="s">
        <v>64</v>
      </c>
      <c r="E35" s="5">
        <f>IFERROR(
ROUND(
IF($A$2="COSTO",
   B35
   *(1+IFERROR(VLOOKUP($D$2,COLORES[],2,FALSE),0))
   *(1+VLOOKUP($C$2,LISTAS[],6,FALSE)),
   B35
   *(1+IFERROR(VLOOKUP($D$2,COLORES[],2,FALSE),0))
   *(1+VLOOKUP($C$2,LISTAS[],6,FALSE))
   *(1+_xlfn.XLOOKUP($C$2,LISTAS[Lista],LISTAS[Mosq]))
),0),0)</f>
        <v>86495</v>
      </c>
    </row>
    <row r="36" spans="1:5">
      <c r="A36" s="37" t="s">
        <v>65</v>
      </c>
      <c r="B36" s="5">
        <v>31405</v>
      </c>
      <c r="D36" s="37" t="s">
        <v>65</v>
      </c>
      <c r="E36" s="5">
        <f>IFERROR(
ROUND(
IF($A$2="COSTO",
   B36
   *(1+IFERROR(VLOOKUP($D$2,COLORES[],2,FALSE),0))
   *(1+VLOOKUP($C$2,LISTAS[],6,FALSE)),
   B36
   *(1+IFERROR(VLOOKUP($D$2,COLORES[],2,FALSE),0))
   *(1+VLOOKUP($C$2,LISTAS[],6,FALSE))
   *(1+_xlfn.XLOOKUP($C$2,LISTAS[Lista],LISTAS[Mosq]))
),0),0)</f>
        <v>62408</v>
      </c>
    </row>
    <row r="37" spans="1:5">
      <c r="A37" s="37" t="s">
        <v>66</v>
      </c>
      <c r="B37" s="5">
        <v>35836</v>
      </c>
      <c r="D37" s="37" t="s">
        <v>66</v>
      </c>
      <c r="E37" s="5">
        <f>IFERROR(
ROUND(
IF($A$2="COSTO",
   B37
   *(1+IFERROR(VLOOKUP($D$2,COLORES[],2,FALSE),0))
   *(1+VLOOKUP($C$2,LISTAS[],6,FALSE)),
   B37
   *(1+IFERROR(VLOOKUP($D$2,COLORES[],2,FALSE),0))
   *(1+VLOOKUP($C$2,LISTAS[],6,FALSE))
   *(1+_xlfn.XLOOKUP($C$2,LISTAS[Lista],LISTAS[Mosq]))
),0),0)</f>
        <v>71213</v>
      </c>
    </row>
    <row r="38" spans="1:5">
      <c r="A38" s="37" t="s">
        <v>67</v>
      </c>
      <c r="B38" s="5">
        <v>40268</v>
      </c>
      <c r="D38" s="37" t="s">
        <v>67</v>
      </c>
      <c r="E38" s="5">
        <f>IFERROR(
ROUND(
IF($A$2="COSTO",
   B38
   *(1+IFERROR(VLOOKUP($D$2,COLORES[],2,FALSE),0))
   *(1+VLOOKUP($C$2,LISTAS[],6,FALSE)),
   B38
   *(1+IFERROR(VLOOKUP($D$2,COLORES[],2,FALSE),0))
   *(1+VLOOKUP($C$2,LISTAS[],6,FALSE))
   *(1+_xlfn.XLOOKUP($C$2,LISTAS[Lista],LISTAS[Mosq]))
),0),0)</f>
        <v>80021</v>
      </c>
    </row>
    <row r="39" spans="1:5">
      <c r="A39" s="37" t="s">
        <v>68</v>
      </c>
      <c r="B39" s="5">
        <v>43221</v>
      </c>
      <c r="D39" s="37" t="s">
        <v>68</v>
      </c>
      <c r="E39" s="5">
        <f>IFERROR(
ROUND(
IF($A$2="COSTO",
   B39
   *(1+IFERROR(VLOOKUP($D$2,COLORES[],2,FALSE),0))
   *(1+VLOOKUP($C$2,LISTAS[],6,FALSE)),
   B39
   *(1+IFERROR(VLOOKUP($D$2,COLORES[],2,FALSE),0))
   *(1+VLOOKUP($C$2,LISTAS[],6,FALSE))
   *(1+_xlfn.XLOOKUP($C$2,LISTAS[Lista],LISTAS[Mosq]))
),0),0)</f>
        <v>85889</v>
      </c>
    </row>
    <row r="40" spans="1:5">
      <c r="A40" s="37" t="s">
        <v>69</v>
      </c>
      <c r="B40" s="5">
        <v>46176</v>
      </c>
      <c r="D40" s="37" t="s">
        <v>69</v>
      </c>
      <c r="E40" s="5">
        <f>IFERROR(
ROUND(
IF($A$2="COSTO",
   B40
   *(1+IFERROR(VLOOKUP($D$2,COLORES[],2,FALSE),0))
   *(1+VLOOKUP($C$2,LISTAS[],6,FALSE)),
   B40
   *(1+IFERROR(VLOOKUP($D$2,COLORES[],2,FALSE),0))
   *(1+VLOOKUP($C$2,LISTAS[],6,FALSE))
   *(1+_xlfn.XLOOKUP($C$2,LISTAS[Lista],LISTAS[Mosq]))
),0),0)</f>
        <v>91761</v>
      </c>
    </row>
    <row r="41" spans="1:5">
      <c r="A41" s="37" t="s">
        <v>70</v>
      </c>
      <c r="B41" s="5">
        <v>49130</v>
      </c>
      <c r="D41" s="37" t="s">
        <v>70</v>
      </c>
      <c r="E41" s="5">
        <f>IFERROR(
ROUND(
IF($A$2="COSTO",
   B41
   *(1+IFERROR(VLOOKUP($D$2,COLORES[],2,FALSE),0))
   *(1+VLOOKUP($C$2,LISTAS[],6,FALSE)),
   B41
   *(1+IFERROR(VLOOKUP($D$2,COLORES[],2,FALSE),0))
   *(1+VLOOKUP($C$2,LISTAS[],6,FALSE))
   *(1+_xlfn.XLOOKUP($C$2,LISTAS[Lista],LISTAS[Mosq]))
),0),0)</f>
        <v>97631</v>
      </c>
    </row>
    <row r="42" spans="1:5">
      <c r="A42" s="37" t="s">
        <v>71</v>
      </c>
      <c r="B42" s="5">
        <v>32982</v>
      </c>
      <c r="D42" s="37" t="s">
        <v>71</v>
      </c>
      <c r="E42" s="5">
        <f>IFERROR(
ROUND(
IF($A$2="COSTO",
   B42
   *(1+IFERROR(VLOOKUP($D$2,COLORES[],2,FALSE),0))
   *(1+VLOOKUP($C$2,LISTAS[],6,FALSE)),
   B42
   *(1+IFERROR(VLOOKUP($D$2,COLORES[],2,FALSE),0))
   *(1+VLOOKUP($C$2,LISTAS[],6,FALSE))
   *(1+_xlfn.XLOOKUP($C$2,LISTAS[Lista],LISTAS[Mosq]))
),0),0)</f>
        <v>65542</v>
      </c>
    </row>
    <row r="43" spans="1:5">
      <c r="A43" s="37" t="s">
        <v>72</v>
      </c>
      <c r="B43" s="5">
        <v>37565</v>
      </c>
      <c r="D43" s="37" t="s">
        <v>72</v>
      </c>
      <c r="E43" s="5">
        <f>IFERROR(
ROUND(
IF($A$2="COSTO",
   B43
   *(1+IFERROR(VLOOKUP($D$2,COLORES[],2,FALSE),0))
   *(1+VLOOKUP($C$2,LISTAS[],6,FALSE)),
   B43
   *(1+IFERROR(VLOOKUP($D$2,COLORES[],2,FALSE),0))
   *(1+VLOOKUP($C$2,LISTAS[],6,FALSE))
   *(1+_xlfn.XLOOKUP($C$2,LISTAS[Lista],LISTAS[Mosq]))
),0),0)</f>
        <v>74649</v>
      </c>
    </row>
    <row r="44" spans="1:5">
      <c r="A44" s="37" t="s">
        <v>73</v>
      </c>
      <c r="B44" s="5">
        <v>42148</v>
      </c>
      <c r="D44" s="37" t="s">
        <v>73</v>
      </c>
      <c r="E44" s="5">
        <f>IFERROR(
ROUND(
IF($A$2="COSTO",
   B44
   *(1+IFERROR(VLOOKUP($D$2,COLORES[],2,FALSE),0))
   *(1+VLOOKUP($C$2,LISTAS[],6,FALSE)),
   B44
   *(1+IFERROR(VLOOKUP($D$2,COLORES[],2,FALSE),0))
   *(1+VLOOKUP($C$2,LISTAS[],6,FALSE))
   *(1+_xlfn.XLOOKUP($C$2,LISTAS[Lista],LISTAS[Mosq]))
),0),0)</f>
        <v>83757</v>
      </c>
    </row>
    <row r="45" spans="1:5">
      <c r="A45" s="37" t="s">
        <v>74</v>
      </c>
      <c r="B45" s="5">
        <v>45203</v>
      </c>
      <c r="D45" s="37" t="s">
        <v>74</v>
      </c>
      <c r="E45" s="5">
        <f>IFERROR(
ROUND(
IF($A$2="COSTO",
   B45
   *(1+IFERROR(VLOOKUP($D$2,COLORES[],2,FALSE),0))
   *(1+VLOOKUP($C$2,LISTAS[],6,FALSE)),
   B45
   *(1+IFERROR(VLOOKUP($D$2,COLORES[],2,FALSE),0))
   *(1+VLOOKUP($C$2,LISTAS[],6,FALSE))
   *(1+_xlfn.XLOOKUP($C$2,LISTAS[Lista],LISTAS[Mosq]))
),0),0)</f>
        <v>89827</v>
      </c>
    </row>
    <row r="46" spans="1:5">
      <c r="A46" s="37" t="s">
        <v>75</v>
      </c>
      <c r="B46" s="5">
        <v>48257</v>
      </c>
      <c r="D46" s="37" t="s">
        <v>75</v>
      </c>
      <c r="E46" s="5">
        <f>IFERROR(
ROUND(
IF($A$2="COSTO",
   B46
   *(1+IFERROR(VLOOKUP($D$2,COLORES[],2,FALSE),0))
   *(1+VLOOKUP($C$2,LISTAS[],6,FALSE)),
   B46
   *(1+IFERROR(VLOOKUP($D$2,COLORES[],2,FALSE),0))
   *(1+VLOOKUP($C$2,LISTAS[],6,FALSE))
   *(1+_xlfn.XLOOKUP($C$2,LISTAS[Lista],LISTAS[Mosq]))
),0),0)</f>
        <v>95896</v>
      </c>
    </row>
    <row r="47" spans="1:5">
      <c r="A47" s="37" t="s">
        <v>76</v>
      </c>
      <c r="B47" s="5">
        <v>51313</v>
      </c>
      <c r="D47" s="37" t="s">
        <v>76</v>
      </c>
      <c r="E47" s="5">
        <f>IFERROR(
ROUND(
IF($A$2="COSTO",
   B47
   *(1+IFERROR(VLOOKUP($D$2,COLORES[],2,FALSE),0))
   *(1+VLOOKUP($C$2,LISTAS[],6,FALSE)),
   B47
   *(1+IFERROR(VLOOKUP($D$2,COLORES[],2,FALSE),0))
   *(1+VLOOKUP($C$2,LISTAS[],6,FALSE))
   *(1+_xlfn.XLOOKUP($C$2,LISTAS[Lista],LISTAS[Mosq]))
),0),0)</f>
        <v>101969</v>
      </c>
    </row>
    <row r="48" spans="1:5">
      <c r="A48" s="37" t="s">
        <v>77</v>
      </c>
      <c r="B48" s="5">
        <v>38292</v>
      </c>
      <c r="D48" s="37" t="s">
        <v>77</v>
      </c>
      <c r="E48" s="5">
        <f>IFERROR(
ROUND(
IF($A$2="COSTO",
   B48
   *(1+IFERROR(VLOOKUP($D$2,COLORES[],2,FALSE),0))
   *(1+VLOOKUP($C$2,LISTAS[],6,FALSE)),
   B48
   *(1+IFERROR(VLOOKUP($D$2,COLORES[],2,FALSE),0))
   *(1+VLOOKUP($C$2,LISTAS[],6,FALSE))
   *(1+_xlfn.XLOOKUP($C$2,LISTAS[Lista],LISTAS[Mosq]))
),0),0)</f>
        <v>76094</v>
      </c>
    </row>
    <row r="49" spans="1:5">
      <c r="A49" s="37" t="s">
        <v>78</v>
      </c>
      <c r="B49" s="5">
        <v>43518</v>
      </c>
      <c r="D49" s="37" t="s">
        <v>78</v>
      </c>
      <c r="E49" s="5">
        <f>IFERROR(
ROUND(
IF($A$2="COSTO",
   B49
   *(1+IFERROR(VLOOKUP($D$2,COLORES[],2,FALSE),0))
   *(1+VLOOKUP($C$2,LISTAS[],6,FALSE)),
   B49
   *(1+IFERROR(VLOOKUP($D$2,COLORES[],2,FALSE),0))
   *(1+VLOOKUP($C$2,LISTAS[],6,FALSE))
   *(1+_xlfn.XLOOKUP($C$2,LISTAS[Lista],LISTAS[Mosq]))
),0),0)</f>
        <v>86479</v>
      </c>
    </row>
    <row r="50" spans="1:5">
      <c r="A50" s="37" t="s">
        <v>79</v>
      </c>
      <c r="B50" s="5">
        <v>48743</v>
      </c>
      <c r="D50" s="37" t="s">
        <v>79</v>
      </c>
      <c r="E50" s="5">
        <f>IFERROR(
ROUND(
IF($A$2="COSTO",
   B50
   *(1+IFERROR(VLOOKUP($D$2,COLORES[],2,FALSE),0))
   *(1+VLOOKUP($C$2,LISTAS[],6,FALSE)),
   B50
   *(1+IFERROR(VLOOKUP($D$2,COLORES[],2,FALSE),0))
   *(1+VLOOKUP($C$2,LISTAS[],6,FALSE))
   *(1+_xlfn.XLOOKUP($C$2,LISTAS[Lista],LISTAS[Mosq]))
),0),0)</f>
        <v>96862</v>
      </c>
    </row>
    <row r="51" spans="1:5">
      <c r="A51" s="37" t="s">
        <v>80</v>
      </c>
      <c r="B51" s="5">
        <v>52226</v>
      </c>
      <c r="D51" s="37" t="s">
        <v>80</v>
      </c>
      <c r="E51" s="5">
        <f>IFERROR(
ROUND(
IF($A$2="COSTO",
   B51
   *(1+IFERROR(VLOOKUP($D$2,COLORES[],2,FALSE),0))
   *(1+VLOOKUP($C$2,LISTAS[],6,FALSE)),
   B51
   *(1+IFERROR(VLOOKUP($D$2,COLORES[],2,FALSE),0))
   *(1+VLOOKUP($C$2,LISTAS[],6,FALSE))
   *(1+_xlfn.XLOOKUP($C$2,LISTAS[Lista],LISTAS[Mosq]))
),0),0)</f>
        <v>103784</v>
      </c>
    </row>
    <row r="52" spans="1:5">
      <c r="A52" s="37" t="s">
        <v>81</v>
      </c>
      <c r="B52" s="5">
        <v>55709</v>
      </c>
      <c r="D52" s="37" t="s">
        <v>81</v>
      </c>
      <c r="E52" s="5">
        <f>IFERROR(
ROUND(
IF($A$2="COSTO",
   B52
   *(1+IFERROR(VLOOKUP($D$2,COLORES[],2,FALSE),0))
   *(1+VLOOKUP($C$2,LISTAS[],6,FALSE)),
   B52
   *(1+IFERROR(VLOOKUP($D$2,COLORES[],2,FALSE),0))
   *(1+VLOOKUP($C$2,LISTAS[],6,FALSE))
   *(1+_xlfn.XLOOKUP($C$2,LISTAS[Lista],LISTAS[Mosq]))
),0),0)</f>
        <v>110705</v>
      </c>
    </row>
    <row r="53" spans="1:5">
      <c r="A53" s="37" t="s">
        <v>82</v>
      </c>
      <c r="B53" s="5">
        <v>59193</v>
      </c>
      <c r="D53" s="37" t="s">
        <v>82</v>
      </c>
      <c r="E53" s="5">
        <f>IFERROR(
ROUND(
IF($A$2="COSTO",
   B53
   *(1+IFERROR(VLOOKUP($D$2,COLORES[],2,FALSE),0))
   *(1+VLOOKUP($C$2,LISTAS[],6,FALSE)),
   B53
   *(1+IFERROR(VLOOKUP($D$2,COLORES[],2,FALSE),0))
   *(1+VLOOKUP($C$2,LISTAS[],6,FALSE))
   *(1+_xlfn.XLOOKUP($C$2,LISTAS[Lista],LISTAS[Mosq]))
),0),0)</f>
        <v>117628</v>
      </c>
    </row>
    <row r="54" spans="1:5">
      <c r="A54" s="37" t="s">
        <v>83</v>
      </c>
      <c r="B54" s="5">
        <v>41832</v>
      </c>
      <c r="D54" s="37" t="s">
        <v>83</v>
      </c>
      <c r="E54" s="5">
        <f>IFERROR(
ROUND(
IF($A$2="COSTO",
   B54
   *(1+IFERROR(VLOOKUP($D$2,COLORES[],2,FALSE),0))
   *(1+VLOOKUP($C$2,LISTAS[],6,FALSE)),
   B54
   *(1+IFERROR(VLOOKUP($D$2,COLORES[],2,FALSE),0))
   *(1+VLOOKUP($C$2,LISTAS[],6,FALSE))
   *(1+_xlfn.XLOOKUP($C$2,LISTAS[Lista],LISTAS[Mosq]))
),0),0)</f>
        <v>83129</v>
      </c>
    </row>
    <row r="55" spans="1:5">
      <c r="A55" s="37" t="s">
        <v>84</v>
      </c>
      <c r="B55" s="5">
        <v>47486</v>
      </c>
      <c r="D55" s="37" t="s">
        <v>84</v>
      </c>
      <c r="E55" s="5">
        <f>IFERROR(
ROUND(
IF($A$2="COSTO",
   B55
   *(1+IFERROR(VLOOKUP($D$2,COLORES[],2,FALSE),0))
   *(1+VLOOKUP($C$2,LISTAS[],6,FALSE)),
   B55
   *(1+IFERROR(VLOOKUP($D$2,COLORES[],2,FALSE),0))
   *(1+VLOOKUP($C$2,LISTAS[],6,FALSE))
   *(1+_xlfn.XLOOKUP($C$2,LISTAS[Lista],LISTAS[Mosq]))
),0),0)</f>
        <v>94364</v>
      </c>
    </row>
    <row r="56" spans="1:5">
      <c r="A56" s="37" t="s">
        <v>85</v>
      </c>
      <c r="B56" s="5">
        <v>53139</v>
      </c>
      <c r="D56" s="37" t="s">
        <v>85</v>
      </c>
      <c r="E56" s="5">
        <f>IFERROR(
ROUND(
IF($A$2="COSTO",
   B56
   *(1+IFERROR(VLOOKUP($D$2,COLORES[],2,FALSE),0))
   *(1+VLOOKUP($C$2,LISTAS[],6,FALSE)),
   B56
   *(1+IFERROR(VLOOKUP($D$2,COLORES[],2,FALSE),0))
   *(1+VLOOKUP($C$2,LISTAS[],6,FALSE))
   *(1+_xlfn.XLOOKUP($C$2,LISTAS[Lista],LISTAS[Mosq]))
),0),0)</f>
        <v>105598</v>
      </c>
    </row>
    <row r="57" spans="1:5">
      <c r="A57" s="37" t="s">
        <v>86</v>
      </c>
      <c r="B57" s="5">
        <v>56908</v>
      </c>
      <c r="D57" s="37" t="s">
        <v>86</v>
      </c>
      <c r="E57" s="5">
        <f>IFERROR(
ROUND(
IF($A$2="COSTO",
   B57
   *(1+IFERROR(VLOOKUP($D$2,COLORES[],2,FALSE),0))
   *(1+VLOOKUP($C$2,LISTAS[],6,FALSE)),
   B57
   *(1+IFERROR(VLOOKUP($D$2,COLORES[],2,FALSE),0))
   *(1+VLOOKUP($C$2,LISTAS[],6,FALSE))
   *(1+_xlfn.XLOOKUP($C$2,LISTAS[Lista],LISTAS[Mosq]))
),0),0)</f>
        <v>113088</v>
      </c>
    </row>
    <row r="58" spans="1:5">
      <c r="A58" s="37" t="s">
        <v>87</v>
      </c>
      <c r="B58" s="5">
        <v>60677</v>
      </c>
      <c r="D58" s="37" t="s">
        <v>87</v>
      </c>
      <c r="E58" s="5">
        <f>IFERROR(
ROUND(
IF($A$2="COSTO",
   B58
   *(1+IFERROR(VLOOKUP($D$2,COLORES[],2,FALSE),0))
   *(1+VLOOKUP($C$2,LISTAS[],6,FALSE)),
   B58
   *(1+IFERROR(VLOOKUP($D$2,COLORES[],2,FALSE),0))
   *(1+VLOOKUP($C$2,LISTAS[],6,FALSE))
   *(1+_xlfn.XLOOKUP($C$2,LISTAS[Lista],LISTAS[Mosq]))
),0),0)</f>
        <v>120577</v>
      </c>
    </row>
    <row r="59" spans="1:5">
      <c r="A59" s="37" t="s">
        <v>88</v>
      </c>
      <c r="B59" s="5">
        <v>64446</v>
      </c>
      <c r="D59" s="37" t="s">
        <v>88</v>
      </c>
      <c r="E59" s="5">
        <f>IFERROR(
ROUND(
IF($A$2="COSTO",
   B59
   *(1+IFERROR(VLOOKUP($D$2,COLORES[],2,FALSE),0))
   *(1+VLOOKUP($C$2,LISTAS[],6,FALSE)),
   B59
   *(1+IFERROR(VLOOKUP($D$2,COLORES[],2,FALSE),0))
   *(1+VLOOKUP($C$2,LISTAS[],6,FALSE))
   *(1+_xlfn.XLOOKUP($C$2,LISTAS[Lista],LISTAS[Mosq]))
),0),0)</f>
        <v>128067</v>
      </c>
    </row>
    <row r="60" spans="1:5" ht="14.65" thickBot="1">
      <c r="A60" s="38" t="s">
        <v>115</v>
      </c>
      <c r="B60" s="10">
        <v>74000</v>
      </c>
      <c r="D60" s="38" t="s">
        <v>115</v>
      </c>
      <c r="E60" s="5">
        <f>IFERROR(
ROUND(
IF($A$2="COSTO",
   B60
   *(1+IFERROR(VLOOKUP($D$2,COLORES[],2,FALSE),0))
   *(1+VLOOKUP($C$2,LISTAS[],6,FALSE)),
   B60
   *(1+IFERROR(VLOOKUP($D$2,COLORES[],2,FALSE),0))
   *(1+VLOOKUP($C$2,LISTAS[],6,FALSE))
   *(1+_xlfn.XLOOKUP($C$2,LISTAS[Lista],LISTAS[Mosq]))
),0),0)</f>
        <v>147053</v>
      </c>
    </row>
  </sheetData>
  <mergeCells count="1">
    <mergeCell ref="A5:B5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0000"/>
  </sheetPr>
  <dimension ref="A1:Q75"/>
  <sheetViews>
    <sheetView topLeftCell="A43" zoomScale="85" zoomScaleNormal="85" workbookViewId="0">
      <selection activeCell="B7" sqref="B7:H75"/>
    </sheetView>
  </sheetViews>
  <sheetFormatPr baseColWidth="10" defaultRowHeight="14.25"/>
  <cols>
    <col min="1" max="1" width="10.3984375" customWidth="1"/>
    <col min="2" max="2" width="10.86328125" customWidth="1"/>
    <col min="3" max="3" width="11" customWidth="1"/>
    <col min="4" max="4" width="10.3984375" customWidth="1"/>
    <col min="5" max="5" width="11" customWidth="1"/>
    <col min="6" max="6" width="10.59765625" customWidth="1"/>
    <col min="7" max="7" width="9.86328125" customWidth="1"/>
    <col min="8" max="8" width="11.1328125" customWidth="1"/>
    <col min="9" max="9" width="11" customWidth="1"/>
    <col min="10" max="10" width="8.73046875"/>
    <col min="11" max="11" width="10.3984375" customWidth="1"/>
  </cols>
  <sheetData>
    <row r="1" spans="1:17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7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</row>
    <row r="4" spans="1:17" ht="14.65" thickBot="1"/>
    <row r="5" spans="1:17" ht="14.65" thickBot="1">
      <c r="A5" s="281" t="s">
        <v>402</v>
      </c>
      <c r="B5" s="282"/>
      <c r="C5" s="282"/>
      <c r="D5" s="282"/>
      <c r="E5" s="282"/>
      <c r="F5" s="282"/>
      <c r="G5" s="282"/>
      <c r="H5" s="283"/>
      <c r="K5" s="281" t="s">
        <v>402</v>
      </c>
      <c r="L5" s="282"/>
      <c r="M5" s="282"/>
      <c r="N5" s="282"/>
      <c r="O5" s="282"/>
      <c r="P5" s="282"/>
      <c r="Q5" s="283"/>
    </row>
    <row r="6" spans="1:17">
      <c r="A6" s="44" t="s">
        <v>24</v>
      </c>
      <c r="B6" s="45" t="s">
        <v>5</v>
      </c>
      <c r="C6" s="45" t="s">
        <v>122</v>
      </c>
      <c r="D6" s="45" t="s">
        <v>123</v>
      </c>
      <c r="E6" s="45" t="s">
        <v>124</v>
      </c>
      <c r="F6" s="45" t="s">
        <v>125</v>
      </c>
      <c r="G6" s="45" t="s">
        <v>126</v>
      </c>
      <c r="H6" s="46" t="s">
        <v>127</v>
      </c>
      <c r="I6" s="2"/>
      <c r="J6" s="2"/>
      <c r="K6" s="44" t="s">
        <v>24</v>
      </c>
      <c r="L6" s="45" t="s">
        <v>122</v>
      </c>
      <c r="M6" s="45" t="s">
        <v>123</v>
      </c>
      <c r="N6" s="45" t="s">
        <v>124</v>
      </c>
      <c r="O6" s="45" t="s">
        <v>125</v>
      </c>
      <c r="P6" s="45" t="s">
        <v>126</v>
      </c>
      <c r="Q6" s="46" t="s">
        <v>127</v>
      </c>
    </row>
    <row r="7" spans="1:17">
      <c r="A7" s="47" t="s">
        <v>128</v>
      </c>
      <c r="B7" s="42">
        <v>30411</v>
      </c>
      <c r="C7" s="42">
        <v>2448</v>
      </c>
      <c r="D7" s="42">
        <v>2966</v>
      </c>
      <c r="E7" s="42">
        <v>3907</v>
      </c>
      <c r="F7" s="42">
        <v>8458</v>
      </c>
      <c r="G7" s="42">
        <v>3264</v>
      </c>
      <c r="H7" s="42">
        <v>12649</v>
      </c>
      <c r="I7" s="2"/>
      <c r="J7" s="2"/>
      <c r="K7" s="47" t="s">
        <v>128</v>
      </c>
      <c r="L7" s="42">
        <f>IFERROR(
ROUND(
IF($A$2="COSTO",
   ((B7*(1+IFERROR(VLOOKUP($D$2,COLORES[],2,FALSE),0)))+C7)
   *(1-SUMPRODUCT(
        (DESC_PROV[LINEA]=$B$2)*
        (DESC_PROV[LISTA]=$C$2)*
        (DESC_PROV[DESCUENTO])
   )),
   ((B7*(1+IFERROR(VLOOKUP($D$2,COLORES[],2,FALSE),0)))+C7)
   *(1-SUMPRODUCT(
        (DESC_PROV[LINEA]=$B$2)*
        (DESC_PROV[LISTA]=$C$2)*
        (DESC_PROV[DESCUENTO])
   ))
   *(1+VLOOKUP($C$2,LISTAS[],2,FALSE))
   *(1+VLOOKUP($C$2,LISTAS[],3,FALSE))
)
/5,0)*5,0)</f>
        <v>40750</v>
      </c>
      <c r="M7" s="42">
        <f>IFERROR(
ROUND(
IF($A$2="COSTO",
   ((B7*(1+IFERROR(VLOOKUP($D$2,COLORES[],2,FALSE),0)))+D7)
   *(1-SUMPRODUCT(
        (DESC_PROV[LINEA]=$B$2)*
        (DESC_PROV[LISTA]=$C$2)*
        (DESC_PROV[DESCUENTO])
   )),
   ((B7*(1+IFERROR(VLOOKUP($D$2,COLORES[],2,FALSE),0)))+D7)
   *(1-SUMPRODUCT(
        (DESC_PROV[LINEA]=$B$2)*
        (DESC_PROV[LISTA]=$C$2)*
        (DESC_PROV[DESCUENTO])
   ))
   *(1+VLOOKUP($C$2,LISTAS[],2,FALSE))
   *(1+VLOOKUP($C$2,LISTAS[],3,FALSE))
)
/5,0)*5,0)</f>
        <v>41395</v>
      </c>
      <c r="N7" s="42">
        <f>IFERROR(
ROUND(
IF($A$2="COSTO",
   ((B7*(1+IFERROR(VLOOKUP($D$2,COLORES[],2,FALSE),0)))+E7)
   *(1-SUMPRODUCT(
        (DESC_PROV[LINEA]=$B$2)*
        (DESC_PROV[LISTA]=$C$2)*
        (DESC_PROV[DESCUENTO])
   )),
   ((B7*(1+IFERROR(VLOOKUP($D$2,COLORES[],2,FALSE),0)))+E7)
   *(1-SUMPRODUCT(
        (DESC_PROV[LINEA]=$B$2)*
        (DESC_PROV[LISTA]=$C$2)*
        (DESC_PROV[DESCUENTO])
   ))
   *(1+VLOOKUP($C$2,LISTAS[],2,FALSE))
   *(1+VLOOKUP($C$2,LISTAS[],3,FALSE))
)
/5,0)*5,0)</f>
        <v>42560</v>
      </c>
      <c r="O7" s="42">
        <f>IFERROR(
ROUND(
IF($A$2="COSTO",
   ((B7*(1+IFERROR(VLOOKUP($D$2,COLORES[],2,FALSE),0)))+F7)
   *(1-SUMPRODUCT(
        (DESC_PROV[LINEA]=$B$2)*
        (DESC_PROV[LISTA]=$C$2)*
        (DESC_PROV[DESCUENTO])
   )),
   ((B7*(1+IFERROR(VLOOKUP($D$2,COLORES[],2,FALSE),0)))+F7)
   *(1-SUMPRODUCT(
        (DESC_PROV[LINEA]=$B$2)*
        (DESC_PROV[LISTA]=$C$2)*
        (DESC_PROV[DESCUENTO])
   ))
   *(1+VLOOKUP($C$2,LISTAS[],2,FALSE))
   *(1+VLOOKUP($C$2,LISTAS[],3,FALSE))
)
/5,0)*5,0)</f>
        <v>48205</v>
      </c>
      <c r="P7" s="42">
        <f>IFERROR(
ROUND(
IF($A$2="COSTO",
   ((B7*(1+IFERROR(VLOOKUP($D$2,COLORES[],2,FALSE),0)))+G7)
   *(1-SUMPRODUCT(
        (DESC_PROV[LINEA]=$B$2)*
        (DESC_PROV[LISTA]=$C$2)*
        (DESC_PROV[DESCUENTO])
   )),
   ((B7*(1+IFERROR(VLOOKUP($D$2,COLORES[],2,FALSE),0)))+G7)
   *(1-SUMPRODUCT(
        (DESC_PROV[LINEA]=$B$2)*
        (DESC_PROV[LISTA]=$C$2)*
        (DESC_PROV[DESCUENTO])
   ))
   *(1+VLOOKUP($C$2,LISTAS[],2,FALSE))
   *(1+VLOOKUP($C$2,LISTAS[],3,FALSE))
)
/5,0)*5,0)</f>
        <v>41765</v>
      </c>
      <c r="Q7" s="43">
        <f>IFERROR(
ROUND(
IF($A$2="COSTO",
   ((B7*(1+IFERROR(VLOOKUP($D$2,COLORES[],2,FALSE),0)))+H7)
   *(1-SUMPRODUCT(
        (DESC_PROV[LINEA]=$B$2)*
        (DESC_PROV[LISTA]=$C$2)*
        (DESC_PROV[DESCUENTO])
   )),
   ((B7*(1+IFERROR(VLOOKUP($D$2,COLORES[],2,FALSE),0)))+H7)
   *(1-SUMPRODUCT(
        (DESC_PROV[LINEA]=$B$2)*
        (DESC_PROV[LISTA]=$C$2)*
        (DESC_PROV[DESCUENTO])
   ))
   *(1+VLOOKUP($C$2,LISTAS[],2,FALSE))
   *(1+VLOOKUP($C$2,LISTAS[],3,FALSE))
)
/5,0)*5,0)</f>
        <v>53405</v>
      </c>
    </row>
    <row r="8" spans="1:17">
      <c r="A8" s="47" t="s">
        <v>129</v>
      </c>
      <c r="B8" s="42">
        <v>32505</v>
      </c>
      <c r="C8" s="42">
        <v>3264</v>
      </c>
      <c r="D8" s="42">
        <v>3955</v>
      </c>
      <c r="E8" s="42">
        <v>5213</v>
      </c>
      <c r="F8" s="42">
        <v>11280</v>
      </c>
      <c r="G8" s="42">
        <v>4358</v>
      </c>
      <c r="H8" s="42">
        <v>16877</v>
      </c>
      <c r="I8" s="2"/>
      <c r="J8" s="2"/>
      <c r="K8" s="47" t="s">
        <v>129</v>
      </c>
      <c r="L8" s="42">
        <f>IFERROR(
ROUND(
IF($A$2="COSTO",
   ((B8*(1+IFERROR(VLOOKUP($D$2,COLORES[],2,FALSE),0)))+C8)
   *(1-SUMPRODUCT(
        (DESC_PROV[LINEA]=$B$2)*
        (DESC_PROV[LISTA]=$C$2)*
        (DESC_PROV[DESCUENTO])
   )),
   ((B8*(1+IFERROR(VLOOKUP($D$2,COLORES[],2,FALSE),0)))+C8)
   *(1-SUMPRODUCT(
        (DESC_PROV[LINEA]=$B$2)*
        (DESC_PROV[LISTA]=$C$2)*
        (DESC_PROV[DESCUENTO])
   ))
   *(1+VLOOKUP($C$2,LISTAS[],2,FALSE))
   *(1+VLOOKUP($C$2,LISTAS[],3,FALSE))
)
/5,0)*5,0)</f>
        <v>44360</v>
      </c>
      <c r="M8" s="42">
        <f>IFERROR(
ROUND(
IF($A$2="COSTO",
   ((B8*(1+IFERROR(VLOOKUP($D$2,COLORES[],2,FALSE),0)))+D8)
   *(1-SUMPRODUCT(
        (DESC_PROV[LINEA]=$B$2)*
        (DESC_PROV[LISTA]=$C$2)*
        (DESC_PROV[DESCUENTO])
   )),
   ((B8*(1+IFERROR(VLOOKUP($D$2,COLORES[],2,FALSE),0)))+D8)
   *(1-SUMPRODUCT(
        (DESC_PROV[LINEA]=$B$2)*
        (DESC_PROV[LISTA]=$C$2)*
        (DESC_PROV[DESCUENTO])
   ))
   *(1+VLOOKUP($C$2,LISTAS[],2,FALSE))
   *(1+VLOOKUP($C$2,LISTAS[],3,FALSE))
)
/5,0)*5,0)</f>
        <v>45220</v>
      </c>
      <c r="N8" s="42">
        <f>IFERROR(
ROUND(
IF($A$2="COSTO",
   ((B8*(1+IFERROR(VLOOKUP($D$2,COLORES[],2,FALSE),0)))+E8)
   *(1-SUMPRODUCT(
        (DESC_PROV[LINEA]=$B$2)*
        (DESC_PROV[LISTA]=$C$2)*
        (DESC_PROV[DESCUENTO])
   )),
   ((B8*(1+IFERROR(VLOOKUP($D$2,COLORES[],2,FALSE),0)))+E8)
   *(1-SUMPRODUCT(
        (DESC_PROV[LINEA]=$B$2)*
        (DESC_PROV[LISTA]=$C$2)*
        (DESC_PROV[DESCUENTO])
   ))
   *(1+VLOOKUP($C$2,LISTAS[],2,FALSE))
   *(1+VLOOKUP($C$2,LISTAS[],3,FALSE))
)
/5,0)*5,0)</f>
        <v>46780</v>
      </c>
      <c r="O8" s="42">
        <f>IFERROR(
ROUND(
IF($A$2="COSTO",
   ((B8*(1+IFERROR(VLOOKUP($D$2,COLORES[],2,FALSE),0)))+F8)
   *(1-SUMPRODUCT(
        (DESC_PROV[LINEA]=$B$2)*
        (DESC_PROV[LISTA]=$C$2)*
        (DESC_PROV[DESCUENTO])
   )),
   ((B8*(1+IFERROR(VLOOKUP($D$2,COLORES[],2,FALSE),0)))+F8)
   *(1-SUMPRODUCT(
        (DESC_PROV[LINEA]=$B$2)*
        (DESC_PROV[LISTA]=$C$2)*
        (DESC_PROV[DESCUENTO])
   ))
   *(1+VLOOKUP($C$2,LISTAS[],2,FALSE))
   *(1+VLOOKUP($C$2,LISTAS[],3,FALSE))
)
/5,0)*5,0)</f>
        <v>54300</v>
      </c>
      <c r="P8" s="42">
        <f>IFERROR(
ROUND(
IF($A$2="COSTO",
   ((B8*(1+IFERROR(VLOOKUP($D$2,COLORES[],2,FALSE),0)))+G8)
   *(1-SUMPRODUCT(
        (DESC_PROV[LINEA]=$B$2)*
        (DESC_PROV[LISTA]=$C$2)*
        (DESC_PROV[DESCUENTO])
   )),
   ((B8*(1+IFERROR(VLOOKUP($D$2,COLORES[],2,FALSE),0)))+G8)
   *(1-SUMPRODUCT(
        (DESC_PROV[LINEA]=$B$2)*
        (DESC_PROV[LISTA]=$C$2)*
        (DESC_PROV[DESCUENTO])
   ))
   *(1+VLOOKUP($C$2,LISTAS[],2,FALSE))
   *(1+VLOOKUP($C$2,LISTAS[],3,FALSE))
)
/5,0)*5,0)</f>
        <v>45715</v>
      </c>
      <c r="Q8" s="43">
        <f>IFERROR(
ROUND(
IF($A$2="COSTO",
   ((B8*(1+IFERROR(VLOOKUP($D$2,COLORES[],2,FALSE),0)))+H8)
   *(1-SUMPRODUCT(
        (DESC_PROV[LINEA]=$B$2)*
        (DESC_PROV[LISTA]=$C$2)*
        (DESC_PROV[DESCUENTO])
   )),
   ((B8*(1+IFERROR(VLOOKUP($D$2,COLORES[],2,FALSE),0)))+H8)
   *(1-SUMPRODUCT(
        (DESC_PROV[LINEA]=$B$2)*
        (DESC_PROV[LISTA]=$C$2)*
        (DESC_PROV[DESCUENTO])
   ))
   *(1+VLOOKUP($C$2,LISTAS[],2,FALSE))
   *(1+VLOOKUP($C$2,LISTAS[],3,FALSE))
)
/5,0)*5,0)</f>
        <v>61245</v>
      </c>
    </row>
    <row r="9" spans="1:17">
      <c r="A9" s="47" t="s">
        <v>130</v>
      </c>
      <c r="B9" s="42">
        <v>34605</v>
      </c>
      <c r="C9" s="42">
        <v>4080</v>
      </c>
      <c r="D9" s="42">
        <v>4944</v>
      </c>
      <c r="E9" s="42">
        <v>6518</v>
      </c>
      <c r="F9" s="42">
        <v>14102</v>
      </c>
      <c r="G9" s="42">
        <v>5453</v>
      </c>
      <c r="H9" s="42">
        <v>21105</v>
      </c>
      <c r="I9" s="2"/>
      <c r="J9" s="2"/>
      <c r="K9" s="47" t="s">
        <v>130</v>
      </c>
      <c r="L9" s="42">
        <f>IFERROR(
ROUND(
IF($A$2="COSTO",
   ((B9*(1+IFERROR(VLOOKUP($D$2,COLORES[],2,FALSE),0)))+C9)
   *(1-SUMPRODUCT(
        (DESC_PROV[LINEA]=$B$2)*
        (DESC_PROV[LISTA]=$C$2)*
        (DESC_PROV[DESCUENTO])
   )),
   ((B9*(1+IFERROR(VLOOKUP($D$2,COLORES[],2,FALSE),0)))+C9)
   *(1-SUMPRODUCT(
        (DESC_PROV[LINEA]=$B$2)*
        (DESC_PROV[LISTA]=$C$2)*
        (DESC_PROV[DESCUENTO])
   ))
   *(1+VLOOKUP($C$2,LISTAS[],2,FALSE))
   *(1+VLOOKUP($C$2,LISTAS[],3,FALSE))
)
/5,0)*5,0)</f>
        <v>47975</v>
      </c>
      <c r="M9" s="42">
        <f>IFERROR(
ROUND(
IF($A$2="COSTO",
   ((B9*(1+IFERROR(VLOOKUP($D$2,COLORES[],2,FALSE),0)))+D9)
   *(1-SUMPRODUCT(
        (DESC_PROV[LINEA]=$B$2)*
        (DESC_PROV[LISTA]=$C$2)*
        (DESC_PROV[DESCUENTO])
   )),
   ((B9*(1+IFERROR(VLOOKUP($D$2,COLORES[],2,FALSE),0)))+D9)
   *(1-SUMPRODUCT(
        (DESC_PROV[LINEA]=$B$2)*
        (DESC_PROV[LISTA]=$C$2)*
        (DESC_PROV[DESCUENTO])
   ))
   *(1+VLOOKUP($C$2,LISTAS[],2,FALSE))
   *(1+VLOOKUP($C$2,LISTAS[],3,FALSE))
)
/5,0)*5,0)</f>
        <v>49050</v>
      </c>
      <c r="N9" s="42">
        <f>IFERROR(
ROUND(
IF($A$2="COSTO",
   ((B9*(1+IFERROR(VLOOKUP($D$2,COLORES[],2,FALSE),0)))+E9)
   *(1-SUMPRODUCT(
        (DESC_PROV[LINEA]=$B$2)*
        (DESC_PROV[LISTA]=$C$2)*
        (DESC_PROV[DESCUENTO])
   )),
   ((B9*(1+IFERROR(VLOOKUP($D$2,COLORES[],2,FALSE),0)))+E9)
   *(1-SUMPRODUCT(
        (DESC_PROV[LINEA]=$B$2)*
        (DESC_PROV[LISTA]=$C$2)*
        (DESC_PROV[DESCUENTO])
   ))
   *(1+VLOOKUP($C$2,LISTAS[],2,FALSE))
   *(1+VLOOKUP($C$2,LISTAS[],3,FALSE))
)
/5,0)*5,0)</f>
        <v>51000</v>
      </c>
      <c r="O9" s="42">
        <f>IFERROR(
ROUND(
IF($A$2="COSTO",
   ((B9*(1+IFERROR(VLOOKUP($D$2,COLORES[],2,FALSE),0)))+F9)
   *(1-SUMPRODUCT(
        (DESC_PROV[LINEA]=$B$2)*
        (DESC_PROV[LISTA]=$C$2)*
        (DESC_PROV[DESCUENTO])
   )),
   ((B9*(1+IFERROR(VLOOKUP($D$2,COLORES[],2,FALSE),0)))+F9)
   *(1-SUMPRODUCT(
        (DESC_PROV[LINEA]=$B$2)*
        (DESC_PROV[LISTA]=$C$2)*
        (DESC_PROV[DESCUENTO])
   ))
   *(1+VLOOKUP($C$2,LISTAS[],2,FALSE))
   *(1+VLOOKUP($C$2,LISTAS[],3,FALSE))
)
/5,0)*5,0)</f>
        <v>60405</v>
      </c>
      <c r="P9" s="42">
        <f>IFERROR(
ROUND(
IF($A$2="COSTO",
   ((B9*(1+IFERROR(VLOOKUP($D$2,COLORES[],2,FALSE),0)))+G9)
   *(1-SUMPRODUCT(
        (DESC_PROV[LINEA]=$B$2)*
        (DESC_PROV[LISTA]=$C$2)*
        (DESC_PROV[DESCUENTO])
   )),
   ((B9*(1+IFERROR(VLOOKUP($D$2,COLORES[],2,FALSE),0)))+G9)
   *(1-SUMPRODUCT(
        (DESC_PROV[LINEA]=$B$2)*
        (DESC_PROV[LISTA]=$C$2)*
        (DESC_PROV[DESCUENTO])
   ))
   *(1+VLOOKUP($C$2,LISTAS[],2,FALSE))
   *(1+VLOOKUP($C$2,LISTAS[],3,FALSE))
)
/5,0)*5,0)</f>
        <v>49680</v>
      </c>
      <c r="Q9" s="43">
        <f>IFERROR(
ROUND(
IF($A$2="COSTO",
   ((B9*(1+IFERROR(VLOOKUP($D$2,COLORES[],2,FALSE),0)))+H9)
   *(1-SUMPRODUCT(
        (DESC_PROV[LINEA]=$B$2)*
        (DESC_PROV[LISTA]=$C$2)*
        (DESC_PROV[DESCUENTO])
   )),
   ((B9*(1+IFERROR(VLOOKUP($D$2,COLORES[],2,FALSE),0)))+H9)
   *(1-SUMPRODUCT(
        (DESC_PROV[LINEA]=$B$2)*
        (DESC_PROV[LISTA]=$C$2)*
        (DESC_PROV[DESCUENTO])
   ))
   *(1+VLOOKUP($C$2,LISTAS[],2,FALSE))
   *(1+VLOOKUP($C$2,LISTAS[],3,FALSE))
)
/5,0)*5,0)</f>
        <v>69090</v>
      </c>
    </row>
    <row r="10" spans="1:17">
      <c r="A10" s="47" t="s">
        <v>131</v>
      </c>
      <c r="B10" s="42">
        <v>36700</v>
      </c>
      <c r="C10" s="42">
        <v>4896</v>
      </c>
      <c r="D10" s="42">
        <v>5933</v>
      </c>
      <c r="E10" s="42">
        <v>7824</v>
      </c>
      <c r="F10" s="42">
        <v>16925</v>
      </c>
      <c r="G10" s="42">
        <v>6547</v>
      </c>
      <c r="H10" s="42">
        <v>25332</v>
      </c>
      <c r="I10" s="2"/>
      <c r="J10" s="2"/>
      <c r="K10" s="47" t="s">
        <v>131</v>
      </c>
      <c r="L10" s="42">
        <f>IFERROR(
ROUND(
IF($A$2="COSTO",
   ((B10*(1+IFERROR(VLOOKUP($D$2,COLORES[],2,FALSE),0)))+C10)
   *(1-SUMPRODUCT(
        (DESC_PROV[LINEA]=$B$2)*
        (DESC_PROV[LISTA]=$C$2)*
        (DESC_PROV[DESCUENTO])
   )),
   ((B10*(1+IFERROR(VLOOKUP($D$2,COLORES[],2,FALSE),0)))+C10)
   *(1-SUMPRODUCT(
        (DESC_PROV[LINEA]=$B$2)*
        (DESC_PROV[LISTA]=$C$2)*
        (DESC_PROV[DESCUENTO])
   ))
   *(1+VLOOKUP($C$2,LISTAS[],2,FALSE))
   *(1+VLOOKUP($C$2,LISTAS[],3,FALSE))
)
/5,0)*5,0)</f>
        <v>51585</v>
      </c>
      <c r="M10" s="42">
        <f>IFERROR(
ROUND(
IF($A$2="COSTO",
   ((B10*(1+IFERROR(VLOOKUP($D$2,COLORES[],2,FALSE),0)))+D10)
   *(1-SUMPRODUCT(
        (DESC_PROV[LINEA]=$B$2)*
        (DESC_PROV[LISTA]=$C$2)*
        (DESC_PROV[DESCUENTO])
   )),
   ((B10*(1+IFERROR(VLOOKUP($D$2,COLORES[],2,FALSE),0)))+D10)
   *(1-SUMPRODUCT(
        (DESC_PROV[LINEA]=$B$2)*
        (DESC_PROV[LISTA]=$C$2)*
        (DESC_PROV[DESCUENTO])
   ))
   *(1+VLOOKUP($C$2,LISTAS[],2,FALSE))
   *(1+VLOOKUP($C$2,LISTAS[],3,FALSE))
)
/5,0)*5,0)</f>
        <v>52875</v>
      </c>
      <c r="N10" s="42">
        <f>IFERROR(
ROUND(
IF($A$2="COSTO",
   ((B10*(1+IFERROR(VLOOKUP($D$2,COLORES[],2,FALSE),0)))+E10)
   *(1-SUMPRODUCT(
        (DESC_PROV[LINEA]=$B$2)*
        (DESC_PROV[LISTA]=$C$2)*
        (DESC_PROV[DESCUENTO])
   )),
   ((B10*(1+IFERROR(VLOOKUP($D$2,COLORES[],2,FALSE),0)))+E10)
   *(1-SUMPRODUCT(
        (DESC_PROV[LINEA]=$B$2)*
        (DESC_PROV[LISTA]=$C$2)*
        (DESC_PROV[DESCUENTO])
   ))
   *(1+VLOOKUP($C$2,LISTAS[],2,FALSE))
   *(1+VLOOKUP($C$2,LISTAS[],3,FALSE))
)
/5,0)*5,0)</f>
        <v>55220</v>
      </c>
      <c r="O10" s="42">
        <f>IFERROR(
ROUND(
IF($A$2="COSTO",
   ((B10*(1+IFERROR(VLOOKUP($D$2,COLORES[],2,FALSE),0)))+F10)
   *(1-SUMPRODUCT(
        (DESC_PROV[LINEA]=$B$2)*
        (DESC_PROV[LISTA]=$C$2)*
        (DESC_PROV[DESCUENTO])
   )),
   ((B10*(1+IFERROR(VLOOKUP($D$2,COLORES[],2,FALSE),0)))+F10)
   *(1-SUMPRODUCT(
        (DESC_PROV[LINEA]=$B$2)*
        (DESC_PROV[LISTA]=$C$2)*
        (DESC_PROV[DESCUENTO])
   ))
   *(1+VLOOKUP($C$2,LISTAS[],2,FALSE))
   *(1+VLOOKUP($C$2,LISTAS[],3,FALSE))
)
/5,0)*5,0)</f>
        <v>66505</v>
      </c>
      <c r="P10" s="42">
        <f>IFERROR(
ROUND(
IF($A$2="COSTO",
   ((B10*(1+IFERROR(VLOOKUP($D$2,COLORES[],2,FALSE),0)))+G10)
   *(1-SUMPRODUCT(
        (DESC_PROV[LINEA]=$B$2)*
        (DESC_PROV[LISTA]=$C$2)*
        (DESC_PROV[DESCUENTO])
   )),
   ((B10*(1+IFERROR(VLOOKUP($D$2,COLORES[],2,FALSE),0)))+G10)
   *(1-SUMPRODUCT(
        (DESC_PROV[LINEA]=$B$2)*
        (DESC_PROV[LISTA]=$C$2)*
        (DESC_PROV[DESCUENTO])
   ))
   *(1+VLOOKUP($C$2,LISTAS[],2,FALSE))
   *(1+VLOOKUP($C$2,LISTAS[],3,FALSE))
)
/5,0)*5,0)</f>
        <v>53635</v>
      </c>
      <c r="Q10" s="43">
        <f>IFERROR(
ROUND(
IF($A$2="COSTO",
   ((B10*(1+IFERROR(VLOOKUP($D$2,COLORES[],2,FALSE),0)))+H10)
   *(1-SUMPRODUCT(
        (DESC_PROV[LINEA]=$B$2)*
        (DESC_PROV[LISTA]=$C$2)*
        (DESC_PROV[DESCUENTO])
   )),
   ((B10*(1+IFERROR(VLOOKUP($D$2,COLORES[],2,FALSE),0)))+H10)
   *(1-SUMPRODUCT(
        (DESC_PROV[LINEA]=$B$2)*
        (DESC_PROV[LISTA]=$C$2)*
        (DESC_PROV[DESCUENTO])
   ))
   *(1+VLOOKUP($C$2,LISTAS[],2,FALSE))
   *(1+VLOOKUP($C$2,LISTAS[],3,FALSE))
)
/5,0)*5,0)</f>
        <v>76930</v>
      </c>
    </row>
    <row r="11" spans="1:17">
      <c r="A11" s="47" t="s">
        <v>132</v>
      </c>
      <c r="B11" s="42">
        <v>38794</v>
      </c>
      <c r="C11" s="42">
        <v>5712</v>
      </c>
      <c r="D11" s="42">
        <v>6922</v>
      </c>
      <c r="E11" s="42">
        <v>9130</v>
      </c>
      <c r="F11" s="42">
        <v>19747</v>
      </c>
      <c r="G11" s="42">
        <v>7642</v>
      </c>
      <c r="H11" s="42">
        <v>29560</v>
      </c>
      <c r="I11" s="2"/>
      <c r="J11" s="2"/>
      <c r="K11" s="47" t="s">
        <v>132</v>
      </c>
      <c r="L11" s="42">
        <f>IFERROR(
ROUND(
IF($A$2="COSTO",
   ((B11*(1+IFERROR(VLOOKUP($D$2,COLORES[],2,FALSE),0)))+C11)
   *(1-SUMPRODUCT(
        (DESC_PROV[LINEA]=$B$2)*
        (DESC_PROV[LISTA]=$C$2)*
        (DESC_PROV[DESCUENTO])
   )),
   ((B11*(1+IFERROR(VLOOKUP($D$2,COLORES[],2,FALSE),0)))+C11)
   *(1-SUMPRODUCT(
        (DESC_PROV[LINEA]=$B$2)*
        (DESC_PROV[LISTA]=$C$2)*
        (DESC_PROV[DESCUENTO])
   ))
   *(1+VLOOKUP($C$2,LISTAS[],2,FALSE))
   *(1+VLOOKUP($C$2,LISTAS[],3,FALSE))
)
/5,0)*5,0)</f>
        <v>55195</v>
      </c>
      <c r="M11" s="42">
        <f>IFERROR(
ROUND(
IF($A$2="COSTO",
   ((B11*(1+IFERROR(VLOOKUP($D$2,COLORES[],2,FALSE),0)))+D11)
   *(1-SUMPRODUCT(
        (DESC_PROV[LINEA]=$B$2)*
        (DESC_PROV[LISTA]=$C$2)*
        (DESC_PROV[DESCUENTO])
   )),
   ((B11*(1+IFERROR(VLOOKUP($D$2,COLORES[],2,FALSE),0)))+D11)
   *(1-SUMPRODUCT(
        (DESC_PROV[LINEA]=$B$2)*
        (DESC_PROV[LISTA]=$C$2)*
        (DESC_PROV[DESCUENTO])
   ))
   *(1+VLOOKUP($C$2,LISTAS[],2,FALSE))
   *(1+VLOOKUP($C$2,LISTAS[],3,FALSE))
)
/5,0)*5,0)</f>
        <v>56695</v>
      </c>
      <c r="N11" s="42">
        <f>IFERROR(
ROUND(
IF($A$2="COSTO",
   ((B11*(1+IFERROR(VLOOKUP($D$2,COLORES[],2,FALSE),0)))+E11)
   *(1-SUMPRODUCT(
        (DESC_PROV[LINEA]=$B$2)*
        (DESC_PROV[LISTA]=$C$2)*
        (DESC_PROV[DESCUENTO])
   )),
   ((B11*(1+IFERROR(VLOOKUP($D$2,COLORES[],2,FALSE),0)))+E11)
   *(1-SUMPRODUCT(
        (DESC_PROV[LINEA]=$B$2)*
        (DESC_PROV[LISTA]=$C$2)*
        (DESC_PROV[DESCUENTO])
   ))
   *(1+VLOOKUP($C$2,LISTAS[],2,FALSE))
   *(1+VLOOKUP($C$2,LISTAS[],3,FALSE))
)
/5,0)*5,0)</f>
        <v>59435</v>
      </c>
      <c r="O11" s="42">
        <f>IFERROR(
ROUND(
IF($A$2="COSTO",
   ((B11*(1+IFERROR(VLOOKUP($D$2,COLORES[],2,FALSE),0)))+F11)
   *(1-SUMPRODUCT(
        (DESC_PROV[LINEA]=$B$2)*
        (DESC_PROV[LISTA]=$C$2)*
        (DESC_PROV[DESCUENTO])
   )),
   ((B11*(1+IFERROR(VLOOKUP($D$2,COLORES[],2,FALSE),0)))+F11)
   *(1-SUMPRODUCT(
        (DESC_PROV[LINEA]=$B$2)*
        (DESC_PROV[LISTA]=$C$2)*
        (DESC_PROV[DESCUENTO])
   ))
   *(1+VLOOKUP($C$2,LISTAS[],2,FALSE))
   *(1+VLOOKUP($C$2,LISTAS[],3,FALSE))
)
/5,0)*5,0)</f>
        <v>72605</v>
      </c>
      <c r="P11" s="42">
        <f>IFERROR(
ROUND(
IF($A$2="COSTO",
   ((B11*(1+IFERROR(VLOOKUP($D$2,COLORES[],2,FALSE),0)))+G11)
   *(1-SUMPRODUCT(
        (DESC_PROV[LINEA]=$B$2)*
        (DESC_PROV[LISTA]=$C$2)*
        (DESC_PROV[DESCUENTO])
   )),
   ((B11*(1+IFERROR(VLOOKUP($D$2,COLORES[],2,FALSE),0)))+G11)
   *(1-SUMPRODUCT(
        (DESC_PROV[LINEA]=$B$2)*
        (DESC_PROV[LISTA]=$C$2)*
        (DESC_PROV[DESCUENTO])
   ))
   *(1+VLOOKUP($C$2,LISTAS[],2,FALSE))
   *(1+VLOOKUP($C$2,LISTAS[],3,FALSE))
)
/5,0)*5,0)</f>
        <v>57590</v>
      </c>
      <c r="Q11" s="43">
        <f>IFERROR(
ROUND(
IF($A$2="COSTO",
   ((B11*(1+IFERROR(VLOOKUP($D$2,COLORES[],2,FALSE),0)))+H11)
   *(1-SUMPRODUCT(
        (DESC_PROV[LINEA]=$B$2)*
        (DESC_PROV[LISTA]=$C$2)*
        (DESC_PROV[DESCUENTO])
   )),
   ((B11*(1+IFERROR(VLOOKUP($D$2,COLORES[],2,FALSE),0)))+H11)
   *(1-SUMPRODUCT(
        (DESC_PROV[LINEA]=$B$2)*
        (DESC_PROV[LISTA]=$C$2)*
        (DESC_PROV[DESCUENTO])
   ))
   *(1+VLOOKUP($C$2,LISTAS[],2,FALSE))
   *(1+VLOOKUP($C$2,LISTAS[],3,FALSE))
)
/5,0)*5,0)</f>
        <v>84775</v>
      </c>
    </row>
    <row r="12" spans="1:17">
      <c r="A12" s="47" t="s">
        <v>133</v>
      </c>
      <c r="B12" s="42">
        <v>40888</v>
      </c>
      <c r="C12" s="42">
        <v>6528</v>
      </c>
      <c r="D12" s="42">
        <v>7910</v>
      </c>
      <c r="E12" s="42">
        <v>10435</v>
      </c>
      <c r="F12" s="42">
        <v>22570</v>
      </c>
      <c r="G12" s="42">
        <v>8736</v>
      </c>
      <c r="H12" s="42">
        <v>33788</v>
      </c>
      <c r="I12" s="2"/>
      <c r="J12" s="2"/>
      <c r="K12" s="47" t="s">
        <v>133</v>
      </c>
      <c r="L12" s="42">
        <f>IFERROR(
ROUND(
IF($A$2="COSTO",
   ((B12*(1+IFERROR(VLOOKUP($D$2,COLORES[],2,FALSE),0)))+C12)
   *(1-SUMPRODUCT(
        (DESC_PROV[LINEA]=$B$2)*
        (DESC_PROV[LISTA]=$C$2)*
        (DESC_PROV[DESCUENTO])
   )),
   ((B12*(1+IFERROR(VLOOKUP($D$2,COLORES[],2,FALSE),0)))+C12)
   *(1-SUMPRODUCT(
        (DESC_PROV[LINEA]=$B$2)*
        (DESC_PROV[LISTA]=$C$2)*
        (DESC_PROV[DESCUENTO])
   ))
   *(1+VLOOKUP($C$2,LISTAS[],2,FALSE))
   *(1+VLOOKUP($C$2,LISTAS[],3,FALSE))
)
/5,0)*5,0)</f>
        <v>58805</v>
      </c>
      <c r="M12" s="42">
        <f>IFERROR(
ROUND(
IF($A$2="COSTO",
   ((B12*(1+IFERROR(VLOOKUP($D$2,COLORES[],2,FALSE),0)))+D12)
   *(1-SUMPRODUCT(
        (DESC_PROV[LINEA]=$B$2)*
        (DESC_PROV[LISTA]=$C$2)*
        (DESC_PROV[DESCUENTO])
   )),
   ((B12*(1+IFERROR(VLOOKUP($D$2,COLORES[],2,FALSE),0)))+D12)
   *(1-SUMPRODUCT(
        (DESC_PROV[LINEA]=$B$2)*
        (DESC_PROV[LISTA]=$C$2)*
        (DESC_PROV[DESCUENTO])
   ))
   *(1+VLOOKUP($C$2,LISTAS[],2,FALSE))
   *(1+VLOOKUP($C$2,LISTAS[],3,FALSE))
)
/5,0)*5,0)</f>
        <v>60520</v>
      </c>
      <c r="N12" s="42">
        <f>IFERROR(
ROUND(
IF($A$2="COSTO",
   ((B12*(1+IFERROR(VLOOKUP($D$2,COLORES[],2,FALSE),0)))+E12)
   *(1-SUMPRODUCT(
        (DESC_PROV[LINEA]=$B$2)*
        (DESC_PROV[LISTA]=$C$2)*
        (DESC_PROV[DESCUENTO])
   )),
   ((B12*(1+IFERROR(VLOOKUP($D$2,COLORES[],2,FALSE),0)))+E12)
   *(1-SUMPRODUCT(
        (DESC_PROV[LINEA]=$B$2)*
        (DESC_PROV[LISTA]=$C$2)*
        (DESC_PROV[DESCUENTO])
   ))
   *(1+VLOOKUP($C$2,LISTAS[],2,FALSE))
   *(1+VLOOKUP($C$2,LISTAS[],3,FALSE))
)
/5,0)*5,0)</f>
        <v>63650</v>
      </c>
      <c r="O12" s="42">
        <f>IFERROR(
ROUND(
IF($A$2="COSTO",
   ((B12*(1+IFERROR(VLOOKUP($D$2,COLORES[],2,FALSE),0)))+F12)
   *(1-SUMPRODUCT(
        (DESC_PROV[LINEA]=$B$2)*
        (DESC_PROV[LISTA]=$C$2)*
        (DESC_PROV[DESCUENTO])
   )),
   ((B12*(1+IFERROR(VLOOKUP($D$2,COLORES[],2,FALSE),0)))+F12)
   *(1-SUMPRODUCT(
        (DESC_PROV[LINEA]=$B$2)*
        (DESC_PROV[LISTA]=$C$2)*
        (DESC_PROV[DESCUENTO])
   ))
   *(1+VLOOKUP($C$2,LISTAS[],2,FALSE))
   *(1+VLOOKUP($C$2,LISTAS[],3,FALSE))
)
/5,0)*5,0)</f>
        <v>78700</v>
      </c>
      <c r="P12" s="42">
        <f>IFERROR(
ROUND(
IF($A$2="COSTO",
   ((B12*(1+IFERROR(VLOOKUP($D$2,COLORES[],2,FALSE),0)))+G12)
   *(1-SUMPRODUCT(
        (DESC_PROV[LINEA]=$B$2)*
        (DESC_PROV[LISTA]=$C$2)*
        (DESC_PROV[DESCUENTO])
   )),
   ((B12*(1+IFERROR(VLOOKUP($D$2,COLORES[],2,FALSE),0)))+G12)
   *(1-SUMPRODUCT(
        (DESC_PROV[LINEA]=$B$2)*
        (DESC_PROV[LISTA]=$C$2)*
        (DESC_PROV[DESCUENTO])
   ))
   *(1+VLOOKUP($C$2,LISTAS[],2,FALSE))
   *(1+VLOOKUP($C$2,LISTAS[],3,FALSE))
)
/5,0)*5,0)</f>
        <v>61545</v>
      </c>
      <c r="Q12" s="43">
        <f>IFERROR(
ROUND(
IF($A$2="COSTO",
   ((B12*(1+IFERROR(VLOOKUP($D$2,COLORES[],2,FALSE),0)))+H12)
   *(1-SUMPRODUCT(
        (DESC_PROV[LINEA]=$B$2)*
        (DESC_PROV[LISTA]=$C$2)*
        (DESC_PROV[DESCUENTO])
   )),
   ((B12*(1+IFERROR(VLOOKUP($D$2,COLORES[],2,FALSE),0)))+H12)
   *(1-SUMPRODUCT(
        (DESC_PROV[LINEA]=$B$2)*
        (DESC_PROV[LISTA]=$C$2)*
        (DESC_PROV[DESCUENTO])
   ))
   *(1+VLOOKUP($C$2,LISTAS[],2,FALSE))
   *(1+VLOOKUP($C$2,LISTAS[],3,FALSE))
)
/5,0)*5,0)</f>
        <v>92615</v>
      </c>
    </row>
    <row r="13" spans="1:17">
      <c r="A13" s="47" t="s">
        <v>134</v>
      </c>
      <c r="B13" s="42">
        <v>42983</v>
      </c>
      <c r="C13" s="42">
        <v>7344</v>
      </c>
      <c r="D13" s="42">
        <v>8899</v>
      </c>
      <c r="E13" s="42">
        <v>11741</v>
      </c>
      <c r="F13" s="42">
        <v>25392</v>
      </c>
      <c r="G13" s="42">
        <v>9830</v>
      </c>
      <c r="H13" s="42">
        <v>38016</v>
      </c>
      <c r="I13" s="2"/>
      <c r="J13" s="2"/>
      <c r="K13" s="47" t="s">
        <v>134</v>
      </c>
      <c r="L13" s="42">
        <f>IFERROR(
ROUND(
IF($A$2="COSTO",
   ((B13*(1+IFERROR(VLOOKUP($D$2,COLORES[],2,FALSE),0)))+C13)
   *(1-SUMPRODUCT(
        (DESC_PROV[LINEA]=$B$2)*
        (DESC_PROV[LISTA]=$C$2)*
        (DESC_PROV[DESCUENTO])
   )),
   ((B13*(1+IFERROR(VLOOKUP($D$2,COLORES[],2,FALSE),0)))+C13)
   *(1-SUMPRODUCT(
        (DESC_PROV[LINEA]=$B$2)*
        (DESC_PROV[LISTA]=$C$2)*
        (DESC_PROV[DESCUENTO])
   ))
   *(1+VLOOKUP($C$2,LISTAS[],2,FALSE))
   *(1+VLOOKUP($C$2,LISTAS[],3,FALSE))
)
/5,0)*5,0)</f>
        <v>62415</v>
      </c>
      <c r="M13" s="42">
        <f>IFERROR(
ROUND(
IF($A$2="COSTO",
   ((B13*(1+IFERROR(VLOOKUP($D$2,COLORES[],2,FALSE),0)))+D13)
   *(1-SUMPRODUCT(
        (DESC_PROV[LINEA]=$B$2)*
        (DESC_PROV[LISTA]=$C$2)*
        (DESC_PROV[DESCUENTO])
   )),
   ((B13*(1+IFERROR(VLOOKUP($D$2,COLORES[],2,FALSE),0)))+D13)
   *(1-SUMPRODUCT(
        (DESC_PROV[LINEA]=$B$2)*
        (DESC_PROV[LISTA]=$C$2)*
        (DESC_PROV[DESCUENTO])
   ))
   *(1+VLOOKUP($C$2,LISTAS[],2,FALSE))
   *(1+VLOOKUP($C$2,LISTAS[],3,FALSE))
)
/5,0)*5,0)</f>
        <v>64345</v>
      </c>
      <c r="N13" s="42">
        <f>IFERROR(
ROUND(
IF($A$2="COSTO",
   ((B13*(1+IFERROR(VLOOKUP($D$2,COLORES[],2,FALSE),0)))+E13)
   *(1-SUMPRODUCT(
        (DESC_PROV[LINEA]=$B$2)*
        (DESC_PROV[LISTA]=$C$2)*
        (DESC_PROV[DESCUENTO])
   )),
   ((B13*(1+IFERROR(VLOOKUP($D$2,COLORES[],2,FALSE),0)))+E13)
   *(1-SUMPRODUCT(
        (DESC_PROV[LINEA]=$B$2)*
        (DESC_PROV[LISTA]=$C$2)*
        (DESC_PROV[DESCUENTO])
   ))
   *(1+VLOOKUP($C$2,LISTAS[],2,FALSE))
   *(1+VLOOKUP($C$2,LISTAS[],3,FALSE))
)
/5,0)*5,0)</f>
        <v>67870</v>
      </c>
      <c r="O13" s="42">
        <f>IFERROR(
ROUND(
IF($A$2="COSTO",
   ((B13*(1+IFERROR(VLOOKUP($D$2,COLORES[],2,FALSE),0)))+F13)
   *(1-SUMPRODUCT(
        (DESC_PROV[LINEA]=$B$2)*
        (DESC_PROV[LISTA]=$C$2)*
        (DESC_PROV[DESCUENTO])
   )),
   ((B13*(1+IFERROR(VLOOKUP($D$2,COLORES[],2,FALSE),0)))+F13)
   *(1-SUMPRODUCT(
        (DESC_PROV[LINEA]=$B$2)*
        (DESC_PROV[LISTA]=$C$2)*
        (DESC_PROV[DESCUENTO])
   ))
   *(1+VLOOKUP($C$2,LISTAS[],2,FALSE))
   *(1+VLOOKUP($C$2,LISTAS[],3,FALSE))
)
/5,0)*5,0)</f>
        <v>84800</v>
      </c>
      <c r="P13" s="42">
        <f>IFERROR(
ROUND(
IF($A$2="COSTO",
   ((B13*(1+IFERROR(VLOOKUP($D$2,COLORES[],2,FALSE),0)))+G13)
   *(1-SUMPRODUCT(
        (DESC_PROV[LINEA]=$B$2)*
        (DESC_PROV[LISTA]=$C$2)*
        (DESC_PROV[DESCUENTO])
   )),
   ((B13*(1+IFERROR(VLOOKUP($D$2,COLORES[],2,FALSE),0)))+G13)
   *(1-SUMPRODUCT(
        (DESC_PROV[LINEA]=$B$2)*
        (DESC_PROV[LISTA]=$C$2)*
        (DESC_PROV[DESCUENTO])
   ))
   *(1+VLOOKUP($C$2,LISTAS[],2,FALSE))
   *(1+VLOOKUP($C$2,LISTAS[],3,FALSE))
)
/5,0)*5,0)</f>
        <v>65500</v>
      </c>
      <c r="Q13" s="43">
        <f>IFERROR(
ROUND(
IF($A$2="COSTO",
   ((B13*(1+IFERROR(VLOOKUP($D$2,COLORES[],2,FALSE),0)))+H13)
   *(1-SUMPRODUCT(
        (DESC_PROV[LINEA]=$B$2)*
        (DESC_PROV[LISTA]=$C$2)*
        (DESC_PROV[DESCUENTO])
   )),
   ((B13*(1+IFERROR(VLOOKUP($D$2,COLORES[],2,FALSE),0)))+H13)
   *(1-SUMPRODUCT(
        (DESC_PROV[LINEA]=$B$2)*
        (DESC_PROV[LISTA]=$C$2)*
        (DESC_PROV[DESCUENTO])
   ))
   *(1+VLOOKUP($C$2,LISTAS[],2,FALSE))
   *(1+VLOOKUP($C$2,LISTAS[],3,FALSE))
)
/5,0)*5,0)</f>
        <v>100455</v>
      </c>
    </row>
    <row r="14" spans="1:17">
      <c r="A14" s="47" t="s">
        <v>135</v>
      </c>
      <c r="B14" s="42">
        <v>32505</v>
      </c>
      <c r="C14" s="42">
        <v>3264</v>
      </c>
      <c r="D14" s="42">
        <v>3955</v>
      </c>
      <c r="E14" s="42">
        <v>5213</v>
      </c>
      <c r="F14" s="42">
        <v>11280</v>
      </c>
      <c r="G14" s="42">
        <v>4358</v>
      </c>
      <c r="H14" s="42">
        <v>16877</v>
      </c>
      <c r="I14" s="2"/>
      <c r="J14" s="2"/>
      <c r="K14" s="47" t="s">
        <v>135</v>
      </c>
      <c r="L14" s="42">
        <f>IFERROR(
ROUND(
IF($A$2="COSTO",
   ((B14*(1+IFERROR(VLOOKUP($D$2,COLORES[],2,FALSE),0)))+C14)
   *(1-SUMPRODUCT(
        (DESC_PROV[LINEA]=$B$2)*
        (DESC_PROV[LISTA]=$C$2)*
        (DESC_PROV[DESCUENTO])
   )),
   ((B14*(1+IFERROR(VLOOKUP($D$2,COLORES[],2,FALSE),0)))+C14)
   *(1-SUMPRODUCT(
        (DESC_PROV[LINEA]=$B$2)*
        (DESC_PROV[LISTA]=$C$2)*
        (DESC_PROV[DESCUENTO])
   ))
   *(1+VLOOKUP($C$2,LISTAS[],2,FALSE))
   *(1+VLOOKUP($C$2,LISTAS[],3,FALSE))
)
/5,0)*5,0)</f>
        <v>44360</v>
      </c>
      <c r="M14" s="42">
        <f>IFERROR(
ROUND(
IF($A$2="COSTO",
   ((B14*(1+IFERROR(VLOOKUP($D$2,COLORES[],2,FALSE),0)))+D14)
   *(1-SUMPRODUCT(
        (DESC_PROV[LINEA]=$B$2)*
        (DESC_PROV[LISTA]=$C$2)*
        (DESC_PROV[DESCUENTO])
   )),
   ((B14*(1+IFERROR(VLOOKUP($D$2,COLORES[],2,FALSE),0)))+D14)
   *(1-SUMPRODUCT(
        (DESC_PROV[LINEA]=$B$2)*
        (DESC_PROV[LISTA]=$C$2)*
        (DESC_PROV[DESCUENTO])
   ))
   *(1+VLOOKUP($C$2,LISTAS[],2,FALSE))
   *(1+VLOOKUP($C$2,LISTAS[],3,FALSE))
)
/5,0)*5,0)</f>
        <v>45220</v>
      </c>
      <c r="N14" s="42">
        <f>IFERROR(
ROUND(
IF($A$2="COSTO",
   ((B14*(1+IFERROR(VLOOKUP($D$2,COLORES[],2,FALSE),0)))+E14)
   *(1-SUMPRODUCT(
        (DESC_PROV[LINEA]=$B$2)*
        (DESC_PROV[LISTA]=$C$2)*
        (DESC_PROV[DESCUENTO])
   )),
   ((B14*(1+IFERROR(VLOOKUP($D$2,COLORES[],2,FALSE),0)))+E14)
   *(1-SUMPRODUCT(
        (DESC_PROV[LINEA]=$B$2)*
        (DESC_PROV[LISTA]=$C$2)*
        (DESC_PROV[DESCUENTO])
   ))
   *(1+VLOOKUP($C$2,LISTAS[],2,FALSE))
   *(1+VLOOKUP($C$2,LISTAS[],3,FALSE))
)
/5,0)*5,0)</f>
        <v>46780</v>
      </c>
      <c r="O14" s="42">
        <f>IFERROR(
ROUND(
IF($A$2="COSTO",
   ((B14*(1+IFERROR(VLOOKUP($D$2,COLORES[],2,FALSE),0)))+F14)
   *(1-SUMPRODUCT(
        (DESC_PROV[LINEA]=$B$2)*
        (DESC_PROV[LISTA]=$C$2)*
        (DESC_PROV[DESCUENTO])
   )),
   ((B14*(1+IFERROR(VLOOKUP($D$2,COLORES[],2,FALSE),0)))+F14)
   *(1-SUMPRODUCT(
        (DESC_PROV[LINEA]=$B$2)*
        (DESC_PROV[LISTA]=$C$2)*
        (DESC_PROV[DESCUENTO])
   ))
   *(1+VLOOKUP($C$2,LISTAS[],2,FALSE))
   *(1+VLOOKUP($C$2,LISTAS[],3,FALSE))
)
/5,0)*5,0)</f>
        <v>54300</v>
      </c>
      <c r="P14" s="42">
        <f>IFERROR(
ROUND(
IF($A$2="COSTO",
   ((B14*(1+IFERROR(VLOOKUP($D$2,COLORES[],2,FALSE),0)))+G14)
   *(1-SUMPRODUCT(
        (DESC_PROV[LINEA]=$B$2)*
        (DESC_PROV[LISTA]=$C$2)*
        (DESC_PROV[DESCUENTO])
   )),
   ((B14*(1+IFERROR(VLOOKUP($D$2,COLORES[],2,FALSE),0)))+G14)
   *(1-SUMPRODUCT(
        (DESC_PROV[LINEA]=$B$2)*
        (DESC_PROV[LISTA]=$C$2)*
        (DESC_PROV[DESCUENTO])
   ))
   *(1+VLOOKUP($C$2,LISTAS[],2,FALSE))
   *(1+VLOOKUP($C$2,LISTAS[],3,FALSE))
)
/5,0)*5,0)</f>
        <v>45715</v>
      </c>
      <c r="Q14" s="43">
        <f>IFERROR(
ROUND(
IF($A$2="COSTO",
   ((B14*(1+IFERROR(VLOOKUP($D$2,COLORES[],2,FALSE),0)))+H14)
   *(1-SUMPRODUCT(
        (DESC_PROV[LINEA]=$B$2)*
        (DESC_PROV[LISTA]=$C$2)*
        (DESC_PROV[DESCUENTO])
   )),
   ((B14*(1+IFERROR(VLOOKUP($D$2,COLORES[],2,FALSE),0)))+H14)
   *(1-SUMPRODUCT(
        (DESC_PROV[LINEA]=$B$2)*
        (DESC_PROV[LISTA]=$C$2)*
        (DESC_PROV[DESCUENTO])
   ))
   *(1+VLOOKUP($C$2,LISTAS[],2,FALSE))
   *(1+VLOOKUP($C$2,LISTAS[],3,FALSE))
)
/5,0)*5,0)</f>
        <v>61245</v>
      </c>
    </row>
    <row r="15" spans="1:17">
      <c r="A15" s="47" t="s">
        <v>136</v>
      </c>
      <c r="B15" s="42">
        <v>34605</v>
      </c>
      <c r="C15" s="42">
        <v>4358</v>
      </c>
      <c r="D15" s="42">
        <v>5270</v>
      </c>
      <c r="E15" s="42">
        <v>6960</v>
      </c>
      <c r="F15" s="42">
        <v>15034</v>
      </c>
      <c r="G15" s="42">
        <v>5808</v>
      </c>
      <c r="H15" s="42">
        <v>22499</v>
      </c>
      <c r="I15" s="2"/>
      <c r="J15" s="2"/>
      <c r="K15" s="47" t="s">
        <v>136</v>
      </c>
      <c r="L15" s="42">
        <f>IFERROR(
ROUND(
IF($A$2="COSTO",
   ((B15*(1+IFERROR(VLOOKUP($D$2,COLORES[],2,FALSE),0)))+C15)
   *(1-SUMPRODUCT(
        (DESC_PROV[LINEA]=$B$2)*
        (DESC_PROV[LISTA]=$C$2)*
        (DESC_PROV[DESCUENTO])
   )),
   ((B15*(1+IFERROR(VLOOKUP($D$2,COLORES[],2,FALSE),0)))+C15)
   *(1-SUMPRODUCT(
        (DESC_PROV[LINEA]=$B$2)*
        (DESC_PROV[LISTA]=$C$2)*
        (DESC_PROV[DESCUENTO])
   ))
   *(1+VLOOKUP($C$2,LISTAS[],2,FALSE))
   *(1+VLOOKUP($C$2,LISTAS[],3,FALSE))
)
/5,0)*5,0)</f>
        <v>48320</v>
      </c>
      <c r="M15" s="42">
        <f>IFERROR(
ROUND(
IF($A$2="COSTO",
   ((B15*(1+IFERROR(VLOOKUP($D$2,COLORES[],2,FALSE),0)))+D15)
   *(1-SUMPRODUCT(
        (DESC_PROV[LINEA]=$B$2)*
        (DESC_PROV[LISTA]=$C$2)*
        (DESC_PROV[DESCUENTO])
   )),
   ((B15*(1+IFERROR(VLOOKUP($D$2,COLORES[],2,FALSE),0)))+D15)
   *(1-SUMPRODUCT(
        (DESC_PROV[LINEA]=$B$2)*
        (DESC_PROV[LISTA]=$C$2)*
        (DESC_PROV[DESCUENTO])
   ))
   *(1+VLOOKUP($C$2,LISTAS[],2,FALSE))
   *(1+VLOOKUP($C$2,LISTAS[],3,FALSE))
)
/5,0)*5,0)</f>
        <v>49455</v>
      </c>
      <c r="N15" s="42">
        <f>IFERROR(
ROUND(
IF($A$2="COSTO",
   ((B15*(1+IFERROR(VLOOKUP($D$2,COLORES[],2,FALSE),0)))+E15)
   *(1-SUMPRODUCT(
        (DESC_PROV[LINEA]=$B$2)*
        (DESC_PROV[LISTA]=$C$2)*
        (DESC_PROV[DESCUENTO])
   )),
   ((B15*(1+IFERROR(VLOOKUP($D$2,COLORES[],2,FALSE),0)))+E15)
   *(1-SUMPRODUCT(
        (DESC_PROV[LINEA]=$B$2)*
        (DESC_PROV[LISTA]=$C$2)*
        (DESC_PROV[DESCUENTO])
   ))
   *(1+VLOOKUP($C$2,LISTAS[],2,FALSE))
   *(1+VLOOKUP($C$2,LISTAS[],3,FALSE))
)
/5,0)*5,0)</f>
        <v>51550</v>
      </c>
      <c r="O15" s="42">
        <f>IFERROR(
ROUND(
IF($A$2="COSTO",
   ((B15*(1+IFERROR(VLOOKUP($D$2,COLORES[],2,FALSE),0)))+F15)
   *(1-SUMPRODUCT(
        (DESC_PROV[LINEA]=$B$2)*
        (DESC_PROV[LISTA]=$C$2)*
        (DESC_PROV[DESCUENTO])
   )),
   ((B15*(1+IFERROR(VLOOKUP($D$2,COLORES[],2,FALSE),0)))+F15)
   *(1-SUMPRODUCT(
        (DESC_PROV[LINEA]=$B$2)*
        (DESC_PROV[LISTA]=$C$2)*
        (DESC_PROV[DESCUENTO])
   ))
   *(1+VLOOKUP($C$2,LISTAS[],2,FALSE))
   *(1+VLOOKUP($C$2,LISTAS[],3,FALSE))
)
/5,0)*5,0)</f>
        <v>61560</v>
      </c>
      <c r="P15" s="42">
        <f>IFERROR(
ROUND(
IF($A$2="COSTO",
   ((B15*(1+IFERROR(VLOOKUP($D$2,COLORES[],2,FALSE),0)))+G15)
   *(1-SUMPRODUCT(
        (DESC_PROV[LINEA]=$B$2)*
        (DESC_PROV[LISTA]=$C$2)*
        (DESC_PROV[DESCUENTO])
   )),
   ((B15*(1+IFERROR(VLOOKUP($D$2,COLORES[],2,FALSE),0)))+G15)
   *(1-SUMPRODUCT(
        (DESC_PROV[LINEA]=$B$2)*
        (DESC_PROV[LISTA]=$C$2)*
        (DESC_PROV[DESCUENTO])
   ))
   *(1+VLOOKUP($C$2,LISTAS[],2,FALSE))
   *(1+VLOOKUP($C$2,LISTAS[],3,FALSE))
)
/5,0)*5,0)</f>
        <v>50120</v>
      </c>
      <c r="Q15" s="43">
        <f>IFERROR(
ROUND(
IF($A$2="COSTO",
   ((B15*(1+IFERROR(VLOOKUP($D$2,COLORES[],2,FALSE),0)))+H15)
   *(1-SUMPRODUCT(
        (DESC_PROV[LINEA]=$B$2)*
        (DESC_PROV[LISTA]=$C$2)*
        (DESC_PROV[DESCUENTO])
   )),
   ((B15*(1+IFERROR(VLOOKUP($D$2,COLORES[],2,FALSE),0)))+H15)
   *(1-SUMPRODUCT(
        (DESC_PROV[LINEA]=$B$2)*
        (DESC_PROV[LISTA]=$C$2)*
        (DESC_PROV[DESCUENTO])
   ))
   *(1+VLOOKUP($C$2,LISTAS[],2,FALSE))
   *(1+VLOOKUP($C$2,LISTAS[],3,FALSE))
)
/5,0)*5,0)</f>
        <v>70820</v>
      </c>
    </row>
    <row r="16" spans="1:17">
      <c r="A16" s="47" t="s">
        <v>137</v>
      </c>
      <c r="B16" s="42">
        <v>36700</v>
      </c>
      <c r="C16" s="42">
        <v>5443</v>
      </c>
      <c r="D16" s="42">
        <v>6586</v>
      </c>
      <c r="E16" s="42">
        <v>8707</v>
      </c>
      <c r="F16" s="42">
        <v>18787</v>
      </c>
      <c r="G16" s="42">
        <v>7258</v>
      </c>
      <c r="H16" s="42">
        <v>28120</v>
      </c>
      <c r="I16" s="2"/>
      <c r="J16" s="2"/>
      <c r="K16" s="47" t="s">
        <v>137</v>
      </c>
      <c r="L16" s="42">
        <f>IFERROR(
ROUND(
IF($A$2="COSTO",
   ((B16*(1+IFERROR(VLOOKUP($D$2,COLORES[],2,FALSE),0)))+C16)
   *(1-SUMPRODUCT(
        (DESC_PROV[LINEA]=$B$2)*
        (DESC_PROV[LISTA]=$C$2)*
        (DESC_PROV[DESCUENTO])
   )),
   ((B16*(1+IFERROR(VLOOKUP($D$2,COLORES[],2,FALSE),0)))+C16)
   *(1-SUMPRODUCT(
        (DESC_PROV[LINEA]=$B$2)*
        (DESC_PROV[LISTA]=$C$2)*
        (DESC_PROV[DESCUENTO])
   ))
   *(1+VLOOKUP($C$2,LISTAS[],2,FALSE))
   *(1+VLOOKUP($C$2,LISTAS[],3,FALSE))
)
/5,0)*5,0)</f>
        <v>52265</v>
      </c>
      <c r="M16" s="42">
        <f>IFERROR(
ROUND(
IF($A$2="COSTO",
   ((B16*(1+IFERROR(VLOOKUP($D$2,COLORES[],2,FALSE),0)))+D16)
   *(1-SUMPRODUCT(
        (DESC_PROV[LINEA]=$B$2)*
        (DESC_PROV[LISTA]=$C$2)*
        (DESC_PROV[DESCUENTO])
   )),
   ((B16*(1+IFERROR(VLOOKUP($D$2,COLORES[],2,FALSE),0)))+D16)
   *(1-SUMPRODUCT(
        (DESC_PROV[LINEA]=$B$2)*
        (DESC_PROV[LISTA]=$C$2)*
        (DESC_PROV[DESCUENTO])
   ))
   *(1+VLOOKUP($C$2,LISTAS[],2,FALSE))
   *(1+VLOOKUP($C$2,LISTAS[],3,FALSE))
)
/5,0)*5,0)</f>
        <v>53685</v>
      </c>
      <c r="N16" s="42">
        <f>IFERROR(
ROUND(
IF($A$2="COSTO",
   ((B16*(1+IFERROR(VLOOKUP($D$2,COLORES[],2,FALSE),0)))+E16)
   *(1-SUMPRODUCT(
        (DESC_PROV[LINEA]=$B$2)*
        (DESC_PROV[LISTA]=$C$2)*
        (DESC_PROV[DESCUENTO])
   )),
   ((B16*(1+IFERROR(VLOOKUP($D$2,COLORES[],2,FALSE),0)))+E16)
   *(1-SUMPRODUCT(
        (DESC_PROV[LINEA]=$B$2)*
        (DESC_PROV[LISTA]=$C$2)*
        (DESC_PROV[DESCUENTO])
   ))
   *(1+VLOOKUP($C$2,LISTAS[],2,FALSE))
   *(1+VLOOKUP($C$2,LISTAS[],3,FALSE))
)
/5,0)*5,0)</f>
        <v>56315</v>
      </c>
      <c r="O16" s="42">
        <f>IFERROR(
ROUND(
IF($A$2="COSTO",
   ((B16*(1+IFERROR(VLOOKUP($D$2,COLORES[],2,FALSE),0)))+F16)
   *(1-SUMPRODUCT(
        (DESC_PROV[LINEA]=$B$2)*
        (DESC_PROV[LISTA]=$C$2)*
        (DESC_PROV[DESCUENTO])
   )),
   ((B16*(1+IFERROR(VLOOKUP($D$2,COLORES[],2,FALSE),0)))+F16)
   *(1-SUMPRODUCT(
        (DESC_PROV[LINEA]=$B$2)*
        (DESC_PROV[LISTA]=$C$2)*
        (DESC_PROV[DESCUENTO])
   ))
   *(1+VLOOKUP($C$2,LISTAS[],2,FALSE))
   *(1+VLOOKUP($C$2,LISTAS[],3,FALSE))
)
/5,0)*5,0)</f>
        <v>68815</v>
      </c>
      <c r="P16" s="42">
        <f>IFERROR(
ROUND(
IF($A$2="COSTO",
   ((B16*(1+IFERROR(VLOOKUP($D$2,COLORES[],2,FALSE),0)))+G16)
   *(1-SUMPRODUCT(
        (DESC_PROV[LINEA]=$B$2)*
        (DESC_PROV[LISTA]=$C$2)*
        (DESC_PROV[DESCUENTO])
   )),
   ((B16*(1+IFERROR(VLOOKUP($D$2,COLORES[],2,FALSE),0)))+G16)
   *(1-SUMPRODUCT(
        (DESC_PROV[LINEA]=$B$2)*
        (DESC_PROV[LISTA]=$C$2)*
        (DESC_PROV[DESCUENTO])
   ))
   *(1+VLOOKUP($C$2,LISTAS[],2,FALSE))
   *(1+VLOOKUP($C$2,LISTAS[],3,FALSE))
)
/5,0)*5,0)</f>
        <v>54515</v>
      </c>
      <c r="Q16" s="43">
        <f>IFERROR(
ROUND(
IF($A$2="COSTO",
   ((B16*(1+IFERROR(VLOOKUP($D$2,COLORES[],2,FALSE),0)))+H16)
   *(1-SUMPRODUCT(
        (DESC_PROV[LINEA]=$B$2)*
        (DESC_PROV[LISTA]=$C$2)*
        (DESC_PROV[DESCUENTO])
   )),
   ((B16*(1+IFERROR(VLOOKUP($D$2,COLORES[],2,FALSE),0)))+H16)
   *(1-SUMPRODUCT(
        (DESC_PROV[LINEA]=$B$2)*
        (DESC_PROV[LISTA]=$C$2)*
        (DESC_PROV[DESCUENTO])
   ))
   *(1+VLOOKUP($C$2,LISTAS[],2,FALSE))
   *(1+VLOOKUP($C$2,LISTAS[],3,FALSE))
)
/5,0)*5,0)</f>
        <v>80390</v>
      </c>
    </row>
    <row r="17" spans="1:17">
      <c r="A17" s="47" t="s">
        <v>138</v>
      </c>
      <c r="B17" s="42">
        <v>38794</v>
      </c>
      <c r="C17" s="42">
        <v>6528</v>
      </c>
      <c r="D17" s="42">
        <v>7901</v>
      </c>
      <c r="E17" s="42">
        <v>10454</v>
      </c>
      <c r="F17" s="42">
        <v>22541</v>
      </c>
      <c r="G17" s="42">
        <v>8707</v>
      </c>
      <c r="H17" s="42">
        <v>33742</v>
      </c>
      <c r="I17" s="2"/>
      <c r="J17" s="2"/>
      <c r="K17" s="47" t="s">
        <v>138</v>
      </c>
      <c r="L17" s="42">
        <f>IFERROR(
ROUND(
IF($A$2="COSTO",
   ((B17*(1+IFERROR(VLOOKUP($D$2,COLORES[],2,FALSE),0)))+C17)
   *(1-SUMPRODUCT(
        (DESC_PROV[LINEA]=$B$2)*
        (DESC_PROV[LISTA]=$C$2)*
        (DESC_PROV[DESCUENTO])
   )),
   ((B17*(1+IFERROR(VLOOKUP($D$2,COLORES[],2,FALSE),0)))+C17)
   *(1-SUMPRODUCT(
        (DESC_PROV[LINEA]=$B$2)*
        (DESC_PROV[LISTA]=$C$2)*
        (DESC_PROV[DESCUENTO])
   ))
   *(1+VLOOKUP($C$2,LISTAS[],2,FALSE))
   *(1+VLOOKUP($C$2,LISTAS[],3,FALSE))
)
/5,0)*5,0)</f>
        <v>56210</v>
      </c>
      <c r="M17" s="42">
        <f>IFERROR(
ROUND(
IF($A$2="COSTO",
   ((B17*(1+IFERROR(VLOOKUP($D$2,COLORES[],2,FALSE),0)))+D17)
   *(1-SUMPRODUCT(
        (DESC_PROV[LINEA]=$B$2)*
        (DESC_PROV[LISTA]=$C$2)*
        (DESC_PROV[DESCUENTO])
   )),
   ((B17*(1+IFERROR(VLOOKUP($D$2,COLORES[],2,FALSE),0)))+D17)
   *(1-SUMPRODUCT(
        (DESC_PROV[LINEA]=$B$2)*
        (DESC_PROV[LISTA]=$C$2)*
        (DESC_PROV[DESCUENTO])
   ))
   *(1+VLOOKUP($C$2,LISTAS[],2,FALSE))
   *(1+VLOOKUP($C$2,LISTAS[],3,FALSE))
)
/5,0)*5,0)</f>
        <v>57910</v>
      </c>
      <c r="N17" s="42">
        <f>IFERROR(
ROUND(
IF($A$2="COSTO",
   ((B17*(1+IFERROR(VLOOKUP($D$2,COLORES[],2,FALSE),0)))+E17)
   *(1-SUMPRODUCT(
        (DESC_PROV[LINEA]=$B$2)*
        (DESC_PROV[LISTA]=$C$2)*
        (DESC_PROV[DESCUENTO])
   )),
   ((B17*(1+IFERROR(VLOOKUP($D$2,COLORES[],2,FALSE),0)))+E17)
   *(1-SUMPRODUCT(
        (DESC_PROV[LINEA]=$B$2)*
        (DESC_PROV[LISTA]=$C$2)*
        (DESC_PROV[DESCUENTO])
   ))
   *(1+VLOOKUP($C$2,LISTAS[],2,FALSE))
   *(1+VLOOKUP($C$2,LISTAS[],3,FALSE))
)
/5,0)*5,0)</f>
        <v>61075</v>
      </c>
      <c r="O17" s="42">
        <f>IFERROR(
ROUND(
IF($A$2="COSTO",
   ((B17*(1+IFERROR(VLOOKUP($D$2,COLORES[],2,FALSE),0)))+F17)
   *(1-SUMPRODUCT(
        (DESC_PROV[LINEA]=$B$2)*
        (DESC_PROV[LISTA]=$C$2)*
        (DESC_PROV[DESCUENTO])
   )),
   ((B17*(1+IFERROR(VLOOKUP($D$2,COLORES[],2,FALSE),0)))+F17)
   *(1-SUMPRODUCT(
        (DESC_PROV[LINEA]=$B$2)*
        (DESC_PROV[LISTA]=$C$2)*
        (DESC_PROV[DESCUENTO])
   ))
   *(1+VLOOKUP($C$2,LISTAS[],2,FALSE))
   *(1+VLOOKUP($C$2,LISTAS[],3,FALSE))
)
/5,0)*5,0)</f>
        <v>76070</v>
      </c>
      <c r="P17" s="42">
        <f>IFERROR(
ROUND(
IF($A$2="COSTO",
   ((B17*(1+IFERROR(VLOOKUP($D$2,COLORES[],2,FALSE),0)))+G17)
   *(1-SUMPRODUCT(
        (DESC_PROV[LINEA]=$B$2)*
        (DESC_PROV[LISTA]=$C$2)*
        (DESC_PROV[DESCUENTO])
   )),
   ((B17*(1+IFERROR(VLOOKUP($D$2,COLORES[],2,FALSE),0)))+G17)
   *(1-SUMPRODUCT(
        (DESC_PROV[LINEA]=$B$2)*
        (DESC_PROV[LISTA]=$C$2)*
        (DESC_PROV[DESCUENTO])
   ))
   *(1+VLOOKUP($C$2,LISTAS[],2,FALSE))
   *(1+VLOOKUP($C$2,LISTAS[],3,FALSE))
)
/5,0)*5,0)</f>
        <v>58910</v>
      </c>
      <c r="Q17" s="43">
        <f>IFERROR(
ROUND(
IF($A$2="COSTO",
   ((B17*(1+IFERROR(VLOOKUP($D$2,COLORES[],2,FALSE),0)))+H17)
   *(1-SUMPRODUCT(
        (DESC_PROV[LINEA]=$B$2)*
        (DESC_PROV[LISTA]=$C$2)*
        (DESC_PROV[DESCUENTO])
   )),
   ((B17*(1+IFERROR(VLOOKUP($D$2,COLORES[],2,FALSE),0)))+H17)
   *(1-SUMPRODUCT(
        (DESC_PROV[LINEA]=$B$2)*
        (DESC_PROV[LISTA]=$C$2)*
        (DESC_PROV[DESCUENTO])
   ))
   *(1+VLOOKUP($C$2,LISTAS[],2,FALSE))
   *(1+VLOOKUP($C$2,LISTAS[],3,FALSE))
)
/5,0)*5,0)</f>
        <v>89960</v>
      </c>
    </row>
    <row r="18" spans="1:17">
      <c r="A18" s="47" t="s">
        <v>139</v>
      </c>
      <c r="B18" s="42">
        <v>40888</v>
      </c>
      <c r="C18" s="42">
        <v>7622</v>
      </c>
      <c r="D18" s="42">
        <v>9216</v>
      </c>
      <c r="E18" s="42">
        <v>12202</v>
      </c>
      <c r="F18" s="42">
        <v>26294</v>
      </c>
      <c r="G18" s="42">
        <v>10157</v>
      </c>
      <c r="H18" s="42">
        <v>39364</v>
      </c>
      <c r="I18" s="2"/>
      <c r="J18" s="2"/>
      <c r="K18" s="47" t="s">
        <v>139</v>
      </c>
      <c r="L18" s="42">
        <f>IFERROR(
ROUND(
IF($A$2="COSTO",
   ((B18*(1+IFERROR(VLOOKUP($D$2,COLORES[],2,FALSE),0)))+C18)
   *(1-SUMPRODUCT(
        (DESC_PROV[LINEA]=$B$2)*
        (DESC_PROV[LISTA]=$C$2)*
        (DESC_PROV[DESCUENTO])
   )),
   ((B18*(1+IFERROR(VLOOKUP($D$2,COLORES[],2,FALSE),0)))+C18)
   *(1-SUMPRODUCT(
        (DESC_PROV[LINEA]=$B$2)*
        (DESC_PROV[LISTA]=$C$2)*
        (DESC_PROV[DESCUENTO])
   ))
   *(1+VLOOKUP($C$2,LISTAS[],2,FALSE))
   *(1+VLOOKUP($C$2,LISTAS[],3,FALSE))
)
/5,0)*5,0)</f>
        <v>60160</v>
      </c>
      <c r="M18" s="42">
        <f>IFERROR(
ROUND(
IF($A$2="COSTO",
   ((B18*(1+IFERROR(VLOOKUP($D$2,COLORES[],2,FALSE),0)))+D18)
   *(1-SUMPRODUCT(
        (DESC_PROV[LINEA]=$B$2)*
        (DESC_PROV[LISTA]=$C$2)*
        (DESC_PROV[DESCUENTO])
   )),
   ((B18*(1+IFERROR(VLOOKUP($D$2,COLORES[],2,FALSE),0)))+D18)
   *(1-SUMPRODUCT(
        (DESC_PROV[LINEA]=$B$2)*
        (DESC_PROV[LISTA]=$C$2)*
        (DESC_PROV[DESCUENTO])
   ))
   *(1+VLOOKUP($C$2,LISTAS[],2,FALSE))
   *(1+VLOOKUP($C$2,LISTAS[],3,FALSE))
)
/5,0)*5,0)</f>
        <v>62140</v>
      </c>
      <c r="N18" s="42">
        <f>IFERROR(
ROUND(
IF($A$2="COSTO",
   ((B18*(1+IFERROR(VLOOKUP($D$2,COLORES[],2,FALSE),0)))+E18)
   *(1-SUMPRODUCT(
        (DESC_PROV[LINEA]=$B$2)*
        (DESC_PROV[LISTA]=$C$2)*
        (DESC_PROV[DESCUENTO])
   )),
   ((B18*(1+IFERROR(VLOOKUP($D$2,COLORES[],2,FALSE),0)))+E18)
   *(1-SUMPRODUCT(
        (DESC_PROV[LINEA]=$B$2)*
        (DESC_PROV[LISTA]=$C$2)*
        (DESC_PROV[DESCUENTO])
   ))
   *(1+VLOOKUP($C$2,LISTAS[],2,FALSE))
   *(1+VLOOKUP($C$2,LISTAS[],3,FALSE))
)
/5,0)*5,0)</f>
        <v>65840</v>
      </c>
      <c r="O18" s="42">
        <f>IFERROR(
ROUND(
IF($A$2="COSTO",
   ((B18*(1+IFERROR(VLOOKUP($D$2,COLORES[],2,FALSE),0)))+F18)
   *(1-SUMPRODUCT(
        (DESC_PROV[LINEA]=$B$2)*
        (DESC_PROV[LISTA]=$C$2)*
        (DESC_PROV[DESCUENTO])
   )),
   ((B18*(1+IFERROR(VLOOKUP($D$2,COLORES[],2,FALSE),0)))+F18)
   *(1-SUMPRODUCT(
        (DESC_PROV[LINEA]=$B$2)*
        (DESC_PROV[LISTA]=$C$2)*
        (DESC_PROV[DESCUENTO])
   ))
   *(1+VLOOKUP($C$2,LISTAS[],2,FALSE))
   *(1+VLOOKUP($C$2,LISTAS[],3,FALSE))
)
/5,0)*5,0)</f>
        <v>83320</v>
      </c>
      <c r="P18" s="42">
        <f>IFERROR(
ROUND(
IF($A$2="COSTO",
   ((B18*(1+IFERROR(VLOOKUP($D$2,COLORES[],2,FALSE),0)))+G18)
   *(1-SUMPRODUCT(
        (DESC_PROV[LINEA]=$B$2)*
        (DESC_PROV[LISTA]=$C$2)*
        (DESC_PROV[DESCUENTO])
   )),
   ((B18*(1+IFERROR(VLOOKUP($D$2,COLORES[],2,FALSE),0)))+G18)
   *(1-SUMPRODUCT(
        (DESC_PROV[LINEA]=$B$2)*
        (DESC_PROV[LISTA]=$C$2)*
        (DESC_PROV[DESCUENTO])
   ))
   *(1+VLOOKUP($C$2,LISTAS[],2,FALSE))
   *(1+VLOOKUP($C$2,LISTAS[],3,FALSE))
)
/5,0)*5,0)</f>
        <v>63305</v>
      </c>
      <c r="Q18" s="43">
        <f>IFERROR(
ROUND(
IF($A$2="COSTO",
   ((B18*(1+IFERROR(VLOOKUP($D$2,COLORES[],2,FALSE),0)))+H18)
   *(1-SUMPRODUCT(
        (DESC_PROV[LINEA]=$B$2)*
        (DESC_PROV[LISTA]=$C$2)*
        (DESC_PROV[DESCUENTO])
   )),
   ((B18*(1+IFERROR(VLOOKUP($D$2,COLORES[],2,FALSE),0)))+H18)
   *(1-SUMPRODUCT(
        (DESC_PROV[LINEA]=$B$2)*
        (DESC_PROV[LISTA]=$C$2)*
        (DESC_PROV[DESCUENTO])
   ))
   *(1+VLOOKUP($C$2,LISTAS[],2,FALSE))
   *(1+VLOOKUP($C$2,LISTAS[],3,FALSE))
)
/5,0)*5,0)</f>
        <v>99530</v>
      </c>
    </row>
    <row r="19" spans="1:17">
      <c r="A19" s="47" t="s">
        <v>140</v>
      </c>
      <c r="B19" s="42">
        <v>42983</v>
      </c>
      <c r="C19" s="42">
        <v>8707</v>
      </c>
      <c r="D19" s="42">
        <v>10531</v>
      </c>
      <c r="E19" s="42">
        <v>13949</v>
      </c>
      <c r="F19" s="42">
        <v>30048</v>
      </c>
      <c r="G19" s="42">
        <v>11606</v>
      </c>
      <c r="H19" s="42">
        <v>44986</v>
      </c>
      <c r="I19" s="2"/>
      <c r="J19" s="2"/>
      <c r="K19" s="47" t="s">
        <v>140</v>
      </c>
      <c r="L19" s="42">
        <f>IFERROR(
ROUND(
IF($A$2="COSTO",
   ((B19*(1+IFERROR(VLOOKUP($D$2,COLORES[],2,FALSE),0)))+C19)
   *(1-SUMPRODUCT(
        (DESC_PROV[LINEA]=$B$2)*
        (DESC_PROV[LISTA]=$C$2)*
        (DESC_PROV[DESCUENTO])
   )),
   ((B19*(1+IFERROR(VLOOKUP($D$2,COLORES[],2,FALSE),0)))+C19)
   *(1-SUMPRODUCT(
        (DESC_PROV[LINEA]=$B$2)*
        (DESC_PROV[LISTA]=$C$2)*
        (DESC_PROV[DESCUENTO])
   ))
   *(1+VLOOKUP($C$2,LISTAS[],2,FALSE))
   *(1+VLOOKUP($C$2,LISTAS[],3,FALSE))
)
/5,0)*5,0)</f>
        <v>64105</v>
      </c>
      <c r="M19" s="42">
        <f>IFERROR(
ROUND(
IF($A$2="COSTO",
   ((B19*(1+IFERROR(VLOOKUP($D$2,COLORES[],2,FALSE),0)))+D19)
   *(1-SUMPRODUCT(
        (DESC_PROV[LINEA]=$B$2)*
        (DESC_PROV[LISTA]=$C$2)*
        (DESC_PROV[DESCUENTO])
   )),
   ((B19*(1+IFERROR(VLOOKUP($D$2,COLORES[],2,FALSE),0)))+D19)
   *(1-SUMPRODUCT(
        (DESC_PROV[LINEA]=$B$2)*
        (DESC_PROV[LISTA]=$C$2)*
        (DESC_PROV[DESCUENTO])
   ))
   *(1+VLOOKUP($C$2,LISTAS[],2,FALSE))
   *(1+VLOOKUP($C$2,LISTAS[],3,FALSE))
)
/5,0)*5,0)</f>
        <v>66370</v>
      </c>
      <c r="N19" s="42">
        <f>IFERROR(
ROUND(
IF($A$2="COSTO",
   ((B19*(1+IFERROR(VLOOKUP($D$2,COLORES[],2,FALSE),0)))+E19)
   *(1-SUMPRODUCT(
        (DESC_PROV[LINEA]=$B$2)*
        (DESC_PROV[LISTA]=$C$2)*
        (DESC_PROV[DESCUENTO])
   )),
   ((B19*(1+IFERROR(VLOOKUP($D$2,COLORES[],2,FALSE),0)))+E19)
   *(1-SUMPRODUCT(
        (DESC_PROV[LINEA]=$B$2)*
        (DESC_PROV[LISTA]=$C$2)*
        (DESC_PROV[DESCUENTO])
   ))
   *(1+VLOOKUP($C$2,LISTAS[],2,FALSE))
   *(1+VLOOKUP($C$2,LISTAS[],3,FALSE))
)
/5,0)*5,0)</f>
        <v>70605</v>
      </c>
      <c r="O19" s="42">
        <f>IFERROR(
ROUND(
IF($A$2="COSTO",
   ((B19*(1+IFERROR(VLOOKUP($D$2,COLORES[],2,FALSE),0)))+F19)
   *(1-SUMPRODUCT(
        (DESC_PROV[LINEA]=$B$2)*
        (DESC_PROV[LISTA]=$C$2)*
        (DESC_PROV[DESCUENTO])
   )),
   ((B19*(1+IFERROR(VLOOKUP($D$2,COLORES[],2,FALSE),0)))+F19)
   *(1-SUMPRODUCT(
        (DESC_PROV[LINEA]=$B$2)*
        (DESC_PROV[LISTA]=$C$2)*
        (DESC_PROV[DESCUENTO])
   ))
   *(1+VLOOKUP($C$2,LISTAS[],2,FALSE))
   *(1+VLOOKUP($C$2,LISTAS[],3,FALSE))
)
/5,0)*5,0)</f>
        <v>90575</v>
      </c>
      <c r="P19" s="42">
        <f>IFERROR(
ROUND(
IF($A$2="COSTO",
   ((B19*(1+IFERROR(VLOOKUP($D$2,COLORES[],2,FALSE),0)))+G19)
   *(1-SUMPRODUCT(
        (DESC_PROV[LINEA]=$B$2)*
        (DESC_PROV[LISTA]=$C$2)*
        (DESC_PROV[DESCUENTO])
   )),
   ((B19*(1+IFERROR(VLOOKUP($D$2,COLORES[],2,FALSE),0)))+G19)
   *(1-SUMPRODUCT(
        (DESC_PROV[LINEA]=$B$2)*
        (DESC_PROV[LISTA]=$C$2)*
        (DESC_PROV[DESCUENTO])
   ))
   *(1+VLOOKUP($C$2,LISTAS[],2,FALSE))
   *(1+VLOOKUP($C$2,LISTAS[],3,FALSE))
)
/5,0)*5,0)</f>
        <v>67700</v>
      </c>
      <c r="Q19" s="43">
        <f>IFERROR(
ROUND(
IF($A$2="COSTO",
   ((B19*(1+IFERROR(VLOOKUP($D$2,COLORES[],2,FALSE),0)))+H19)
   *(1-SUMPRODUCT(
        (DESC_PROV[LINEA]=$B$2)*
        (DESC_PROV[LISTA]=$C$2)*
        (DESC_PROV[DESCUENTO])
   )),
   ((B19*(1+IFERROR(VLOOKUP($D$2,COLORES[],2,FALSE),0)))+H19)
   *(1-SUMPRODUCT(
        (DESC_PROV[LINEA]=$B$2)*
        (DESC_PROV[LISTA]=$C$2)*
        (DESC_PROV[DESCUENTO])
   ))
   *(1+VLOOKUP($C$2,LISTAS[],2,FALSE))
   *(1+VLOOKUP($C$2,LISTAS[],3,FALSE))
)
/5,0)*5,0)</f>
        <v>109100</v>
      </c>
    </row>
    <row r="20" spans="1:17">
      <c r="A20" s="47" t="s">
        <v>141</v>
      </c>
      <c r="B20" s="42">
        <v>45077</v>
      </c>
      <c r="C20" s="42">
        <v>9792</v>
      </c>
      <c r="D20" s="42">
        <v>11846</v>
      </c>
      <c r="E20" s="42">
        <v>15696</v>
      </c>
      <c r="F20" s="42">
        <v>33802</v>
      </c>
      <c r="G20" s="42">
        <v>13056</v>
      </c>
      <c r="H20" s="42">
        <v>50607</v>
      </c>
      <c r="I20" s="2"/>
      <c r="J20" s="2"/>
      <c r="K20" s="47" t="s">
        <v>141</v>
      </c>
      <c r="L20" s="42">
        <f>IFERROR(
ROUND(
IF($A$2="COSTO",
   ((B20*(1+IFERROR(VLOOKUP($D$2,COLORES[],2,FALSE),0)))+C20)
   *(1-SUMPRODUCT(
        (DESC_PROV[LINEA]=$B$2)*
        (DESC_PROV[LISTA]=$C$2)*
        (DESC_PROV[DESCUENTO])
   )),
   ((B20*(1+IFERROR(VLOOKUP($D$2,COLORES[],2,FALSE),0)))+C20)
   *(1-SUMPRODUCT(
        (DESC_PROV[LINEA]=$B$2)*
        (DESC_PROV[LISTA]=$C$2)*
        (DESC_PROV[DESCUENTO])
   ))
   *(1+VLOOKUP($C$2,LISTAS[],2,FALSE))
   *(1+VLOOKUP($C$2,LISTAS[],3,FALSE))
)
/5,0)*5,0)</f>
        <v>68050</v>
      </c>
      <c r="M20" s="42">
        <f>IFERROR(
ROUND(
IF($A$2="COSTO",
   ((B20*(1+IFERROR(VLOOKUP($D$2,COLORES[],2,FALSE),0)))+D20)
   *(1-SUMPRODUCT(
        (DESC_PROV[LINEA]=$B$2)*
        (DESC_PROV[LISTA]=$C$2)*
        (DESC_PROV[DESCUENTO])
   )),
   ((B20*(1+IFERROR(VLOOKUP($D$2,COLORES[],2,FALSE),0)))+D20)
   *(1-SUMPRODUCT(
        (DESC_PROV[LINEA]=$B$2)*
        (DESC_PROV[LISTA]=$C$2)*
        (DESC_PROV[DESCUENTO])
   ))
   *(1+VLOOKUP($C$2,LISTAS[],2,FALSE))
   *(1+VLOOKUP($C$2,LISTAS[],3,FALSE))
)
/5,0)*5,0)</f>
        <v>70595</v>
      </c>
      <c r="N20" s="42">
        <f>IFERROR(
ROUND(
IF($A$2="COSTO",
   ((B20*(1+IFERROR(VLOOKUP($D$2,COLORES[],2,FALSE),0)))+E20)
   *(1-SUMPRODUCT(
        (DESC_PROV[LINEA]=$B$2)*
        (DESC_PROV[LISTA]=$C$2)*
        (DESC_PROV[DESCUENTO])
   )),
   ((B20*(1+IFERROR(VLOOKUP($D$2,COLORES[],2,FALSE),0)))+E20)
   *(1-SUMPRODUCT(
        (DESC_PROV[LINEA]=$B$2)*
        (DESC_PROV[LISTA]=$C$2)*
        (DESC_PROV[DESCUENTO])
   ))
   *(1+VLOOKUP($C$2,LISTAS[],2,FALSE))
   *(1+VLOOKUP($C$2,LISTAS[],3,FALSE))
)
/5,0)*5,0)</f>
        <v>75370</v>
      </c>
      <c r="O20" s="42">
        <f>IFERROR(
ROUND(
IF($A$2="COSTO",
   ((B20*(1+IFERROR(VLOOKUP($D$2,COLORES[],2,FALSE),0)))+F20)
   *(1-SUMPRODUCT(
        (DESC_PROV[LINEA]=$B$2)*
        (DESC_PROV[LISTA]=$C$2)*
        (DESC_PROV[DESCUENTO])
   )),
   ((B20*(1+IFERROR(VLOOKUP($D$2,COLORES[],2,FALSE),0)))+F20)
   *(1-SUMPRODUCT(
        (DESC_PROV[LINEA]=$B$2)*
        (DESC_PROV[LISTA]=$C$2)*
        (DESC_PROV[DESCUENTO])
   ))
   *(1+VLOOKUP($C$2,LISTAS[],2,FALSE))
   *(1+VLOOKUP($C$2,LISTAS[],3,FALSE))
)
/5,0)*5,0)</f>
        <v>97825</v>
      </c>
      <c r="P20" s="42">
        <f>IFERROR(
ROUND(
IF($A$2="COSTO",
   ((B20*(1+IFERROR(VLOOKUP($D$2,COLORES[],2,FALSE),0)))+G20)
   *(1-SUMPRODUCT(
        (DESC_PROV[LINEA]=$B$2)*
        (DESC_PROV[LISTA]=$C$2)*
        (DESC_PROV[DESCUENTO])
   )),
   ((B20*(1+IFERROR(VLOOKUP($D$2,COLORES[],2,FALSE),0)))+G20)
   *(1-SUMPRODUCT(
        (DESC_PROV[LINEA]=$B$2)*
        (DESC_PROV[LISTA]=$C$2)*
        (DESC_PROV[DESCUENTO])
   ))
   *(1+VLOOKUP($C$2,LISTAS[],2,FALSE))
   *(1+VLOOKUP($C$2,LISTAS[],3,FALSE))
)
/5,0)*5,0)</f>
        <v>72095</v>
      </c>
      <c r="Q20" s="43">
        <f>IFERROR(
ROUND(
IF($A$2="COSTO",
   ((B20*(1+IFERROR(VLOOKUP($D$2,COLORES[],2,FALSE),0)))+H20)
   *(1-SUMPRODUCT(
        (DESC_PROV[LINEA]=$B$2)*
        (DESC_PROV[LISTA]=$C$2)*
        (DESC_PROV[DESCUENTO])
   )),
   ((B20*(1+IFERROR(VLOOKUP($D$2,COLORES[],2,FALSE),0)))+H20)
   *(1-SUMPRODUCT(
        (DESC_PROV[LINEA]=$B$2)*
        (DESC_PROV[LISTA]=$C$2)*
        (DESC_PROV[DESCUENTO])
   ))
   *(1+VLOOKUP($C$2,LISTAS[],2,FALSE))
   *(1+VLOOKUP($C$2,LISTAS[],3,FALSE))
)
/5,0)*5,0)</f>
        <v>118665</v>
      </c>
    </row>
    <row r="21" spans="1:17">
      <c r="A21" s="47" t="s">
        <v>156</v>
      </c>
      <c r="B21" s="42">
        <v>34605</v>
      </c>
      <c r="C21" s="42">
        <v>4080</v>
      </c>
      <c r="D21" s="42">
        <v>4944</v>
      </c>
      <c r="E21" s="42">
        <v>6518</v>
      </c>
      <c r="F21" s="42">
        <v>14102</v>
      </c>
      <c r="G21" s="42">
        <v>5453</v>
      </c>
      <c r="H21" s="42">
        <v>21105</v>
      </c>
      <c r="I21" s="2"/>
      <c r="J21" s="2"/>
      <c r="K21" s="47" t="s">
        <v>156</v>
      </c>
      <c r="L21" s="42">
        <f>IFERROR(
ROUND(
IF($A$2="COSTO",
   ((B21*(1+IFERROR(VLOOKUP($D$2,COLORES[],2,FALSE),0)))+C21)
   *(1-SUMPRODUCT(
        (DESC_PROV[LINEA]=$B$2)*
        (DESC_PROV[LISTA]=$C$2)*
        (DESC_PROV[DESCUENTO])
   )),
   ((B21*(1+IFERROR(VLOOKUP($D$2,COLORES[],2,FALSE),0)))+C21)
   *(1-SUMPRODUCT(
        (DESC_PROV[LINEA]=$B$2)*
        (DESC_PROV[LISTA]=$C$2)*
        (DESC_PROV[DESCUENTO])
   ))
   *(1+VLOOKUP($C$2,LISTAS[],2,FALSE))
   *(1+VLOOKUP($C$2,LISTAS[],3,FALSE))
)
/5,0)*5,0)</f>
        <v>47975</v>
      </c>
      <c r="M21" s="42">
        <f>IFERROR(
ROUND(
IF($A$2="COSTO",
   ((B21*(1+IFERROR(VLOOKUP($D$2,COLORES[],2,FALSE),0)))+D21)
   *(1-SUMPRODUCT(
        (DESC_PROV[LINEA]=$B$2)*
        (DESC_PROV[LISTA]=$C$2)*
        (DESC_PROV[DESCUENTO])
   )),
   ((B21*(1+IFERROR(VLOOKUP($D$2,COLORES[],2,FALSE),0)))+D21)
   *(1-SUMPRODUCT(
        (DESC_PROV[LINEA]=$B$2)*
        (DESC_PROV[LISTA]=$C$2)*
        (DESC_PROV[DESCUENTO])
   ))
   *(1+VLOOKUP($C$2,LISTAS[],2,FALSE))
   *(1+VLOOKUP($C$2,LISTAS[],3,FALSE))
)
/5,0)*5,0)</f>
        <v>49050</v>
      </c>
      <c r="N21" s="42">
        <f>IFERROR(
ROUND(
IF($A$2="COSTO",
   ((B21*(1+IFERROR(VLOOKUP($D$2,COLORES[],2,FALSE),0)))+E21)
   *(1-SUMPRODUCT(
        (DESC_PROV[LINEA]=$B$2)*
        (DESC_PROV[LISTA]=$C$2)*
        (DESC_PROV[DESCUENTO])
   )),
   ((B21*(1+IFERROR(VLOOKUP($D$2,COLORES[],2,FALSE),0)))+E21)
   *(1-SUMPRODUCT(
        (DESC_PROV[LINEA]=$B$2)*
        (DESC_PROV[LISTA]=$C$2)*
        (DESC_PROV[DESCUENTO])
   ))
   *(1+VLOOKUP($C$2,LISTAS[],2,FALSE))
   *(1+VLOOKUP($C$2,LISTAS[],3,FALSE))
)
/5,0)*5,0)</f>
        <v>51000</v>
      </c>
      <c r="O21" s="42">
        <f>IFERROR(
ROUND(
IF($A$2="COSTO",
   ((B21*(1+IFERROR(VLOOKUP($D$2,COLORES[],2,FALSE),0)))+F21)
   *(1-SUMPRODUCT(
        (DESC_PROV[LINEA]=$B$2)*
        (DESC_PROV[LISTA]=$C$2)*
        (DESC_PROV[DESCUENTO])
   )),
   ((B21*(1+IFERROR(VLOOKUP($D$2,COLORES[],2,FALSE),0)))+F21)
   *(1-SUMPRODUCT(
        (DESC_PROV[LINEA]=$B$2)*
        (DESC_PROV[LISTA]=$C$2)*
        (DESC_PROV[DESCUENTO])
   ))
   *(1+VLOOKUP($C$2,LISTAS[],2,FALSE))
   *(1+VLOOKUP($C$2,LISTAS[],3,FALSE))
)
/5,0)*5,0)</f>
        <v>60405</v>
      </c>
      <c r="P21" s="42">
        <f>IFERROR(
ROUND(
IF($A$2="COSTO",
   ((B21*(1+IFERROR(VLOOKUP($D$2,COLORES[],2,FALSE),0)))+G21)
   *(1-SUMPRODUCT(
        (DESC_PROV[LINEA]=$B$2)*
        (DESC_PROV[LISTA]=$C$2)*
        (DESC_PROV[DESCUENTO])
   )),
   ((B21*(1+IFERROR(VLOOKUP($D$2,COLORES[],2,FALSE),0)))+G21)
   *(1-SUMPRODUCT(
        (DESC_PROV[LINEA]=$B$2)*
        (DESC_PROV[LISTA]=$C$2)*
        (DESC_PROV[DESCUENTO])
   ))
   *(1+VLOOKUP($C$2,LISTAS[],2,FALSE))
   *(1+VLOOKUP($C$2,LISTAS[],3,FALSE))
)
/5,0)*5,0)</f>
        <v>49680</v>
      </c>
      <c r="Q21" s="43">
        <f>IFERROR(
ROUND(
IF($A$2="COSTO",
   ((B21*(1+IFERROR(VLOOKUP($D$2,COLORES[],2,FALSE),0)))+H21)
   *(1-SUMPRODUCT(
        (DESC_PROV[LINEA]=$B$2)*
        (DESC_PROV[LISTA]=$C$2)*
        (DESC_PROV[DESCUENTO])
   )),
   ((B21*(1+IFERROR(VLOOKUP($D$2,COLORES[],2,FALSE),0)))+H21)
   *(1-SUMPRODUCT(
        (DESC_PROV[LINEA]=$B$2)*
        (DESC_PROV[LISTA]=$C$2)*
        (DESC_PROV[DESCUENTO])
   ))
   *(1+VLOOKUP($C$2,LISTAS[],2,FALSE))
   *(1+VLOOKUP($C$2,LISTAS[],3,FALSE))
)
/5,0)*5,0)</f>
        <v>69090</v>
      </c>
    </row>
    <row r="22" spans="1:17">
      <c r="A22" s="47" t="s">
        <v>157</v>
      </c>
      <c r="B22" s="42">
        <v>36700</v>
      </c>
      <c r="C22" s="42">
        <v>5443</v>
      </c>
      <c r="D22" s="42">
        <v>6586</v>
      </c>
      <c r="E22" s="42">
        <v>8707</v>
      </c>
      <c r="F22" s="42">
        <v>18787</v>
      </c>
      <c r="G22" s="42">
        <v>7258</v>
      </c>
      <c r="H22" s="42">
        <v>28120</v>
      </c>
      <c r="I22" s="2"/>
      <c r="J22" s="2"/>
      <c r="K22" s="47" t="s">
        <v>157</v>
      </c>
      <c r="L22" s="42">
        <f>IFERROR(
ROUND(
IF($A$2="COSTO",
   ((B22*(1+IFERROR(VLOOKUP($D$2,COLORES[],2,FALSE),0)))+C22)
   *(1-SUMPRODUCT(
        (DESC_PROV[LINEA]=$B$2)*
        (DESC_PROV[LISTA]=$C$2)*
        (DESC_PROV[DESCUENTO])
   )),
   ((B22*(1+IFERROR(VLOOKUP($D$2,COLORES[],2,FALSE),0)))+C22)
   *(1-SUMPRODUCT(
        (DESC_PROV[LINEA]=$B$2)*
        (DESC_PROV[LISTA]=$C$2)*
        (DESC_PROV[DESCUENTO])
   ))
   *(1+VLOOKUP($C$2,LISTAS[],2,FALSE))
   *(1+VLOOKUP($C$2,LISTAS[],3,FALSE))
)
/5,0)*5,0)</f>
        <v>52265</v>
      </c>
      <c r="M22" s="42">
        <f>IFERROR(
ROUND(
IF($A$2="COSTO",
   ((B22*(1+IFERROR(VLOOKUP($D$2,COLORES[],2,FALSE),0)))+D22)
   *(1-SUMPRODUCT(
        (DESC_PROV[LINEA]=$B$2)*
        (DESC_PROV[LISTA]=$C$2)*
        (DESC_PROV[DESCUENTO])
   )),
   ((B22*(1+IFERROR(VLOOKUP($D$2,COLORES[],2,FALSE),0)))+D22)
   *(1-SUMPRODUCT(
        (DESC_PROV[LINEA]=$B$2)*
        (DESC_PROV[LISTA]=$C$2)*
        (DESC_PROV[DESCUENTO])
   ))
   *(1+VLOOKUP($C$2,LISTAS[],2,FALSE))
   *(1+VLOOKUP($C$2,LISTAS[],3,FALSE))
)
/5,0)*5,0)</f>
        <v>53685</v>
      </c>
      <c r="N22" s="42">
        <f>IFERROR(
ROUND(
IF($A$2="COSTO",
   ((B22*(1+IFERROR(VLOOKUP($D$2,COLORES[],2,FALSE),0)))+E22)
   *(1-SUMPRODUCT(
        (DESC_PROV[LINEA]=$B$2)*
        (DESC_PROV[LISTA]=$C$2)*
        (DESC_PROV[DESCUENTO])
   )),
   ((B22*(1+IFERROR(VLOOKUP($D$2,COLORES[],2,FALSE),0)))+E22)
   *(1-SUMPRODUCT(
        (DESC_PROV[LINEA]=$B$2)*
        (DESC_PROV[LISTA]=$C$2)*
        (DESC_PROV[DESCUENTO])
   ))
   *(1+VLOOKUP($C$2,LISTAS[],2,FALSE))
   *(1+VLOOKUP($C$2,LISTAS[],3,FALSE))
)
/5,0)*5,0)</f>
        <v>56315</v>
      </c>
      <c r="O22" s="42">
        <f>IFERROR(
ROUND(
IF($A$2="COSTO",
   ((B22*(1+IFERROR(VLOOKUP($D$2,COLORES[],2,FALSE),0)))+F22)
   *(1-SUMPRODUCT(
        (DESC_PROV[LINEA]=$B$2)*
        (DESC_PROV[LISTA]=$C$2)*
        (DESC_PROV[DESCUENTO])
   )),
   ((B22*(1+IFERROR(VLOOKUP($D$2,COLORES[],2,FALSE),0)))+F22)
   *(1-SUMPRODUCT(
        (DESC_PROV[LINEA]=$B$2)*
        (DESC_PROV[LISTA]=$C$2)*
        (DESC_PROV[DESCUENTO])
   ))
   *(1+VLOOKUP($C$2,LISTAS[],2,FALSE))
   *(1+VLOOKUP($C$2,LISTAS[],3,FALSE))
)
/5,0)*5,0)</f>
        <v>68815</v>
      </c>
      <c r="P22" s="42">
        <f>IFERROR(
ROUND(
IF($A$2="COSTO",
   ((B22*(1+IFERROR(VLOOKUP($D$2,COLORES[],2,FALSE),0)))+G22)
   *(1-SUMPRODUCT(
        (DESC_PROV[LINEA]=$B$2)*
        (DESC_PROV[LISTA]=$C$2)*
        (DESC_PROV[DESCUENTO])
   )),
   ((B22*(1+IFERROR(VLOOKUP($D$2,COLORES[],2,FALSE),0)))+G22)
   *(1-SUMPRODUCT(
        (DESC_PROV[LINEA]=$B$2)*
        (DESC_PROV[LISTA]=$C$2)*
        (DESC_PROV[DESCUENTO])
   ))
   *(1+VLOOKUP($C$2,LISTAS[],2,FALSE))
   *(1+VLOOKUP($C$2,LISTAS[],3,FALSE))
)
/5,0)*5,0)</f>
        <v>54515</v>
      </c>
      <c r="Q22" s="43">
        <f>IFERROR(
ROUND(
IF($A$2="COSTO",
   ((B22*(1+IFERROR(VLOOKUP($D$2,COLORES[],2,FALSE),0)))+H22)
   *(1-SUMPRODUCT(
        (DESC_PROV[LINEA]=$B$2)*
        (DESC_PROV[LISTA]=$C$2)*
        (DESC_PROV[DESCUENTO])
   )),
   ((B22*(1+IFERROR(VLOOKUP($D$2,COLORES[],2,FALSE),0)))+H22)
   *(1-SUMPRODUCT(
        (DESC_PROV[LINEA]=$B$2)*
        (DESC_PROV[LISTA]=$C$2)*
        (DESC_PROV[DESCUENTO])
   ))
   *(1+VLOOKUP($C$2,LISTAS[],2,FALSE))
   *(1+VLOOKUP($C$2,LISTAS[],3,FALSE))
)
/5,0)*5,0)</f>
        <v>80390</v>
      </c>
    </row>
    <row r="23" spans="1:17">
      <c r="A23" s="47" t="s">
        <v>158</v>
      </c>
      <c r="B23" s="42">
        <v>38794</v>
      </c>
      <c r="C23" s="42">
        <v>6797</v>
      </c>
      <c r="D23" s="42">
        <v>8227</v>
      </c>
      <c r="E23" s="42">
        <v>10896</v>
      </c>
      <c r="F23" s="42">
        <v>23472</v>
      </c>
      <c r="G23" s="42">
        <v>9062</v>
      </c>
      <c r="H23" s="42">
        <v>35136</v>
      </c>
      <c r="I23" s="2"/>
      <c r="J23" s="2"/>
      <c r="K23" s="47" t="s">
        <v>158</v>
      </c>
      <c r="L23" s="42">
        <f>IFERROR(
ROUND(
IF($A$2="COSTO",
   ((B23*(1+IFERROR(VLOOKUP($D$2,COLORES[],2,FALSE),0)))+C23)
   *(1-SUMPRODUCT(
        (DESC_PROV[LINEA]=$B$2)*
        (DESC_PROV[LISTA]=$C$2)*
        (DESC_PROV[DESCUENTO])
   )),
   ((B23*(1+IFERROR(VLOOKUP($D$2,COLORES[],2,FALSE),0)))+C23)
   *(1-SUMPRODUCT(
        (DESC_PROV[LINEA]=$B$2)*
        (DESC_PROV[LISTA]=$C$2)*
        (DESC_PROV[DESCUENTO])
   ))
   *(1+VLOOKUP($C$2,LISTAS[],2,FALSE))
   *(1+VLOOKUP($C$2,LISTAS[],3,FALSE))
)
/5,0)*5,0)</f>
        <v>56540</v>
      </c>
      <c r="M23" s="42">
        <f>IFERROR(
ROUND(
IF($A$2="COSTO",
   ((B23*(1+IFERROR(VLOOKUP($D$2,COLORES[],2,FALSE),0)))+D23)
   *(1-SUMPRODUCT(
        (DESC_PROV[LINEA]=$B$2)*
        (DESC_PROV[LISTA]=$C$2)*
        (DESC_PROV[DESCUENTO])
   )),
   ((B23*(1+IFERROR(VLOOKUP($D$2,COLORES[],2,FALSE),0)))+D23)
   *(1-SUMPRODUCT(
        (DESC_PROV[LINEA]=$B$2)*
        (DESC_PROV[LISTA]=$C$2)*
        (DESC_PROV[DESCUENTO])
   ))
   *(1+VLOOKUP($C$2,LISTAS[],2,FALSE))
   *(1+VLOOKUP($C$2,LISTAS[],3,FALSE))
)
/5,0)*5,0)</f>
        <v>58315</v>
      </c>
      <c r="N23" s="42">
        <f>IFERROR(
ROUND(
IF($A$2="COSTO",
   ((B23*(1+IFERROR(VLOOKUP($D$2,COLORES[],2,FALSE),0)))+E23)
   *(1-SUMPRODUCT(
        (DESC_PROV[LINEA]=$B$2)*
        (DESC_PROV[LISTA]=$C$2)*
        (DESC_PROV[DESCUENTO])
   )),
   ((B23*(1+IFERROR(VLOOKUP($D$2,COLORES[],2,FALSE),0)))+E23)
   *(1-SUMPRODUCT(
        (DESC_PROV[LINEA]=$B$2)*
        (DESC_PROV[LISTA]=$C$2)*
        (DESC_PROV[DESCUENTO])
   ))
   *(1+VLOOKUP($C$2,LISTAS[],2,FALSE))
   *(1+VLOOKUP($C$2,LISTAS[],3,FALSE))
)
/5,0)*5,0)</f>
        <v>61625</v>
      </c>
      <c r="O23" s="42">
        <f>IFERROR(
ROUND(
IF($A$2="COSTO",
   ((B23*(1+IFERROR(VLOOKUP($D$2,COLORES[],2,FALSE),0)))+F23)
   *(1-SUMPRODUCT(
        (DESC_PROV[LINEA]=$B$2)*
        (DESC_PROV[LISTA]=$C$2)*
        (DESC_PROV[DESCUENTO])
   )),
   ((B23*(1+IFERROR(VLOOKUP($D$2,COLORES[],2,FALSE),0)))+F23)
   *(1-SUMPRODUCT(
        (DESC_PROV[LINEA]=$B$2)*
        (DESC_PROV[LISTA]=$C$2)*
        (DESC_PROV[DESCUENTO])
   ))
   *(1+VLOOKUP($C$2,LISTAS[],2,FALSE))
   *(1+VLOOKUP($C$2,LISTAS[],3,FALSE))
)
/5,0)*5,0)</f>
        <v>77220</v>
      </c>
      <c r="P23" s="42">
        <f>IFERROR(
ROUND(
IF($A$2="COSTO",
   ((B23*(1+IFERROR(VLOOKUP($D$2,COLORES[],2,FALSE),0)))+G23)
   *(1-SUMPRODUCT(
        (DESC_PROV[LINEA]=$B$2)*
        (DESC_PROV[LISTA]=$C$2)*
        (DESC_PROV[DESCUENTO])
   )),
   ((B23*(1+IFERROR(VLOOKUP($D$2,COLORES[],2,FALSE),0)))+G23)
   *(1-SUMPRODUCT(
        (DESC_PROV[LINEA]=$B$2)*
        (DESC_PROV[LISTA]=$C$2)*
        (DESC_PROV[DESCUENTO])
   ))
   *(1+VLOOKUP($C$2,LISTAS[],2,FALSE))
   *(1+VLOOKUP($C$2,LISTAS[],3,FALSE))
)
/5,0)*5,0)</f>
        <v>59350</v>
      </c>
      <c r="Q23" s="43">
        <f>IFERROR(
ROUND(
IF($A$2="COSTO",
   ((B23*(1+IFERROR(VLOOKUP($D$2,COLORES[],2,FALSE),0)))+H23)
   *(1-SUMPRODUCT(
        (DESC_PROV[LINEA]=$B$2)*
        (DESC_PROV[LISTA]=$C$2)*
        (DESC_PROV[DESCUENTO])
   )),
   ((B23*(1+IFERROR(VLOOKUP($D$2,COLORES[],2,FALSE),0)))+H23)
   *(1-SUMPRODUCT(
        (DESC_PROV[LINEA]=$B$2)*
        (DESC_PROV[LISTA]=$C$2)*
        (DESC_PROV[DESCUENTO])
   ))
   *(1+VLOOKUP($C$2,LISTAS[],2,FALSE))
   *(1+VLOOKUP($C$2,LISTAS[],3,FALSE))
)
/5,0)*5,0)</f>
        <v>91690</v>
      </c>
    </row>
    <row r="24" spans="1:17">
      <c r="A24" s="47" t="s">
        <v>159</v>
      </c>
      <c r="B24" s="42">
        <v>40888</v>
      </c>
      <c r="C24" s="42">
        <v>8160</v>
      </c>
      <c r="D24" s="42">
        <v>9869</v>
      </c>
      <c r="E24" s="42">
        <v>13085</v>
      </c>
      <c r="F24" s="42">
        <v>28253</v>
      </c>
      <c r="G24" s="42">
        <v>10867</v>
      </c>
      <c r="H24" s="42">
        <v>42152</v>
      </c>
      <c r="I24" s="2"/>
      <c r="J24" s="2"/>
      <c r="K24" s="47" t="s">
        <v>159</v>
      </c>
      <c r="L24" s="42">
        <f>IFERROR(
ROUND(
IF($A$2="COSTO",
   ((B24*(1+IFERROR(VLOOKUP($D$2,COLORES[],2,FALSE),0)))+C24)
   *(1-SUMPRODUCT(
        (DESC_PROV[LINEA]=$B$2)*
        (DESC_PROV[LISTA]=$C$2)*
        (DESC_PROV[DESCUENTO])
   )),
   ((B24*(1+IFERROR(VLOOKUP($D$2,COLORES[],2,FALSE),0)))+C24)
   *(1-SUMPRODUCT(
        (DESC_PROV[LINEA]=$B$2)*
        (DESC_PROV[LISTA]=$C$2)*
        (DESC_PROV[DESCUENTO])
   ))
   *(1+VLOOKUP($C$2,LISTAS[],2,FALSE))
   *(1+VLOOKUP($C$2,LISTAS[],3,FALSE))
)
/5,0)*5,0)</f>
        <v>60830</v>
      </c>
      <c r="M24" s="42">
        <f>IFERROR(
ROUND(
IF($A$2="COSTO",
   ((B24*(1+IFERROR(VLOOKUP($D$2,COLORES[],2,FALSE),0)))+D24)
   *(1-SUMPRODUCT(
        (DESC_PROV[LINEA]=$B$2)*
        (DESC_PROV[LISTA]=$C$2)*
        (DESC_PROV[DESCUENTO])
   )),
   ((B24*(1+IFERROR(VLOOKUP($D$2,COLORES[],2,FALSE),0)))+D24)
   *(1-SUMPRODUCT(
        (DESC_PROV[LINEA]=$B$2)*
        (DESC_PROV[LISTA]=$C$2)*
        (DESC_PROV[DESCUENTO])
   ))
   *(1+VLOOKUP($C$2,LISTAS[],2,FALSE))
   *(1+VLOOKUP($C$2,LISTAS[],3,FALSE))
)
/5,0)*5,0)</f>
        <v>62950</v>
      </c>
      <c r="N24" s="42">
        <f>IFERROR(
ROUND(
IF($A$2="COSTO",
   ((B24*(1+IFERROR(VLOOKUP($D$2,COLORES[],2,FALSE),0)))+E24)
   *(1-SUMPRODUCT(
        (DESC_PROV[LINEA]=$B$2)*
        (DESC_PROV[LISTA]=$C$2)*
        (DESC_PROV[DESCUENTO])
   )),
   ((B24*(1+IFERROR(VLOOKUP($D$2,COLORES[],2,FALSE),0)))+E24)
   *(1-SUMPRODUCT(
        (DESC_PROV[LINEA]=$B$2)*
        (DESC_PROV[LISTA]=$C$2)*
        (DESC_PROV[DESCUENTO])
   ))
   *(1+VLOOKUP($C$2,LISTAS[],2,FALSE))
   *(1+VLOOKUP($C$2,LISTAS[],3,FALSE))
)
/5,0)*5,0)</f>
        <v>66935</v>
      </c>
      <c r="O24" s="42">
        <f>IFERROR(
ROUND(
IF($A$2="COSTO",
   ((B24*(1+IFERROR(VLOOKUP($D$2,COLORES[],2,FALSE),0)))+F24)
   *(1-SUMPRODUCT(
        (DESC_PROV[LINEA]=$B$2)*
        (DESC_PROV[LISTA]=$C$2)*
        (DESC_PROV[DESCUENTO])
   )),
   ((B24*(1+IFERROR(VLOOKUP($D$2,COLORES[],2,FALSE),0)))+F24)
   *(1-SUMPRODUCT(
        (DESC_PROV[LINEA]=$B$2)*
        (DESC_PROV[LISTA]=$C$2)*
        (DESC_PROV[DESCUENTO])
   ))
   *(1+VLOOKUP($C$2,LISTAS[],2,FALSE))
   *(1+VLOOKUP($C$2,LISTAS[],3,FALSE))
)
/5,0)*5,0)</f>
        <v>85750</v>
      </c>
      <c r="P24" s="42">
        <f>IFERROR(
ROUND(
IF($A$2="COSTO",
   ((B24*(1+IFERROR(VLOOKUP($D$2,COLORES[],2,FALSE),0)))+G24)
   *(1-SUMPRODUCT(
        (DESC_PROV[LINEA]=$B$2)*
        (DESC_PROV[LISTA]=$C$2)*
        (DESC_PROV[DESCUENTO])
   )),
   ((B24*(1+IFERROR(VLOOKUP($D$2,COLORES[],2,FALSE),0)))+G24)
   *(1-SUMPRODUCT(
        (DESC_PROV[LINEA]=$B$2)*
        (DESC_PROV[LISTA]=$C$2)*
        (DESC_PROV[DESCUENTO])
   ))
   *(1+VLOOKUP($C$2,LISTAS[],2,FALSE))
   *(1+VLOOKUP($C$2,LISTAS[],3,FALSE))
)
/5,0)*5,0)</f>
        <v>64185</v>
      </c>
      <c r="Q24" s="43">
        <f>IFERROR(
ROUND(
IF($A$2="COSTO",
   ((B24*(1+IFERROR(VLOOKUP($D$2,COLORES[],2,FALSE),0)))+H24)
   *(1-SUMPRODUCT(
        (DESC_PROV[LINEA]=$B$2)*
        (DESC_PROV[LISTA]=$C$2)*
        (DESC_PROV[DESCUENTO])
   )),
   ((B24*(1+IFERROR(VLOOKUP($D$2,COLORES[],2,FALSE),0)))+H24)
   *(1-SUMPRODUCT(
        (DESC_PROV[LINEA]=$B$2)*
        (DESC_PROV[LISTA]=$C$2)*
        (DESC_PROV[DESCUENTO])
   ))
   *(1+VLOOKUP($C$2,LISTAS[],2,FALSE))
   *(1+VLOOKUP($C$2,LISTAS[],3,FALSE))
)
/5,0)*5,0)</f>
        <v>102985</v>
      </c>
    </row>
    <row r="25" spans="1:17">
      <c r="A25" s="47" t="s">
        <v>160</v>
      </c>
      <c r="B25" s="42">
        <v>42983</v>
      </c>
      <c r="C25" s="42">
        <v>9523</v>
      </c>
      <c r="D25" s="42">
        <v>11510</v>
      </c>
      <c r="E25" s="42">
        <v>15274</v>
      </c>
      <c r="F25" s="42">
        <v>33034</v>
      </c>
      <c r="G25" s="42">
        <v>12672</v>
      </c>
      <c r="H25" s="42">
        <v>49167</v>
      </c>
      <c r="I25" s="2"/>
      <c r="J25" s="2"/>
      <c r="K25" s="47" t="s">
        <v>160</v>
      </c>
      <c r="L25" s="42">
        <f>IFERROR(
ROUND(
IF($A$2="COSTO",
   ((B25*(1+IFERROR(VLOOKUP($D$2,COLORES[],2,FALSE),0)))+C25)
   *(1-SUMPRODUCT(
        (DESC_PROV[LINEA]=$B$2)*
        (DESC_PROV[LISTA]=$C$2)*
        (DESC_PROV[DESCUENTO])
   )),
   ((B25*(1+IFERROR(VLOOKUP($D$2,COLORES[],2,FALSE),0)))+C25)
   *(1-SUMPRODUCT(
        (DESC_PROV[LINEA]=$B$2)*
        (DESC_PROV[LISTA]=$C$2)*
        (DESC_PROV[DESCUENTO])
   ))
   *(1+VLOOKUP($C$2,LISTAS[],2,FALSE))
   *(1+VLOOKUP($C$2,LISTAS[],3,FALSE))
)
/5,0)*5,0)</f>
        <v>65120</v>
      </c>
      <c r="M25" s="42">
        <f>IFERROR(
ROUND(
IF($A$2="COSTO",
   ((B25*(1+IFERROR(VLOOKUP($D$2,COLORES[],2,FALSE),0)))+D25)
   *(1-SUMPRODUCT(
        (DESC_PROV[LINEA]=$B$2)*
        (DESC_PROV[LISTA]=$C$2)*
        (DESC_PROV[DESCUENTO])
   )),
   ((B25*(1+IFERROR(VLOOKUP($D$2,COLORES[],2,FALSE),0)))+D25)
   *(1-SUMPRODUCT(
        (DESC_PROV[LINEA]=$B$2)*
        (DESC_PROV[LISTA]=$C$2)*
        (DESC_PROV[DESCUENTO])
   ))
   *(1+VLOOKUP($C$2,LISTAS[],2,FALSE))
   *(1+VLOOKUP($C$2,LISTAS[],3,FALSE))
)
/5,0)*5,0)</f>
        <v>67580</v>
      </c>
      <c r="N25" s="42">
        <f>IFERROR(
ROUND(
IF($A$2="COSTO",
   ((B25*(1+IFERROR(VLOOKUP($D$2,COLORES[],2,FALSE),0)))+E25)
   *(1-SUMPRODUCT(
        (DESC_PROV[LINEA]=$B$2)*
        (DESC_PROV[LISTA]=$C$2)*
        (DESC_PROV[DESCUENTO])
   )),
   ((B25*(1+IFERROR(VLOOKUP($D$2,COLORES[],2,FALSE),0)))+E25)
   *(1-SUMPRODUCT(
        (DESC_PROV[LINEA]=$B$2)*
        (DESC_PROV[LISTA]=$C$2)*
        (DESC_PROV[DESCUENTO])
   ))
   *(1+VLOOKUP($C$2,LISTAS[],2,FALSE))
   *(1+VLOOKUP($C$2,LISTAS[],3,FALSE))
)
/5,0)*5,0)</f>
        <v>72250</v>
      </c>
      <c r="O25" s="42">
        <f>IFERROR(
ROUND(
IF($A$2="COSTO",
   ((B25*(1+IFERROR(VLOOKUP($D$2,COLORES[],2,FALSE),0)))+F25)
   *(1-SUMPRODUCT(
        (DESC_PROV[LINEA]=$B$2)*
        (DESC_PROV[LISTA]=$C$2)*
        (DESC_PROV[DESCUENTO])
   )),
   ((B25*(1+IFERROR(VLOOKUP($D$2,COLORES[],2,FALSE),0)))+F25)
   *(1-SUMPRODUCT(
        (DESC_PROV[LINEA]=$B$2)*
        (DESC_PROV[LISTA]=$C$2)*
        (DESC_PROV[DESCUENTO])
   ))
   *(1+VLOOKUP($C$2,LISTAS[],2,FALSE))
   *(1+VLOOKUP($C$2,LISTAS[],3,FALSE))
)
/5,0)*5,0)</f>
        <v>94275</v>
      </c>
      <c r="P25" s="42">
        <f>IFERROR(
ROUND(
IF($A$2="COSTO",
   ((B25*(1+IFERROR(VLOOKUP($D$2,COLORES[],2,FALSE),0)))+G25)
   *(1-SUMPRODUCT(
        (DESC_PROV[LINEA]=$B$2)*
        (DESC_PROV[LISTA]=$C$2)*
        (DESC_PROV[DESCUENTO])
   )),
   ((B25*(1+IFERROR(VLOOKUP($D$2,COLORES[],2,FALSE),0)))+G25)
   *(1-SUMPRODUCT(
        (DESC_PROV[LINEA]=$B$2)*
        (DESC_PROV[LISTA]=$C$2)*
        (DESC_PROV[DESCUENTO])
   ))
   *(1+VLOOKUP($C$2,LISTAS[],2,FALSE))
   *(1+VLOOKUP($C$2,LISTAS[],3,FALSE))
)
/5,0)*5,0)</f>
        <v>69025</v>
      </c>
      <c r="Q25" s="43">
        <f>IFERROR(
ROUND(
IF($A$2="COSTO",
   ((B25*(1+IFERROR(VLOOKUP($D$2,COLORES[],2,FALSE),0)))+H25)
   *(1-SUMPRODUCT(
        (DESC_PROV[LINEA]=$B$2)*
        (DESC_PROV[LISTA]=$C$2)*
        (DESC_PROV[DESCUENTO])
   )),
   ((B25*(1+IFERROR(VLOOKUP($D$2,COLORES[],2,FALSE),0)))+H25)
   *(1-SUMPRODUCT(
        (DESC_PROV[LINEA]=$B$2)*
        (DESC_PROV[LISTA]=$C$2)*
        (DESC_PROV[DESCUENTO])
   ))
   *(1+VLOOKUP($C$2,LISTAS[],2,FALSE))
   *(1+VLOOKUP($C$2,LISTAS[],3,FALSE))
)
/5,0)*5,0)</f>
        <v>114285</v>
      </c>
    </row>
    <row r="26" spans="1:17">
      <c r="A26" s="47" t="s">
        <v>161</v>
      </c>
      <c r="B26" s="42">
        <v>45077</v>
      </c>
      <c r="C26" s="42">
        <v>10886</v>
      </c>
      <c r="D26" s="42">
        <v>13152</v>
      </c>
      <c r="E26" s="42">
        <v>17462</v>
      </c>
      <c r="F26" s="42">
        <v>37814</v>
      </c>
      <c r="G26" s="42">
        <v>14477</v>
      </c>
      <c r="H26" s="42">
        <v>56183</v>
      </c>
      <c r="I26" s="2"/>
      <c r="J26" s="2"/>
      <c r="K26" s="47" t="s">
        <v>161</v>
      </c>
      <c r="L26" s="42">
        <f>IFERROR(
ROUND(
IF($A$2="COSTO",
   ((B26*(1+IFERROR(VLOOKUP($D$2,COLORES[],2,FALSE),0)))+C26)
   *(1-SUMPRODUCT(
        (DESC_PROV[LINEA]=$B$2)*
        (DESC_PROV[LISTA]=$C$2)*
        (DESC_PROV[DESCUENTO])
   )),
   ((B26*(1+IFERROR(VLOOKUP($D$2,COLORES[],2,FALSE),0)))+C26)
   *(1-SUMPRODUCT(
        (DESC_PROV[LINEA]=$B$2)*
        (DESC_PROV[LISTA]=$C$2)*
        (DESC_PROV[DESCUENTO])
   ))
   *(1+VLOOKUP($C$2,LISTAS[],2,FALSE))
   *(1+VLOOKUP($C$2,LISTAS[],3,FALSE))
)
/5,0)*5,0)</f>
        <v>69405</v>
      </c>
      <c r="M26" s="42">
        <f>IFERROR(
ROUND(
IF($A$2="COSTO",
   ((B26*(1+IFERROR(VLOOKUP($D$2,COLORES[],2,FALSE),0)))+D26)
   *(1-SUMPRODUCT(
        (DESC_PROV[LINEA]=$B$2)*
        (DESC_PROV[LISTA]=$C$2)*
        (DESC_PROV[DESCUENTO])
   )),
   ((B26*(1+IFERROR(VLOOKUP($D$2,COLORES[],2,FALSE),0)))+D26)
   *(1-SUMPRODUCT(
        (DESC_PROV[LINEA]=$B$2)*
        (DESC_PROV[LISTA]=$C$2)*
        (DESC_PROV[DESCUENTO])
   ))
   *(1+VLOOKUP($C$2,LISTAS[],2,FALSE))
   *(1+VLOOKUP($C$2,LISTAS[],3,FALSE))
)
/5,0)*5,0)</f>
        <v>72215</v>
      </c>
      <c r="N26" s="42">
        <f>IFERROR(
ROUND(
IF($A$2="COSTO",
   ((B26*(1+IFERROR(VLOOKUP($D$2,COLORES[],2,FALSE),0)))+E26)
   *(1-SUMPRODUCT(
        (DESC_PROV[LINEA]=$B$2)*
        (DESC_PROV[LISTA]=$C$2)*
        (DESC_PROV[DESCUENTO])
   )),
   ((B26*(1+IFERROR(VLOOKUP($D$2,COLORES[],2,FALSE),0)))+E26)
   *(1-SUMPRODUCT(
        (DESC_PROV[LINEA]=$B$2)*
        (DESC_PROV[LISTA]=$C$2)*
        (DESC_PROV[DESCUENTO])
   ))
   *(1+VLOOKUP($C$2,LISTAS[],2,FALSE))
   *(1+VLOOKUP($C$2,LISTAS[],3,FALSE))
)
/5,0)*5,0)</f>
        <v>77560</v>
      </c>
      <c r="O26" s="42">
        <f>IFERROR(
ROUND(
IF($A$2="COSTO",
   ((B26*(1+IFERROR(VLOOKUP($D$2,COLORES[],2,FALSE),0)))+F26)
   *(1-SUMPRODUCT(
        (DESC_PROV[LINEA]=$B$2)*
        (DESC_PROV[LISTA]=$C$2)*
        (DESC_PROV[DESCUENTO])
   )),
   ((B26*(1+IFERROR(VLOOKUP($D$2,COLORES[],2,FALSE),0)))+F26)
   *(1-SUMPRODUCT(
        (DESC_PROV[LINEA]=$B$2)*
        (DESC_PROV[LISTA]=$C$2)*
        (DESC_PROV[DESCUENTO])
   ))
   *(1+VLOOKUP($C$2,LISTAS[],2,FALSE))
   *(1+VLOOKUP($C$2,LISTAS[],3,FALSE))
)
/5,0)*5,0)</f>
        <v>102800</v>
      </c>
      <c r="P26" s="42">
        <f>IFERROR(
ROUND(
IF($A$2="COSTO",
   ((B26*(1+IFERROR(VLOOKUP($D$2,COLORES[],2,FALSE),0)))+G26)
   *(1-SUMPRODUCT(
        (DESC_PROV[LINEA]=$B$2)*
        (DESC_PROV[LISTA]=$C$2)*
        (DESC_PROV[DESCUENTO])
   )),
   ((B26*(1+IFERROR(VLOOKUP($D$2,COLORES[],2,FALSE),0)))+G26)
   *(1-SUMPRODUCT(
        (DESC_PROV[LINEA]=$B$2)*
        (DESC_PROV[LISTA]=$C$2)*
        (DESC_PROV[DESCUENTO])
   ))
   *(1+VLOOKUP($C$2,LISTAS[],2,FALSE))
   *(1+VLOOKUP($C$2,LISTAS[],3,FALSE))
)
/5,0)*5,0)</f>
        <v>73860</v>
      </c>
      <c r="Q26" s="43">
        <f>IFERROR(
ROUND(
IF($A$2="COSTO",
   ((B26*(1+IFERROR(VLOOKUP($D$2,COLORES[],2,FALSE),0)))+H26)
   *(1-SUMPRODUCT(
        (DESC_PROV[LINEA]=$B$2)*
        (DESC_PROV[LISTA]=$C$2)*
        (DESC_PROV[DESCUENTO])
   )),
   ((B26*(1+IFERROR(VLOOKUP($D$2,COLORES[],2,FALSE),0)))+H26)
   *(1-SUMPRODUCT(
        (DESC_PROV[LINEA]=$B$2)*
        (DESC_PROV[LISTA]=$C$2)*
        (DESC_PROV[DESCUENTO])
   ))
   *(1+VLOOKUP($C$2,LISTAS[],2,FALSE))
   *(1+VLOOKUP($C$2,LISTAS[],3,FALSE))
)
/5,0)*5,0)</f>
        <v>125585</v>
      </c>
    </row>
    <row r="27" spans="1:17">
      <c r="A27" s="47" t="s">
        <v>162</v>
      </c>
      <c r="B27" s="42">
        <v>47172</v>
      </c>
      <c r="C27" s="42">
        <v>12250</v>
      </c>
      <c r="D27" s="42">
        <v>14794</v>
      </c>
      <c r="E27" s="42">
        <v>19651</v>
      </c>
      <c r="F27" s="42">
        <v>42595</v>
      </c>
      <c r="G27" s="42">
        <v>16282</v>
      </c>
      <c r="H27" s="42">
        <v>63199</v>
      </c>
      <c r="I27" s="2"/>
      <c r="J27" s="2"/>
      <c r="K27" s="47" t="s">
        <v>162</v>
      </c>
      <c r="L27" s="42">
        <f>IFERROR(
ROUND(
IF($A$2="COSTO",
   ((B27*(1+IFERROR(VLOOKUP($D$2,COLORES[],2,FALSE),0)))+C27)
   *(1-SUMPRODUCT(
        (DESC_PROV[LINEA]=$B$2)*
        (DESC_PROV[LISTA]=$C$2)*
        (DESC_PROV[DESCUENTO])
   )),
   ((B27*(1+IFERROR(VLOOKUP($D$2,COLORES[],2,FALSE),0)))+C27)
   *(1-SUMPRODUCT(
        (DESC_PROV[LINEA]=$B$2)*
        (DESC_PROV[LISTA]=$C$2)*
        (DESC_PROV[DESCUENTO])
   ))
   *(1+VLOOKUP($C$2,LISTAS[],2,FALSE))
   *(1+VLOOKUP($C$2,LISTAS[],3,FALSE))
)
/5,0)*5,0)</f>
        <v>73695</v>
      </c>
      <c r="M27" s="42">
        <f>IFERROR(
ROUND(
IF($A$2="COSTO",
   ((B27*(1+IFERROR(VLOOKUP($D$2,COLORES[],2,FALSE),0)))+D27)
   *(1-SUMPRODUCT(
        (DESC_PROV[LINEA]=$B$2)*
        (DESC_PROV[LISTA]=$C$2)*
        (DESC_PROV[DESCUENTO])
   )),
   ((B27*(1+IFERROR(VLOOKUP($D$2,COLORES[],2,FALSE),0)))+D27)
   *(1-SUMPRODUCT(
        (DESC_PROV[LINEA]=$B$2)*
        (DESC_PROV[LISTA]=$C$2)*
        (DESC_PROV[DESCUENTO])
   ))
   *(1+VLOOKUP($C$2,LISTAS[],2,FALSE))
   *(1+VLOOKUP($C$2,LISTAS[],3,FALSE))
)
/5,0)*5,0)</f>
        <v>76850</v>
      </c>
      <c r="N27" s="42">
        <f>IFERROR(
ROUND(
IF($A$2="COSTO",
   ((B27*(1+IFERROR(VLOOKUP($D$2,COLORES[],2,FALSE),0)))+E27)
   *(1-SUMPRODUCT(
        (DESC_PROV[LINEA]=$B$2)*
        (DESC_PROV[LISTA]=$C$2)*
        (DESC_PROV[DESCUENTO])
   )),
   ((B27*(1+IFERROR(VLOOKUP($D$2,COLORES[],2,FALSE),0)))+E27)
   *(1-SUMPRODUCT(
        (DESC_PROV[LINEA]=$B$2)*
        (DESC_PROV[LISTA]=$C$2)*
        (DESC_PROV[DESCUENTO])
   ))
   *(1+VLOOKUP($C$2,LISTAS[],2,FALSE))
   *(1+VLOOKUP($C$2,LISTAS[],3,FALSE))
)
/5,0)*5,0)</f>
        <v>82875</v>
      </c>
      <c r="O27" s="42">
        <f>IFERROR(
ROUND(
IF($A$2="COSTO",
   ((B27*(1+IFERROR(VLOOKUP($D$2,COLORES[],2,FALSE),0)))+F27)
   *(1-SUMPRODUCT(
        (DESC_PROV[LINEA]=$B$2)*
        (DESC_PROV[LISTA]=$C$2)*
        (DESC_PROV[DESCUENTO])
   )),
   ((B27*(1+IFERROR(VLOOKUP($D$2,COLORES[],2,FALSE),0)))+F27)
   *(1-SUMPRODUCT(
        (DESC_PROV[LINEA]=$B$2)*
        (DESC_PROV[LISTA]=$C$2)*
        (DESC_PROV[DESCUENTO])
   ))
   *(1+VLOOKUP($C$2,LISTAS[],2,FALSE))
   *(1+VLOOKUP($C$2,LISTAS[],3,FALSE))
)
/5,0)*5,0)</f>
        <v>111330</v>
      </c>
      <c r="P27" s="42">
        <f>IFERROR(
ROUND(
IF($A$2="COSTO",
   ((B27*(1+IFERROR(VLOOKUP($D$2,COLORES[],2,FALSE),0)))+G27)
   *(1-SUMPRODUCT(
        (DESC_PROV[LINEA]=$B$2)*
        (DESC_PROV[LISTA]=$C$2)*
        (DESC_PROV[DESCUENTO])
   )),
   ((B27*(1+IFERROR(VLOOKUP($D$2,COLORES[],2,FALSE),0)))+G27)
   *(1-SUMPRODUCT(
        (DESC_PROV[LINEA]=$B$2)*
        (DESC_PROV[LISTA]=$C$2)*
        (DESC_PROV[DESCUENTO])
   ))
   *(1+VLOOKUP($C$2,LISTAS[],2,FALSE))
   *(1+VLOOKUP($C$2,LISTAS[],3,FALSE))
)
/5,0)*5,0)</f>
        <v>78695</v>
      </c>
      <c r="Q27" s="43">
        <f>IFERROR(
ROUND(
IF($A$2="COSTO",
   ((B27*(1+IFERROR(VLOOKUP($D$2,COLORES[],2,FALSE),0)))+H27)
   *(1-SUMPRODUCT(
        (DESC_PROV[LINEA]=$B$2)*
        (DESC_PROV[LISTA]=$C$2)*
        (DESC_PROV[DESCUENTO])
   )),
   ((B27*(1+IFERROR(VLOOKUP($D$2,COLORES[],2,FALSE),0)))+H27)
   *(1-SUMPRODUCT(
        (DESC_PROV[LINEA]=$B$2)*
        (DESC_PROV[LISTA]=$C$2)*
        (DESC_PROV[DESCUENTO])
   ))
   *(1+VLOOKUP($C$2,LISTAS[],2,FALSE))
   *(1+VLOOKUP($C$2,LISTAS[],3,FALSE))
)
/5,0)*5,0)</f>
        <v>136880</v>
      </c>
    </row>
    <row r="28" spans="1:17">
      <c r="A28" s="47" t="s">
        <v>163</v>
      </c>
      <c r="B28" s="42">
        <v>36700</v>
      </c>
      <c r="C28" s="42">
        <v>4896</v>
      </c>
      <c r="D28" s="42">
        <v>5933</v>
      </c>
      <c r="E28" s="42">
        <v>7824</v>
      </c>
      <c r="F28" s="42">
        <v>16925</v>
      </c>
      <c r="G28" s="42">
        <v>6547</v>
      </c>
      <c r="H28" s="42">
        <v>25332</v>
      </c>
      <c r="I28" s="2"/>
      <c r="J28" s="2"/>
      <c r="K28" s="47" t="s">
        <v>163</v>
      </c>
      <c r="L28" s="42">
        <f>IFERROR(
ROUND(
IF($A$2="COSTO",
   ((B28*(1+IFERROR(VLOOKUP($D$2,COLORES[],2,FALSE),0)))+C28)
   *(1-SUMPRODUCT(
        (DESC_PROV[LINEA]=$B$2)*
        (DESC_PROV[LISTA]=$C$2)*
        (DESC_PROV[DESCUENTO])
   )),
   ((B28*(1+IFERROR(VLOOKUP($D$2,COLORES[],2,FALSE),0)))+C28)
   *(1-SUMPRODUCT(
        (DESC_PROV[LINEA]=$B$2)*
        (DESC_PROV[LISTA]=$C$2)*
        (DESC_PROV[DESCUENTO])
   ))
   *(1+VLOOKUP($C$2,LISTAS[],2,FALSE))
   *(1+VLOOKUP($C$2,LISTAS[],3,FALSE))
)
/5,0)*5,0)</f>
        <v>51585</v>
      </c>
      <c r="M28" s="42">
        <f>IFERROR(
ROUND(
IF($A$2="COSTO",
   ((B28*(1+IFERROR(VLOOKUP($D$2,COLORES[],2,FALSE),0)))+D28)
   *(1-SUMPRODUCT(
        (DESC_PROV[LINEA]=$B$2)*
        (DESC_PROV[LISTA]=$C$2)*
        (DESC_PROV[DESCUENTO])
   )),
   ((B28*(1+IFERROR(VLOOKUP($D$2,COLORES[],2,FALSE),0)))+D28)
   *(1-SUMPRODUCT(
        (DESC_PROV[LINEA]=$B$2)*
        (DESC_PROV[LISTA]=$C$2)*
        (DESC_PROV[DESCUENTO])
   ))
   *(1+VLOOKUP($C$2,LISTAS[],2,FALSE))
   *(1+VLOOKUP($C$2,LISTAS[],3,FALSE))
)
/5,0)*5,0)</f>
        <v>52875</v>
      </c>
      <c r="N28" s="42">
        <f>IFERROR(
ROUND(
IF($A$2="COSTO",
   ((B28*(1+IFERROR(VLOOKUP($D$2,COLORES[],2,FALSE),0)))+E28)
   *(1-SUMPRODUCT(
        (DESC_PROV[LINEA]=$B$2)*
        (DESC_PROV[LISTA]=$C$2)*
        (DESC_PROV[DESCUENTO])
   )),
   ((B28*(1+IFERROR(VLOOKUP($D$2,COLORES[],2,FALSE),0)))+E28)
   *(1-SUMPRODUCT(
        (DESC_PROV[LINEA]=$B$2)*
        (DESC_PROV[LISTA]=$C$2)*
        (DESC_PROV[DESCUENTO])
   ))
   *(1+VLOOKUP($C$2,LISTAS[],2,FALSE))
   *(1+VLOOKUP($C$2,LISTAS[],3,FALSE))
)
/5,0)*5,0)</f>
        <v>55220</v>
      </c>
      <c r="O28" s="42">
        <f>IFERROR(
ROUND(
IF($A$2="COSTO",
   ((B28*(1+IFERROR(VLOOKUP($D$2,COLORES[],2,FALSE),0)))+F28)
   *(1-SUMPRODUCT(
        (DESC_PROV[LINEA]=$B$2)*
        (DESC_PROV[LISTA]=$C$2)*
        (DESC_PROV[DESCUENTO])
   )),
   ((B28*(1+IFERROR(VLOOKUP($D$2,COLORES[],2,FALSE),0)))+F28)
   *(1-SUMPRODUCT(
        (DESC_PROV[LINEA]=$B$2)*
        (DESC_PROV[LISTA]=$C$2)*
        (DESC_PROV[DESCUENTO])
   ))
   *(1+VLOOKUP($C$2,LISTAS[],2,FALSE))
   *(1+VLOOKUP($C$2,LISTAS[],3,FALSE))
)
/5,0)*5,0)</f>
        <v>66505</v>
      </c>
      <c r="P28" s="42">
        <f>IFERROR(
ROUND(
IF($A$2="COSTO",
   ((B28*(1+IFERROR(VLOOKUP($D$2,COLORES[],2,FALSE),0)))+G28)
   *(1-SUMPRODUCT(
        (DESC_PROV[LINEA]=$B$2)*
        (DESC_PROV[LISTA]=$C$2)*
        (DESC_PROV[DESCUENTO])
   )),
   ((B28*(1+IFERROR(VLOOKUP($D$2,COLORES[],2,FALSE),0)))+G28)
   *(1-SUMPRODUCT(
        (DESC_PROV[LINEA]=$B$2)*
        (DESC_PROV[LISTA]=$C$2)*
        (DESC_PROV[DESCUENTO])
   ))
   *(1+VLOOKUP($C$2,LISTAS[],2,FALSE))
   *(1+VLOOKUP($C$2,LISTAS[],3,FALSE))
)
/5,0)*5,0)</f>
        <v>53635</v>
      </c>
      <c r="Q28" s="43">
        <f>IFERROR(
ROUND(
IF($A$2="COSTO",
   ((B28*(1+IFERROR(VLOOKUP($D$2,COLORES[],2,FALSE),0)))+H28)
   *(1-SUMPRODUCT(
        (DESC_PROV[LINEA]=$B$2)*
        (DESC_PROV[LISTA]=$C$2)*
        (DESC_PROV[DESCUENTO])
   )),
   ((B28*(1+IFERROR(VLOOKUP($D$2,COLORES[],2,FALSE),0)))+H28)
   *(1-SUMPRODUCT(
        (DESC_PROV[LINEA]=$B$2)*
        (DESC_PROV[LISTA]=$C$2)*
        (DESC_PROV[DESCUENTO])
   ))
   *(1+VLOOKUP($C$2,LISTAS[],2,FALSE))
   *(1+VLOOKUP($C$2,LISTAS[],3,FALSE))
)
/5,0)*5,0)</f>
        <v>76930</v>
      </c>
    </row>
    <row r="29" spans="1:17">
      <c r="A29" s="47" t="s">
        <v>164</v>
      </c>
      <c r="B29" s="42">
        <v>38794</v>
      </c>
      <c r="C29" s="42">
        <v>6528</v>
      </c>
      <c r="D29" s="42">
        <v>7901</v>
      </c>
      <c r="E29" s="42">
        <v>10454</v>
      </c>
      <c r="F29" s="42">
        <v>22541</v>
      </c>
      <c r="G29" s="42">
        <v>8707</v>
      </c>
      <c r="H29" s="42">
        <v>33742</v>
      </c>
      <c r="I29" s="2"/>
      <c r="J29" s="2"/>
      <c r="K29" s="47" t="s">
        <v>164</v>
      </c>
      <c r="L29" s="42">
        <f>IFERROR(
ROUND(
IF($A$2="COSTO",
   ((B29*(1+IFERROR(VLOOKUP($D$2,COLORES[],2,FALSE),0)))+C29)
   *(1-SUMPRODUCT(
        (DESC_PROV[LINEA]=$B$2)*
        (DESC_PROV[LISTA]=$C$2)*
        (DESC_PROV[DESCUENTO])
   )),
   ((B29*(1+IFERROR(VLOOKUP($D$2,COLORES[],2,FALSE),0)))+C29)
   *(1-SUMPRODUCT(
        (DESC_PROV[LINEA]=$B$2)*
        (DESC_PROV[LISTA]=$C$2)*
        (DESC_PROV[DESCUENTO])
   ))
   *(1+VLOOKUP($C$2,LISTAS[],2,FALSE))
   *(1+VLOOKUP($C$2,LISTAS[],3,FALSE))
)
/5,0)*5,0)</f>
        <v>56210</v>
      </c>
      <c r="M29" s="42">
        <f>IFERROR(
ROUND(
IF($A$2="COSTO",
   ((B29*(1+IFERROR(VLOOKUP($D$2,COLORES[],2,FALSE),0)))+D29)
   *(1-SUMPRODUCT(
        (DESC_PROV[LINEA]=$B$2)*
        (DESC_PROV[LISTA]=$C$2)*
        (DESC_PROV[DESCUENTO])
   )),
   ((B29*(1+IFERROR(VLOOKUP($D$2,COLORES[],2,FALSE),0)))+D29)
   *(1-SUMPRODUCT(
        (DESC_PROV[LINEA]=$B$2)*
        (DESC_PROV[LISTA]=$C$2)*
        (DESC_PROV[DESCUENTO])
   ))
   *(1+VLOOKUP($C$2,LISTAS[],2,FALSE))
   *(1+VLOOKUP($C$2,LISTAS[],3,FALSE))
)
/5,0)*5,0)</f>
        <v>57910</v>
      </c>
      <c r="N29" s="42">
        <f>IFERROR(
ROUND(
IF($A$2="COSTO",
   ((B29*(1+IFERROR(VLOOKUP($D$2,COLORES[],2,FALSE),0)))+E29)
   *(1-SUMPRODUCT(
        (DESC_PROV[LINEA]=$B$2)*
        (DESC_PROV[LISTA]=$C$2)*
        (DESC_PROV[DESCUENTO])
   )),
   ((B29*(1+IFERROR(VLOOKUP($D$2,COLORES[],2,FALSE),0)))+E29)
   *(1-SUMPRODUCT(
        (DESC_PROV[LINEA]=$B$2)*
        (DESC_PROV[LISTA]=$C$2)*
        (DESC_PROV[DESCUENTO])
   ))
   *(1+VLOOKUP($C$2,LISTAS[],2,FALSE))
   *(1+VLOOKUP($C$2,LISTAS[],3,FALSE))
)
/5,0)*5,0)</f>
        <v>61075</v>
      </c>
      <c r="O29" s="42">
        <f>IFERROR(
ROUND(
IF($A$2="COSTO",
   ((B29*(1+IFERROR(VLOOKUP($D$2,COLORES[],2,FALSE),0)))+F29)
   *(1-SUMPRODUCT(
        (DESC_PROV[LINEA]=$B$2)*
        (DESC_PROV[LISTA]=$C$2)*
        (DESC_PROV[DESCUENTO])
   )),
   ((B29*(1+IFERROR(VLOOKUP($D$2,COLORES[],2,FALSE),0)))+F29)
   *(1-SUMPRODUCT(
        (DESC_PROV[LINEA]=$B$2)*
        (DESC_PROV[LISTA]=$C$2)*
        (DESC_PROV[DESCUENTO])
   ))
   *(1+VLOOKUP($C$2,LISTAS[],2,FALSE))
   *(1+VLOOKUP($C$2,LISTAS[],3,FALSE))
)
/5,0)*5,0)</f>
        <v>76070</v>
      </c>
      <c r="P29" s="42">
        <f>IFERROR(
ROUND(
IF($A$2="COSTO",
   ((B29*(1+IFERROR(VLOOKUP($D$2,COLORES[],2,FALSE),0)))+G29)
   *(1-SUMPRODUCT(
        (DESC_PROV[LINEA]=$B$2)*
        (DESC_PROV[LISTA]=$C$2)*
        (DESC_PROV[DESCUENTO])
   )),
   ((B29*(1+IFERROR(VLOOKUP($D$2,COLORES[],2,FALSE),0)))+G29)
   *(1-SUMPRODUCT(
        (DESC_PROV[LINEA]=$B$2)*
        (DESC_PROV[LISTA]=$C$2)*
        (DESC_PROV[DESCUENTO])
   ))
   *(1+VLOOKUP($C$2,LISTAS[],2,FALSE))
   *(1+VLOOKUP($C$2,LISTAS[],3,FALSE))
)
/5,0)*5,0)</f>
        <v>58910</v>
      </c>
      <c r="Q29" s="43">
        <f>IFERROR(
ROUND(
IF($A$2="COSTO",
   ((B29*(1+IFERROR(VLOOKUP($D$2,COLORES[],2,FALSE),0)))+H29)
   *(1-SUMPRODUCT(
        (DESC_PROV[LINEA]=$B$2)*
        (DESC_PROV[LISTA]=$C$2)*
        (DESC_PROV[DESCUENTO])
   )),
   ((B29*(1+IFERROR(VLOOKUP($D$2,COLORES[],2,FALSE),0)))+H29)
   *(1-SUMPRODUCT(
        (DESC_PROV[LINEA]=$B$2)*
        (DESC_PROV[LISTA]=$C$2)*
        (DESC_PROV[DESCUENTO])
   ))
   *(1+VLOOKUP($C$2,LISTAS[],2,FALSE))
   *(1+VLOOKUP($C$2,LISTAS[],3,FALSE))
)
/5,0)*5,0)</f>
        <v>89960</v>
      </c>
    </row>
    <row r="30" spans="1:17">
      <c r="A30" s="47" t="s">
        <v>165</v>
      </c>
      <c r="B30" s="42">
        <v>40888</v>
      </c>
      <c r="C30" s="42">
        <v>8160</v>
      </c>
      <c r="D30" s="42">
        <v>9869</v>
      </c>
      <c r="E30" s="42">
        <v>13085</v>
      </c>
      <c r="F30" s="42">
        <v>28253</v>
      </c>
      <c r="G30" s="42">
        <v>10867</v>
      </c>
      <c r="H30" s="42">
        <v>42152</v>
      </c>
      <c r="I30" s="2"/>
      <c r="J30" s="2"/>
      <c r="K30" s="47" t="s">
        <v>165</v>
      </c>
      <c r="L30" s="42">
        <f>IFERROR(
ROUND(
IF($A$2="COSTO",
   ((B30*(1+IFERROR(VLOOKUP($D$2,COLORES[],2,FALSE),0)))+C30)
   *(1-SUMPRODUCT(
        (DESC_PROV[LINEA]=$B$2)*
        (DESC_PROV[LISTA]=$C$2)*
        (DESC_PROV[DESCUENTO])
   )),
   ((B30*(1+IFERROR(VLOOKUP($D$2,COLORES[],2,FALSE),0)))+C30)
   *(1-SUMPRODUCT(
        (DESC_PROV[LINEA]=$B$2)*
        (DESC_PROV[LISTA]=$C$2)*
        (DESC_PROV[DESCUENTO])
   ))
   *(1+VLOOKUP($C$2,LISTAS[],2,FALSE))
   *(1+VLOOKUP($C$2,LISTAS[],3,FALSE))
)
/5,0)*5,0)</f>
        <v>60830</v>
      </c>
      <c r="M30" s="42">
        <f>IFERROR(
ROUND(
IF($A$2="COSTO",
   ((B30*(1+IFERROR(VLOOKUP($D$2,COLORES[],2,FALSE),0)))+D30)
   *(1-SUMPRODUCT(
        (DESC_PROV[LINEA]=$B$2)*
        (DESC_PROV[LISTA]=$C$2)*
        (DESC_PROV[DESCUENTO])
   )),
   ((B30*(1+IFERROR(VLOOKUP($D$2,COLORES[],2,FALSE),0)))+D30)
   *(1-SUMPRODUCT(
        (DESC_PROV[LINEA]=$B$2)*
        (DESC_PROV[LISTA]=$C$2)*
        (DESC_PROV[DESCUENTO])
   ))
   *(1+VLOOKUP($C$2,LISTAS[],2,FALSE))
   *(1+VLOOKUP($C$2,LISTAS[],3,FALSE))
)
/5,0)*5,0)</f>
        <v>62950</v>
      </c>
      <c r="N30" s="42">
        <f>IFERROR(
ROUND(
IF($A$2="COSTO",
   ((B30*(1+IFERROR(VLOOKUP($D$2,COLORES[],2,FALSE),0)))+E30)
   *(1-SUMPRODUCT(
        (DESC_PROV[LINEA]=$B$2)*
        (DESC_PROV[LISTA]=$C$2)*
        (DESC_PROV[DESCUENTO])
   )),
   ((B30*(1+IFERROR(VLOOKUP($D$2,COLORES[],2,FALSE),0)))+E30)
   *(1-SUMPRODUCT(
        (DESC_PROV[LINEA]=$B$2)*
        (DESC_PROV[LISTA]=$C$2)*
        (DESC_PROV[DESCUENTO])
   ))
   *(1+VLOOKUP($C$2,LISTAS[],2,FALSE))
   *(1+VLOOKUP($C$2,LISTAS[],3,FALSE))
)
/5,0)*5,0)</f>
        <v>66935</v>
      </c>
      <c r="O30" s="42">
        <f>IFERROR(
ROUND(
IF($A$2="COSTO",
   ((B30*(1+IFERROR(VLOOKUP($D$2,COLORES[],2,FALSE),0)))+F30)
   *(1-SUMPRODUCT(
        (DESC_PROV[LINEA]=$B$2)*
        (DESC_PROV[LISTA]=$C$2)*
        (DESC_PROV[DESCUENTO])
   )),
   ((B30*(1+IFERROR(VLOOKUP($D$2,COLORES[],2,FALSE),0)))+F30)
   *(1-SUMPRODUCT(
        (DESC_PROV[LINEA]=$B$2)*
        (DESC_PROV[LISTA]=$C$2)*
        (DESC_PROV[DESCUENTO])
   ))
   *(1+VLOOKUP($C$2,LISTAS[],2,FALSE))
   *(1+VLOOKUP($C$2,LISTAS[],3,FALSE))
)
/5,0)*5,0)</f>
        <v>85750</v>
      </c>
      <c r="P30" s="42">
        <f>IFERROR(
ROUND(
IF($A$2="COSTO",
   ((B30*(1+IFERROR(VLOOKUP($D$2,COLORES[],2,FALSE),0)))+G30)
   *(1-SUMPRODUCT(
        (DESC_PROV[LINEA]=$B$2)*
        (DESC_PROV[LISTA]=$C$2)*
        (DESC_PROV[DESCUENTO])
   )),
   ((B30*(1+IFERROR(VLOOKUP($D$2,COLORES[],2,FALSE),0)))+G30)
   *(1-SUMPRODUCT(
        (DESC_PROV[LINEA]=$B$2)*
        (DESC_PROV[LISTA]=$C$2)*
        (DESC_PROV[DESCUENTO])
   ))
   *(1+VLOOKUP($C$2,LISTAS[],2,FALSE))
   *(1+VLOOKUP($C$2,LISTAS[],3,FALSE))
)
/5,0)*5,0)</f>
        <v>64185</v>
      </c>
      <c r="Q30" s="43">
        <f>IFERROR(
ROUND(
IF($A$2="COSTO",
   ((B30*(1+IFERROR(VLOOKUP($D$2,COLORES[],2,FALSE),0)))+H30)
   *(1-SUMPRODUCT(
        (DESC_PROV[LINEA]=$B$2)*
        (DESC_PROV[LISTA]=$C$2)*
        (DESC_PROV[DESCUENTO])
   )),
   ((B30*(1+IFERROR(VLOOKUP($D$2,COLORES[],2,FALSE),0)))+H30)
   *(1-SUMPRODUCT(
        (DESC_PROV[LINEA]=$B$2)*
        (DESC_PROV[LISTA]=$C$2)*
        (DESC_PROV[DESCUENTO])
   ))
   *(1+VLOOKUP($C$2,LISTAS[],2,FALSE))
   *(1+VLOOKUP($C$2,LISTAS[],3,FALSE))
)
/5,0)*5,0)</f>
        <v>102985</v>
      </c>
    </row>
    <row r="31" spans="1:17">
      <c r="A31" s="47" t="s">
        <v>166</v>
      </c>
      <c r="B31" s="42">
        <v>42983</v>
      </c>
      <c r="C31" s="42">
        <v>9802</v>
      </c>
      <c r="D31" s="42">
        <v>11837</v>
      </c>
      <c r="E31" s="42">
        <v>15715</v>
      </c>
      <c r="F31" s="42">
        <v>33965</v>
      </c>
      <c r="G31" s="42">
        <v>13027</v>
      </c>
      <c r="H31" s="42">
        <v>50561</v>
      </c>
      <c r="I31" s="2"/>
      <c r="J31" s="2"/>
      <c r="K31" s="47" t="s">
        <v>166</v>
      </c>
      <c r="L31" s="42">
        <f>IFERROR(
ROUND(
IF($A$2="COSTO",
   ((B31*(1+IFERROR(VLOOKUP($D$2,COLORES[],2,FALSE),0)))+C31)
   *(1-SUMPRODUCT(
        (DESC_PROV[LINEA]=$B$2)*
        (DESC_PROV[LISTA]=$C$2)*
        (DESC_PROV[DESCUENTO])
   )),
   ((B31*(1+IFERROR(VLOOKUP($D$2,COLORES[],2,FALSE),0)))+C31)
   *(1-SUMPRODUCT(
        (DESC_PROV[LINEA]=$B$2)*
        (DESC_PROV[LISTA]=$C$2)*
        (DESC_PROV[DESCUENTO])
   ))
   *(1+VLOOKUP($C$2,LISTAS[],2,FALSE))
   *(1+VLOOKUP($C$2,LISTAS[],3,FALSE))
)
/5,0)*5,0)</f>
        <v>65465</v>
      </c>
      <c r="M31" s="42">
        <f>IFERROR(
ROUND(
IF($A$2="COSTO",
   ((B31*(1+IFERROR(VLOOKUP($D$2,COLORES[],2,FALSE),0)))+D31)
   *(1-SUMPRODUCT(
        (DESC_PROV[LINEA]=$B$2)*
        (DESC_PROV[LISTA]=$C$2)*
        (DESC_PROV[DESCUENTO])
   )),
   ((B31*(1+IFERROR(VLOOKUP($D$2,COLORES[],2,FALSE),0)))+D31)
   *(1-SUMPRODUCT(
        (DESC_PROV[LINEA]=$B$2)*
        (DESC_PROV[LISTA]=$C$2)*
        (DESC_PROV[DESCUENTO])
   ))
   *(1+VLOOKUP($C$2,LISTAS[],2,FALSE))
   *(1+VLOOKUP($C$2,LISTAS[],3,FALSE))
)
/5,0)*5,0)</f>
        <v>67990</v>
      </c>
      <c r="N31" s="42">
        <f>IFERROR(
ROUND(
IF($A$2="COSTO",
   ((B31*(1+IFERROR(VLOOKUP($D$2,COLORES[],2,FALSE),0)))+E31)
   *(1-SUMPRODUCT(
        (DESC_PROV[LINEA]=$B$2)*
        (DESC_PROV[LISTA]=$C$2)*
        (DESC_PROV[DESCUENTO])
   )),
   ((B31*(1+IFERROR(VLOOKUP($D$2,COLORES[],2,FALSE),0)))+E31)
   *(1-SUMPRODUCT(
        (DESC_PROV[LINEA]=$B$2)*
        (DESC_PROV[LISTA]=$C$2)*
        (DESC_PROV[DESCUENTO])
   ))
   *(1+VLOOKUP($C$2,LISTAS[],2,FALSE))
   *(1+VLOOKUP($C$2,LISTAS[],3,FALSE))
)
/5,0)*5,0)</f>
        <v>72795</v>
      </c>
      <c r="O31" s="42">
        <f>IFERROR(
ROUND(
IF($A$2="COSTO",
   ((B31*(1+IFERROR(VLOOKUP($D$2,COLORES[],2,FALSE),0)))+F31)
   *(1-SUMPRODUCT(
        (DESC_PROV[LINEA]=$B$2)*
        (DESC_PROV[LISTA]=$C$2)*
        (DESC_PROV[DESCUENTO])
   )),
   ((B31*(1+IFERROR(VLOOKUP($D$2,COLORES[],2,FALSE),0)))+F31)
   *(1-SUMPRODUCT(
        (DESC_PROV[LINEA]=$B$2)*
        (DESC_PROV[LISTA]=$C$2)*
        (DESC_PROV[DESCUENTO])
   ))
   *(1+VLOOKUP($C$2,LISTAS[],2,FALSE))
   *(1+VLOOKUP($C$2,LISTAS[],3,FALSE))
)
/5,0)*5,0)</f>
        <v>95430</v>
      </c>
      <c r="P31" s="42">
        <f>IFERROR(
ROUND(
IF($A$2="COSTO",
   ((B31*(1+IFERROR(VLOOKUP($D$2,COLORES[],2,FALSE),0)))+G31)
   *(1-SUMPRODUCT(
        (DESC_PROV[LINEA]=$B$2)*
        (DESC_PROV[LISTA]=$C$2)*
        (DESC_PROV[DESCUENTO])
   )),
   ((B31*(1+IFERROR(VLOOKUP($D$2,COLORES[],2,FALSE),0)))+G31)
   *(1-SUMPRODUCT(
        (DESC_PROV[LINEA]=$B$2)*
        (DESC_PROV[LISTA]=$C$2)*
        (DESC_PROV[DESCUENTO])
   ))
   *(1+VLOOKUP($C$2,LISTAS[],2,FALSE))
   *(1+VLOOKUP($C$2,LISTAS[],3,FALSE))
)
/5,0)*5,0)</f>
        <v>69465</v>
      </c>
      <c r="Q31" s="43">
        <f>IFERROR(
ROUND(
IF($A$2="COSTO",
   ((B31*(1+IFERROR(VLOOKUP($D$2,COLORES[],2,FALSE),0)))+H31)
   *(1-SUMPRODUCT(
        (DESC_PROV[LINEA]=$B$2)*
        (DESC_PROV[LISTA]=$C$2)*
        (DESC_PROV[DESCUENTO])
   )),
   ((B31*(1+IFERROR(VLOOKUP($D$2,COLORES[],2,FALSE),0)))+H31)
   *(1-SUMPRODUCT(
        (DESC_PROV[LINEA]=$B$2)*
        (DESC_PROV[LISTA]=$C$2)*
        (DESC_PROV[DESCUENTO])
   ))
   *(1+VLOOKUP($C$2,LISTAS[],2,FALSE))
   *(1+VLOOKUP($C$2,LISTAS[],3,FALSE))
)
/5,0)*5,0)</f>
        <v>116015</v>
      </c>
    </row>
    <row r="32" spans="1:17">
      <c r="A32" s="47" t="s">
        <v>167</v>
      </c>
      <c r="B32" s="42">
        <v>45077</v>
      </c>
      <c r="C32" s="42">
        <v>11434</v>
      </c>
      <c r="D32" s="42">
        <v>13805</v>
      </c>
      <c r="E32" s="42">
        <v>18346</v>
      </c>
      <c r="F32" s="42">
        <v>39677</v>
      </c>
      <c r="G32" s="42">
        <v>15187</v>
      </c>
      <c r="H32" s="42">
        <v>58971</v>
      </c>
      <c r="I32" s="2"/>
      <c r="J32" s="2"/>
      <c r="K32" s="47" t="s">
        <v>167</v>
      </c>
      <c r="L32" s="42">
        <f>IFERROR(
ROUND(
IF($A$2="COSTO",
   ((B32*(1+IFERROR(VLOOKUP($D$2,COLORES[],2,FALSE),0)))+C32)
   *(1-SUMPRODUCT(
        (DESC_PROV[LINEA]=$B$2)*
        (DESC_PROV[LISTA]=$C$2)*
        (DESC_PROV[DESCUENTO])
   )),
   ((B32*(1+IFERROR(VLOOKUP($D$2,COLORES[],2,FALSE),0)))+C32)
   *(1-SUMPRODUCT(
        (DESC_PROV[LINEA]=$B$2)*
        (DESC_PROV[LISTA]=$C$2)*
        (DESC_PROV[DESCUENTO])
   ))
   *(1+VLOOKUP($C$2,LISTAS[],2,FALSE))
   *(1+VLOOKUP($C$2,LISTAS[],3,FALSE))
)
/5,0)*5,0)</f>
        <v>70085</v>
      </c>
      <c r="M32" s="42">
        <f>IFERROR(
ROUND(
IF($A$2="COSTO",
   ((B32*(1+IFERROR(VLOOKUP($D$2,COLORES[],2,FALSE),0)))+D32)
   *(1-SUMPRODUCT(
        (DESC_PROV[LINEA]=$B$2)*
        (DESC_PROV[LISTA]=$C$2)*
        (DESC_PROV[DESCUENTO])
   )),
   ((B32*(1+IFERROR(VLOOKUP($D$2,COLORES[],2,FALSE),0)))+D32)
   *(1-SUMPRODUCT(
        (DESC_PROV[LINEA]=$B$2)*
        (DESC_PROV[LISTA]=$C$2)*
        (DESC_PROV[DESCUENTO])
   ))
   *(1+VLOOKUP($C$2,LISTAS[],2,FALSE))
   *(1+VLOOKUP($C$2,LISTAS[],3,FALSE))
)
/5,0)*5,0)</f>
        <v>73025</v>
      </c>
      <c r="N32" s="42">
        <f>IFERROR(
ROUND(
IF($A$2="COSTO",
   ((B32*(1+IFERROR(VLOOKUP($D$2,COLORES[],2,FALSE),0)))+E32)
   *(1-SUMPRODUCT(
        (DESC_PROV[LINEA]=$B$2)*
        (DESC_PROV[LISTA]=$C$2)*
        (DESC_PROV[DESCUENTO])
   )),
   ((B32*(1+IFERROR(VLOOKUP($D$2,COLORES[],2,FALSE),0)))+E32)
   *(1-SUMPRODUCT(
        (DESC_PROV[LINEA]=$B$2)*
        (DESC_PROV[LISTA]=$C$2)*
        (DESC_PROV[DESCUENTO])
   ))
   *(1+VLOOKUP($C$2,LISTAS[],2,FALSE))
   *(1+VLOOKUP($C$2,LISTAS[],3,FALSE))
)
/5,0)*5,0)</f>
        <v>78655</v>
      </c>
      <c r="O32" s="42">
        <f>IFERROR(
ROUND(
IF($A$2="COSTO",
   ((B32*(1+IFERROR(VLOOKUP($D$2,COLORES[],2,FALSE),0)))+F32)
   *(1-SUMPRODUCT(
        (DESC_PROV[LINEA]=$B$2)*
        (DESC_PROV[LISTA]=$C$2)*
        (DESC_PROV[DESCUENTO])
   )),
   ((B32*(1+IFERROR(VLOOKUP($D$2,COLORES[],2,FALSE),0)))+F32)
   *(1-SUMPRODUCT(
        (DESC_PROV[LINEA]=$B$2)*
        (DESC_PROV[LISTA]=$C$2)*
        (DESC_PROV[DESCUENTO])
   ))
   *(1+VLOOKUP($C$2,LISTAS[],2,FALSE))
   *(1+VLOOKUP($C$2,LISTAS[],3,FALSE))
)
/5,0)*5,0)</f>
        <v>105110</v>
      </c>
      <c r="P32" s="42">
        <f>IFERROR(
ROUND(
IF($A$2="COSTO",
   ((B32*(1+IFERROR(VLOOKUP($D$2,COLORES[],2,FALSE),0)))+G32)
   *(1-SUMPRODUCT(
        (DESC_PROV[LINEA]=$B$2)*
        (DESC_PROV[LISTA]=$C$2)*
        (DESC_PROV[DESCUENTO])
   )),
   ((B32*(1+IFERROR(VLOOKUP($D$2,COLORES[],2,FALSE),0)))+G32)
   *(1-SUMPRODUCT(
        (DESC_PROV[LINEA]=$B$2)*
        (DESC_PROV[LISTA]=$C$2)*
        (DESC_PROV[DESCUENTO])
   ))
   *(1+VLOOKUP($C$2,LISTAS[],2,FALSE))
   *(1+VLOOKUP($C$2,LISTAS[],3,FALSE))
)
/5,0)*5,0)</f>
        <v>74740</v>
      </c>
      <c r="Q32" s="43">
        <f>IFERROR(
ROUND(
IF($A$2="COSTO",
   ((B32*(1+IFERROR(VLOOKUP($D$2,COLORES[],2,FALSE),0)))+H32)
   *(1-SUMPRODUCT(
        (DESC_PROV[LINEA]=$B$2)*
        (DESC_PROV[LISTA]=$C$2)*
        (DESC_PROV[DESCUENTO])
   )),
   ((B32*(1+IFERROR(VLOOKUP($D$2,COLORES[],2,FALSE),0)))+H32)
   *(1-SUMPRODUCT(
        (DESC_PROV[LINEA]=$B$2)*
        (DESC_PROV[LISTA]=$C$2)*
        (DESC_PROV[DESCUENTO])
   ))
   *(1+VLOOKUP($C$2,LISTAS[],2,FALSE))
   *(1+VLOOKUP($C$2,LISTAS[],3,FALSE))
)
/5,0)*5,0)</f>
        <v>129040</v>
      </c>
    </row>
    <row r="33" spans="1:17">
      <c r="A33" s="47" t="s">
        <v>168</v>
      </c>
      <c r="B33" s="42">
        <v>47172</v>
      </c>
      <c r="C33" s="42">
        <v>13066</v>
      </c>
      <c r="D33" s="42">
        <v>15773</v>
      </c>
      <c r="E33" s="42">
        <v>20976</v>
      </c>
      <c r="F33" s="42">
        <v>45389</v>
      </c>
      <c r="G33" s="42">
        <v>17347</v>
      </c>
      <c r="H33" s="42">
        <v>67380</v>
      </c>
      <c r="I33" s="2"/>
      <c r="J33" s="2"/>
      <c r="K33" s="47" t="s">
        <v>168</v>
      </c>
      <c r="L33" s="42">
        <f>IFERROR(
ROUND(
IF($A$2="COSTO",
   ((B33*(1+IFERROR(VLOOKUP($D$2,COLORES[],2,FALSE),0)))+C33)
   *(1-SUMPRODUCT(
        (DESC_PROV[LINEA]=$B$2)*
        (DESC_PROV[LISTA]=$C$2)*
        (DESC_PROV[DESCUENTO])
   )),
   ((B33*(1+IFERROR(VLOOKUP($D$2,COLORES[],2,FALSE),0)))+C33)
   *(1-SUMPRODUCT(
        (DESC_PROV[LINEA]=$B$2)*
        (DESC_PROV[LISTA]=$C$2)*
        (DESC_PROV[DESCUENTO])
   ))
   *(1+VLOOKUP($C$2,LISTAS[],2,FALSE))
   *(1+VLOOKUP($C$2,LISTAS[],3,FALSE))
)
/5,0)*5,0)</f>
        <v>74705</v>
      </c>
      <c r="M33" s="42">
        <f>IFERROR(
ROUND(
IF($A$2="COSTO",
   ((B33*(1+IFERROR(VLOOKUP($D$2,COLORES[],2,FALSE),0)))+D33)
   *(1-SUMPRODUCT(
        (DESC_PROV[LINEA]=$B$2)*
        (DESC_PROV[LISTA]=$C$2)*
        (DESC_PROV[DESCUENTO])
   )),
   ((B33*(1+IFERROR(VLOOKUP($D$2,COLORES[],2,FALSE),0)))+D33)
   *(1-SUMPRODUCT(
        (DESC_PROV[LINEA]=$B$2)*
        (DESC_PROV[LISTA]=$C$2)*
        (DESC_PROV[DESCUENTO])
   ))
   *(1+VLOOKUP($C$2,LISTAS[],2,FALSE))
   *(1+VLOOKUP($C$2,LISTAS[],3,FALSE))
)
/5,0)*5,0)</f>
        <v>78065</v>
      </c>
      <c r="N33" s="42">
        <f>IFERROR(
ROUND(
IF($A$2="COSTO",
   ((B33*(1+IFERROR(VLOOKUP($D$2,COLORES[],2,FALSE),0)))+E33)
   *(1-SUMPRODUCT(
        (DESC_PROV[LINEA]=$B$2)*
        (DESC_PROV[LISTA]=$C$2)*
        (DESC_PROV[DESCUENTO])
   )),
   ((B33*(1+IFERROR(VLOOKUP($D$2,COLORES[],2,FALSE),0)))+E33)
   *(1-SUMPRODUCT(
        (DESC_PROV[LINEA]=$B$2)*
        (DESC_PROV[LISTA]=$C$2)*
        (DESC_PROV[DESCUENTO])
   ))
   *(1+VLOOKUP($C$2,LISTAS[],2,FALSE))
   *(1+VLOOKUP($C$2,LISTAS[],3,FALSE))
)
/5,0)*5,0)</f>
        <v>84515</v>
      </c>
      <c r="O33" s="42">
        <f>IFERROR(
ROUND(
IF($A$2="COSTO",
   ((B33*(1+IFERROR(VLOOKUP($D$2,COLORES[],2,FALSE),0)))+F33)
   *(1-SUMPRODUCT(
        (DESC_PROV[LINEA]=$B$2)*
        (DESC_PROV[LISTA]=$C$2)*
        (DESC_PROV[DESCUENTO])
   )),
   ((B33*(1+IFERROR(VLOOKUP($D$2,COLORES[],2,FALSE),0)))+F33)
   *(1-SUMPRODUCT(
        (DESC_PROV[LINEA]=$B$2)*
        (DESC_PROV[LISTA]=$C$2)*
        (DESC_PROV[DESCUENTO])
   ))
   *(1+VLOOKUP($C$2,LISTAS[],2,FALSE))
   *(1+VLOOKUP($C$2,LISTAS[],3,FALSE))
)
/5,0)*5,0)</f>
        <v>114795</v>
      </c>
      <c r="P33" s="42">
        <f>IFERROR(
ROUND(
IF($A$2="COSTO",
   ((B33*(1+IFERROR(VLOOKUP($D$2,COLORES[],2,FALSE),0)))+G33)
   *(1-SUMPRODUCT(
        (DESC_PROV[LINEA]=$B$2)*
        (DESC_PROV[LISTA]=$C$2)*
        (DESC_PROV[DESCUENTO])
   )),
   ((B33*(1+IFERROR(VLOOKUP($D$2,COLORES[],2,FALSE),0)))+G33)
   *(1-SUMPRODUCT(
        (DESC_PROV[LINEA]=$B$2)*
        (DESC_PROV[LISTA]=$C$2)*
        (DESC_PROV[DESCUENTO])
   ))
   *(1+VLOOKUP($C$2,LISTAS[],2,FALSE))
   *(1+VLOOKUP($C$2,LISTAS[],3,FALSE))
)
/5,0)*5,0)</f>
        <v>80015</v>
      </c>
      <c r="Q33" s="43">
        <f>IFERROR(
ROUND(
IF($A$2="COSTO",
   ((B33*(1+IFERROR(VLOOKUP($D$2,COLORES[],2,FALSE),0)))+H33)
   *(1-SUMPRODUCT(
        (DESC_PROV[LINEA]=$B$2)*
        (DESC_PROV[LISTA]=$C$2)*
        (DESC_PROV[DESCUENTO])
   )),
   ((B33*(1+IFERROR(VLOOKUP($D$2,COLORES[],2,FALSE),0)))+H33)
   *(1-SUMPRODUCT(
        (DESC_PROV[LINEA]=$B$2)*
        (DESC_PROV[LISTA]=$C$2)*
        (DESC_PROV[DESCUENTO])
   ))
   *(1+VLOOKUP($C$2,LISTAS[],2,FALSE))
   *(1+VLOOKUP($C$2,LISTAS[],3,FALSE))
)
/5,0)*5,0)</f>
        <v>142065</v>
      </c>
    </row>
    <row r="34" spans="1:17">
      <c r="A34" s="47" t="s">
        <v>169</v>
      </c>
      <c r="B34" s="42">
        <v>49266</v>
      </c>
      <c r="C34" s="42">
        <v>14698</v>
      </c>
      <c r="D34" s="42">
        <v>17741</v>
      </c>
      <c r="E34" s="42">
        <v>23606</v>
      </c>
      <c r="F34" s="42">
        <v>51101</v>
      </c>
      <c r="G34" s="42">
        <v>19507</v>
      </c>
      <c r="H34" s="42">
        <v>75790</v>
      </c>
      <c r="I34" s="2"/>
      <c r="J34" s="2"/>
      <c r="K34" s="47" t="s">
        <v>169</v>
      </c>
      <c r="L34" s="42">
        <f>IFERROR(
ROUND(
IF($A$2="COSTO",
   ((B34*(1+IFERROR(VLOOKUP($D$2,COLORES[],2,FALSE),0)))+C34)
   *(1-SUMPRODUCT(
        (DESC_PROV[LINEA]=$B$2)*
        (DESC_PROV[LISTA]=$C$2)*
        (DESC_PROV[DESCUENTO])
   )),
   ((B34*(1+IFERROR(VLOOKUP($D$2,COLORES[],2,FALSE),0)))+C34)
   *(1-SUMPRODUCT(
        (DESC_PROV[LINEA]=$B$2)*
        (DESC_PROV[LISTA]=$C$2)*
        (DESC_PROV[DESCUENTO])
   ))
   *(1+VLOOKUP($C$2,LISTAS[],2,FALSE))
   *(1+VLOOKUP($C$2,LISTAS[],3,FALSE))
)
/5,0)*5,0)</f>
        <v>79330</v>
      </c>
      <c r="M34" s="42">
        <f>IFERROR(
ROUND(
IF($A$2="COSTO",
   ((B34*(1+IFERROR(VLOOKUP($D$2,COLORES[],2,FALSE),0)))+D34)
   *(1-SUMPRODUCT(
        (DESC_PROV[LINEA]=$B$2)*
        (DESC_PROV[LISTA]=$C$2)*
        (DESC_PROV[DESCUENTO])
   )),
   ((B34*(1+IFERROR(VLOOKUP($D$2,COLORES[],2,FALSE),0)))+D34)
   *(1-SUMPRODUCT(
        (DESC_PROV[LINEA]=$B$2)*
        (DESC_PROV[LISTA]=$C$2)*
        (DESC_PROV[DESCUENTO])
   ))
   *(1+VLOOKUP($C$2,LISTAS[],2,FALSE))
   *(1+VLOOKUP($C$2,LISTAS[],3,FALSE))
)
/5,0)*5,0)</f>
        <v>83100</v>
      </c>
      <c r="N34" s="42">
        <f>IFERROR(
ROUND(
IF($A$2="COSTO",
   ((B34*(1+IFERROR(VLOOKUP($D$2,COLORES[],2,FALSE),0)))+E34)
   *(1-SUMPRODUCT(
        (DESC_PROV[LINEA]=$B$2)*
        (DESC_PROV[LISTA]=$C$2)*
        (DESC_PROV[DESCUENTO])
   )),
   ((B34*(1+IFERROR(VLOOKUP($D$2,COLORES[],2,FALSE),0)))+E34)
   *(1-SUMPRODUCT(
        (DESC_PROV[LINEA]=$B$2)*
        (DESC_PROV[LISTA]=$C$2)*
        (DESC_PROV[DESCUENTO])
   ))
   *(1+VLOOKUP($C$2,LISTAS[],2,FALSE))
   *(1+VLOOKUP($C$2,LISTAS[],3,FALSE))
)
/5,0)*5,0)</f>
        <v>90375</v>
      </c>
      <c r="O34" s="42">
        <f>IFERROR(
ROUND(
IF($A$2="COSTO",
   ((B34*(1+IFERROR(VLOOKUP($D$2,COLORES[],2,FALSE),0)))+F34)
   *(1-SUMPRODUCT(
        (DESC_PROV[LINEA]=$B$2)*
        (DESC_PROV[LISTA]=$C$2)*
        (DESC_PROV[DESCUENTO])
   )),
   ((B34*(1+IFERROR(VLOOKUP($D$2,COLORES[],2,FALSE),0)))+F34)
   *(1-SUMPRODUCT(
        (DESC_PROV[LINEA]=$B$2)*
        (DESC_PROV[LISTA]=$C$2)*
        (DESC_PROV[DESCUENTO])
   ))
   *(1+VLOOKUP($C$2,LISTAS[],2,FALSE))
   *(1+VLOOKUP($C$2,LISTAS[],3,FALSE))
)
/5,0)*5,0)</f>
        <v>124475</v>
      </c>
      <c r="P34" s="42">
        <f>IFERROR(
ROUND(
IF($A$2="COSTO",
   ((B34*(1+IFERROR(VLOOKUP($D$2,COLORES[],2,FALSE),0)))+G34)
   *(1-SUMPRODUCT(
        (DESC_PROV[LINEA]=$B$2)*
        (DESC_PROV[LISTA]=$C$2)*
        (DESC_PROV[DESCUENTO])
   )),
   ((B34*(1+IFERROR(VLOOKUP($D$2,COLORES[],2,FALSE),0)))+G34)
   *(1-SUMPRODUCT(
        (DESC_PROV[LINEA]=$B$2)*
        (DESC_PROV[LISTA]=$C$2)*
        (DESC_PROV[DESCUENTO])
   ))
   *(1+VLOOKUP($C$2,LISTAS[],2,FALSE))
   *(1+VLOOKUP($C$2,LISTAS[],3,FALSE))
)
/5,0)*5,0)</f>
        <v>85290</v>
      </c>
      <c r="Q34" s="43">
        <f>IFERROR(
ROUND(
IF($A$2="COSTO",
   ((B34*(1+IFERROR(VLOOKUP($D$2,COLORES[],2,FALSE),0)))+H34)
   *(1-SUMPRODUCT(
        (DESC_PROV[LINEA]=$B$2)*
        (DESC_PROV[LISTA]=$C$2)*
        (DESC_PROV[DESCUENTO])
   )),
   ((B34*(1+IFERROR(VLOOKUP($D$2,COLORES[],2,FALSE),0)))+H34)
   *(1-SUMPRODUCT(
        (DESC_PROV[LINEA]=$B$2)*
        (DESC_PROV[LISTA]=$C$2)*
        (DESC_PROV[DESCUENTO])
   ))
   *(1+VLOOKUP($C$2,LISTAS[],2,FALSE))
   *(1+VLOOKUP($C$2,LISTAS[],3,FALSE))
)
/5,0)*5,0)</f>
        <v>155095</v>
      </c>
    </row>
    <row r="35" spans="1:17">
      <c r="A35" s="47" t="s">
        <v>170</v>
      </c>
      <c r="B35" s="42">
        <v>38794</v>
      </c>
      <c r="C35" s="42">
        <v>5712</v>
      </c>
      <c r="D35" s="42">
        <v>6922</v>
      </c>
      <c r="E35" s="42">
        <v>9130</v>
      </c>
      <c r="F35" s="42">
        <v>19747</v>
      </c>
      <c r="G35" s="42">
        <v>7642</v>
      </c>
      <c r="H35" s="42">
        <v>29560</v>
      </c>
      <c r="I35" s="2"/>
      <c r="J35" s="2"/>
      <c r="K35" s="47" t="s">
        <v>170</v>
      </c>
      <c r="L35" s="42">
        <f>IFERROR(
ROUND(
IF($A$2="COSTO",
   ((B35*(1+IFERROR(VLOOKUP($D$2,COLORES[],2,FALSE),0)))+C35)
   *(1-SUMPRODUCT(
        (DESC_PROV[LINEA]=$B$2)*
        (DESC_PROV[LISTA]=$C$2)*
        (DESC_PROV[DESCUENTO])
   )),
   ((B35*(1+IFERROR(VLOOKUP($D$2,COLORES[],2,FALSE),0)))+C35)
   *(1-SUMPRODUCT(
        (DESC_PROV[LINEA]=$B$2)*
        (DESC_PROV[LISTA]=$C$2)*
        (DESC_PROV[DESCUENTO])
   ))
   *(1+VLOOKUP($C$2,LISTAS[],2,FALSE))
   *(1+VLOOKUP($C$2,LISTAS[],3,FALSE))
)
/5,0)*5,0)</f>
        <v>55195</v>
      </c>
      <c r="M35" s="42">
        <f>IFERROR(
ROUND(
IF($A$2="COSTO",
   ((B35*(1+IFERROR(VLOOKUP($D$2,COLORES[],2,FALSE),0)))+D35)
   *(1-SUMPRODUCT(
        (DESC_PROV[LINEA]=$B$2)*
        (DESC_PROV[LISTA]=$C$2)*
        (DESC_PROV[DESCUENTO])
   )),
   ((B35*(1+IFERROR(VLOOKUP($D$2,COLORES[],2,FALSE),0)))+D35)
   *(1-SUMPRODUCT(
        (DESC_PROV[LINEA]=$B$2)*
        (DESC_PROV[LISTA]=$C$2)*
        (DESC_PROV[DESCUENTO])
   ))
   *(1+VLOOKUP($C$2,LISTAS[],2,FALSE))
   *(1+VLOOKUP($C$2,LISTAS[],3,FALSE))
)
/5,0)*5,0)</f>
        <v>56695</v>
      </c>
      <c r="N35" s="42">
        <f>IFERROR(
ROUND(
IF($A$2="COSTO",
   ((B35*(1+IFERROR(VLOOKUP($D$2,COLORES[],2,FALSE),0)))+E35)
   *(1-SUMPRODUCT(
        (DESC_PROV[LINEA]=$B$2)*
        (DESC_PROV[LISTA]=$C$2)*
        (DESC_PROV[DESCUENTO])
   )),
   ((B35*(1+IFERROR(VLOOKUP($D$2,COLORES[],2,FALSE),0)))+E35)
   *(1-SUMPRODUCT(
        (DESC_PROV[LINEA]=$B$2)*
        (DESC_PROV[LISTA]=$C$2)*
        (DESC_PROV[DESCUENTO])
   ))
   *(1+VLOOKUP($C$2,LISTAS[],2,FALSE))
   *(1+VLOOKUP($C$2,LISTAS[],3,FALSE))
)
/5,0)*5,0)</f>
        <v>59435</v>
      </c>
      <c r="O35" s="42">
        <f>IFERROR(
ROUND(
IF($A$2="COSTO",
   ((B35*(1+IFERROR(VLOOKUP($D$2,COLORES[],2,FALSE),0)))+F35)
   *(1-SUMPRODUCT(
        (DESC_PROV[LINEA]=$B$2)*
        (DESC_PROV[LISTA]=$C$2)*
        (DESC_PROV[DESCUENTO])
   )),
   ((B35*(1+IFERROR(VLOOKUP($D$2,COLORES[],2,FALSE),0)))+F35)
   *(1-SUMPRODUCT(
        (DESC_PROV[LINEA]=$B$2)*
        (DESC_PROV[LISTA]=$C$2)*
        (DESC_PROV[DESCUENTO])
   ))
   *(1+VLOOKUP($C$2,LISTAS[],2,FALSE))
   *(1+VLOOKUP($C$2,LISTAS[],3,FALSE))
)
/5,0)*5,0)</f>
        <v>72605</v>
      </c>
      <c r="P35" s="42">
        <f>IFERROR(
ROUND(
IF($A$2="COSTO",
   ((B35*(1+IFERROR(VLOOKUP($D$2,COLORES[],2,FALSE),0)))+G35)
   *(1-SUMPRODUCT(
        (DESC_PROV[LINEA]=$B$2)*
        (DESC_PROV[LISTA]=$C$2)*
        (DESC_PROV[DESCUENTO])
   )),
   ((B35*(1+IFERROR(VLOOKUP($D$2,COLORES[],2,FALSE),0)))+G35)
   *(1-SUMPRODUCT(
        (DESC_PROV[LINEA]=$B$2)*
        (DESC_PROV[LISTA]=$C$2)*
        (DESC_PROV[DESCUENTO])
   ))
   *(1+VLOOKUP($C$2,LISTAS[],2,FALSE))
   *(1+VLOOKUP($C$2,LISTAS[],3,FALSE))
)
/5,0)*5,0)</f>
        <v>57590</v>
      </c>
      <c r="Q35" s="43">
        <f>IFERROR(
ROUND(
IF($A$2="COSTO",
   ((B35*(1+IFERROR(VLOOKUP($D$2,COLORES[],2,FALSE),0)))+H35)
   *(1-SUMPRODUCT(
        (DESC_PROV[LINEA]=$B$2)*
        (DESC_PROV[LISTA]=$C$2)*
        (DESC_PROV[DESCUENTO])
   )),
   ((B35*(1+IFERROR(VLOOKUP($D$2,COLORES[],2,FALSE),0)))+H35)
   *(1-SUMPRODUCT(
        (DESC_PROV[LINEA]=$B$2)*
        (DESC_PROV[LISTA]=$C$2)*
        (DESC_PROV[DESCUENTO])
   ))
   *(1+VLOOKUP($C$2,LISTAS[],2,FALSE))
   *(1+VLOOKUP($C$2,LISTAS[],3,FALSE))
)
/5,0)*5,0)</f>
        <v>84775</v>
      </c>
    </row>
    <row r="36" spans="1:17">
      <c r="A36" s="47" t="s">
        <v>171</v>
      </c>
      <c r="B36" s="42">
        <v>40888</v>
      </c>
      <c r="C36" s="42">
        <v>7622</v>
      </c>
      <c r="D36" s="42">
        <v>9216</v>
      </c>
      <c r="E36" s="42">
        <v>12202</v>
      </c>
      <c r="F36" s="42">
        <v>26294</v>
      </c>
      <c r="G36" s="42">
        <v>10157</v>
      </c>
      <c r="H36" s="42">
        <v>39364</v>
      </c>
      <c r="I36" s="2"/>
      <c r="J36" s="2"/>
      <c r="K36" s="47" t="s">
        <v>171</v>
      </c>
      <c r="L36" s="42">
        <f>IFERROR(
ROUND(
IF($A$2="COSTO",
   ((B36*(1+IFERROR(VLOOKUP($D$2,COLORES[],2,FALSE),0)))+C36)
   *(1-SUMPRODUCT(
        (DESC_PROV[LINEA]=$B$2)*
        (DESC_PROV[LISTA]=$C$2)*
        (DESC_PROV[DESCUENTO])
   )),
   ((B36*(1+IFERROR(VLOOKUP($D$2,COLORES[],2,FALSE),0)))+C36)
   *(1-SUMPRODUCT(
        (DESC_PROV[LINEA]=$B$2)*
        (DESC_PROV[LISTA]=$C$2)*
        (DESC_PROV[DESCUENTO])
   ))
   *(1+VLOOKUP($C$2,LISTAS[],2,FALSE))
   *(1+VLOOKUP($C$2,LISTAS[],3,FALSE))
)
/5,0)*5,0)</f>
        <v>60160</v>
      </c>
      <c r="M36" s="42">
        <f>IFERROR(
ROUND(
IF($A$2="COSTO",
   ((B36*(1+IFERROR(VLOOKUP($D$2,COLORES[],2,FALSE),0)))+D36)
   *(1-SUMPRODUCT(
        (DESC_PROV[LINEA]=$B$2)*
        (DESC_PROV[LISTA]=$C$2)*
        (DESC_PROV[DESCUENTO])
   )),
   ((B36*(1+IFERROR(VLOOKUP($D$2,COLORES[],2,FALSE),0)))+D36)
   *(1-SUMPRODUCT(
        (DESC_PROV[LINEA]=$B$2)*
        (DESC_PROV[LISTA]=$C$2)*
        (DESC_PROV[DESCUENTO])
   ))
   *(1+VLOOKUP($C$2,LISTAS[],2,FALSE))
   *(1+VLOOKUP($C$2,LISTAS[],3,FALSE))
)
/5,0)*5,0)</f>
        <v>62140</v>
      </c>
      <c r="N36" s="42">
        <f>IFERROR(
ROUND(
IF($A$2="COSTO",
   ((B36*(1+IFERROR(VLOOKUP($D$2,COLORES[],2,FALSE),0)))+E36)
   *(1-SUMPRODUCT(
        (DESC_PROV[LINEA]=$B$2)*
        (DESC_PROV[LISTA]=$C$2)*
        (DESC_PROV[DESCUENTO])
   )),
   ((B36*(1+IFERROR(VLOOKUP($D$2,COLORES[],2,FALSE),0)))+E36)
   *(1-SUMPRODUCT(
        (DESC_PROV[LINEA]=$B$2)*
        (DESC_PROV[LISTA]=$C$2)*
        (DESC_PROV[DESCUENTO])
   ))
   *(1+VLOOKUP($C$2,LISTAS[],2,FALSE))
   *(1+VLOOKUP($C$2,LISTAS[],3,FALSE))
)
/5,0)*5,0)</f>
        <v>65840</v>
      </c>
      <c r="O36" s="42">
        <f>IFERROR(
ROUND(
IF($A$2="COSTO",
   ((B36*(1+IFERROR(VLOOKUP($D$2,COLORES[],2,FALSE),0)))+F36)
   *(1-SUMPRODUCT(
        (DESC_PROV[LINEA]=$B$2)*
        (DESC_PROV[LISTA]=$C$2)*
        (DESC_PROV[DESCUENTO])
   )),
   ((B36*(1+IFERROR(VLOOKUP($D$2,COLORES[],2,FALSE),0)))+F36)
   *(1-SUMPRODUCT(
        (DESC_PROV[LINEA]=$B$2)*
        (DESC_PROV[LISTA]=$C$2)*
        (DESC_PROV[DESCUENTO])
   ))
   *(1+VLOOKUP($C$2,LISTAS[],2,FALSE))
   *(1+VLOOKUP($C$2,LISTAS[],3,FALSE))
)
/5,0)*5,0)</f>
        <v>83320</v>
      </c>
      <c r="P36" s="42">
        <f>IFERROR(
ROUND(
IF($A$2="COSTO",
   ((B36*(1+IFERROR(VLOOKUP($D$2,COLORES[],2,FALSE),0)))+G36)
   *(1-SUMPRODUCT(
        (DESC_PROV[LINEA]=$B$2)*
        (DESC_PROV[LISTA]=$C$2)*
        (DESC_PROV[DESCUENTO])
   )),
   ((B36*(1+IFERROR(VLOOKUP($D$2,COLORES[],2,FALSE),0)))+G36)
   *(1-SUMPRODUCT(
        (DESC_PROV[LINEA]=$B$2)*
        (DESC_PROV[LISTA]=$C$2)*
        (DESC_PROV[DESCUENTO])
   ))
   *(1+VLOOKUP($C$2,LISTAS[],2,FALSE))
   *(1+VLOOKUP($C$2,LISTAS[],3,FALSE))
)
/5,0)*5,0)</f>
        <v>63305</v>
      </c>
      <c r="Q36" s="43">
        <f>IFERROR(
ROUND(
IF($A$2="COSTO",
   ((B36*(1+IFERROR(VLOOKUP($D$2,COLORES[],2,FALSE),0)))+H36)
   *(1-SUMPRODUCT(
        (DESC_PROV[LINEA]=$B$2)*
        (DESC_PROV[LISTA]=$C$2)*
        (DESC_PROV[DESCUENTO])
   )),
   ((B36*(1+IFERROR(VLOOKUP($D$2,COLORES[],2,FALSE),0)))+H36)
   *(1-SUMPRODUCT(
        (DESC_PROV[LINEA]=$B$2)*
        (DESC_PROV[LISTA]=$C$2)*
        (DESC_PROV[DESCUENTO])
   ))
   *(1+VLOOKUP($C$2,LISTAS[],2,FALSE))
   *(1+VLOOKUP($C$2,LISTAS[],3,FALSE))
)
/5,0)*5,0)</f>
        <v>99530</v>
      </c>
    </row>
    <row r="37" spans="1:17">
      <c r="A37" s="47" t="s">
        <v>172</v>
      </c>
      <c r="B37" s="42">
        <v>45077</v>
      </c>
      <c r="C37" s="42">
        <v>11434</v>
      </c>
      <c r="D37" s="42">
        <v>13805</v>
      </c>
      <c r="E37" s="42">
        <v>18346</v>
      </c>
      <c r="F37" s="42">
        <v>39677</v>
      </c>
      <c r="G37" s="42">
        <v>15187</v>
      </c>
      <c r="H37" s="42">
        <v>58971</v>
      </c>
      <c r="I37" s="2"/>
      <c r="J37" s="2"/>
      <c r="K37" s="47" t="s">
        <v>172</v>
      </c>
      <c r="L37" s="42">
        <f>IFERROR(
ROUND(
IF($A$2="COSTO",
   ((B37*(1+IFERROR(VLOOKUP($D$2,COLORES[],2,FALSE),0)))+C37)
   *(1-SUMPRODUCT(
        (DESC_PROV[LINEA]=$B$2)*
        (DESC_PROV[LISTA]=$C$2)*
        (DESC_PROV[DESCUENTO])
   )),
   ((B37*(1+IFERROR(VLOOKUP($D$2,COLORES[],2,FALSE),0)))+C37)
   *(1-SUMPRODUCT(
        (DESC_PROV[LINEA]=$B$2)*
        (DESC_PROV[LISTA]=$C$2)*
        (DESC_PROV[DESCUENTO])
   ))
   *(1+VLOOKUP($C$2,LISTAS[],2,FALSE))
   *(1+VLOOKUP($C$2,LISTAS[],3,FALSE))
)
/5,0)*5,0)</f>
        <v>70085</v>
      </c>
      <c r="M37" s="42">
        <f>IFERROR(
ROUND(
IF($A$2="COSTO",
   ((B37*(1+IFERROR(VLOOKUP($D$2,COLORES[],2,FALSE),0)))+D37)
   *(1-SUMPRODUCT(
        (DESC_PROV[LINEA]=$B$2)*
        (DESC_PROV[LISTA]=$C$2)*
        (DESC_PROV[DESCUENTO])
   )),
   ((B37*(1+IFERROR(VLOOKUP($D$2,COLORES[],2,FALSE),0)))+D37)
   *(1-SUMPRODUCT(
        (DESC_PROV[LINEA]=$B$2)*
        (DESC_PROV[LISTA]=$C$2)*
        (DESC_PROV[DESCUENTO])
   ))
   *(1+VLOOKUP($C$2,LISTAS[],2,FALSE))
   *(1+VLOOKUP($C$2,LISTAS[],3,FALSE))
)
/5,0)*5,0)</f>
        <v>73025</v>
      </c>
      <c r="N37" s="42">
        <f>IFERROR(
ROUND(
IF($A$2="COSTO",
   ((B37*(1+IFERROR(VLOOKUP($D$2,COLORES[],2,FALSE),0)))+E37)
   *(1-SUMPRODUCT(
        (DESC_PROV[LINEA]=$B$2)*
        (DESC_PROV[LISTA]=$C$2)*
        (DESC_PROV[DESCUENTO])
   )),
   ((B37*(1+IFERROR(VLOOKUP($D$2,COLORES[],2,FALSE),0)))+E37)
   *(1-SUMPRODUCT(
        (DESC_PROV[LINEA]=$B$2)*
        (DESC_PROV[LISTA]=$C$2)*
        (DESC_PROV[DESCUENTO])
   ))
   *(1+VLOOKUP($C$2,LISTAS[],2,FALSE))
   *(1+VLOOKUP($C$2,LISTAS[],3,FALSE))
)
/5,0)*5,0)</f>
        <v>78655</v>
      </c>
      <c r="O37" s="42">
        <f>IFERROR(
ROUND(
IF($A$2="COSTO",
   ((B37*(1+IFERROR(VLOOKUP($D$2,COLORES[],2,FALSE),0)))+F37)
   *(1-SUMPRODUCT(
        (DESC_PROV[LINEA]=$B$2)*
        (DESC_PROV[LISTA]=$C$2)*
        (DESC_PROV[DESCUENTO])
   )),
   ((B37*(1+IFERROR(VLOOKUP($D$2,COLORES[],2,FALSE),0)))+F37)
   *(1-SUMPRODUCT(
        (DESC_PROV[LINEA]=$B$2)*
        (DESC_PROV[LISTA]=$C$2)*
        (DESC_PROV[DESCUENTO])
   ))
   *(1+VLOOKUP($C$2,LISTAS[],2,FALSE))
   *(1+VLOOKUP($C$2,LISTAS[],3,FALSE))
)
/5,0)*5,0)</f>
        <v>105110</v>
      </c>
      <c r="P37" s="42">
        <f>IFERROR(
ROUND(
IF($A$2="COSTO",
   ((B37*(1+IFERROR(VLOOKUP($D$2,COLORES[],2,FALSE),0)))+G37)
   *(1-SUMPRODUCT(
        (DESC_PROV[LINEA]=$B$2)*
        (DESC_PROV[LISTA]=$C$2)*
        (DESC_PROV[DESCUENTO])
   )),
   ((B37*(1+IFERROR(VLOOKUP($D$2,COLORES[],2,FALSE),0)))+G37)
   *(1-SUMPRODUCT(
        (DESC_PROV[LINEA]=$B$2)*
        (DESC_PROV[LISTA]=$C$2)*
        (DESC_PROV[DESCUENTO])
   ))
   *(1+VLOOKUP($C$2,LISTAS[],2,FALSE))
   *(1+VLOOKUP($C$2,LISTAS[],3,FALSE))
)
/5,0)*5,0)</f>
        <v>74740</v>
      </c>
      <c r="Q37" s="43">
        <f>IFERROR(
ROUND(
IF($A$2="COSTO",
   ((B37*(1+IFERROR(VLOOKUP($D$2,COLORES[],2,FALSE),0)))+H37)
   *(1-SUMPRODUCT(
        (DESC_PROV[LINEA]=$B$2)*
        (DESC_PROV[LISTA]=$C$2)*
        (DESC_PROV[DESCUENTO])
   )),
   ((B37*(1+IFERROR(VLOOKUP($D$2,COLORES[],2,FALSE),0)))+H37)
   *(1-SUMPRODUCT(
        (DESC_PROV[LINEA]=$B$2)*
        (DESC_PROV[LISTA]=$C$2)*
        (DESC_PROV[DESCUENTO])
   ))
   *(1+VLOOKUP($C$2,LISTAS[],2,FALSE))
   *(1+VLOOKUP($C$2,LISTAS[],3,FALSE))
)
/5,0)*5,0)</f>
        <v>129040</v>
      </c>
    </row>
    <row r="38" spans="1:17">
      <c r="A38" s="47" t="s">
        <v>173</v>
      </c>
      <c r="B38" s="42">
        <v>47172</v>
      </c>
      <c r="C38" s="42">
        <v>13334</v>
      </c>
      <c r="D38" s="42">
        <v>16099</v>
      </c>
      <c r="E38" s="42">
        <v>21418</v>
      </c>
      <c r="F38" s="42">
        <v>46320</v>
      </c>
      <c r="G38" s="42">
        <v>17702</v>
      </c>
      <c r="H38" s="42">
        <v>68774</v>
      </c>
      <c r="I38" s="2"/>
      <c r="J38" s="2"/>
      <c r="K38" s="47" t="s">
        <v>173</v>
      </c>
      <c r="L38" s="42">
        <f>IFERROR(
ROUND(
IF($A$2="COSTO",
   ((B38*(1+IFERROR(VLOOKUP($D$2,COLORES[],2,FALSE),0)))+C38)
   *(1-SUMPRODUCT(
        (DESC_PROV[LINEA]=$B$2)*
        (DESC_PROV[LISTA]=$C$2)*
        (DESC_PROV[DESCUENTO])
   )),
   ((B38*(1+IFERROR(VLOOKUP($D$2,COLORES[],2,FALSE),0)))+C38)
   *(1-SUMPRODUCT(
        (DESC_PROV[LINEA]=$B$2)*
        (DESC_PROV[LISTA]=$C$2)*
        (DESC_PROV[DESCUENTO])
   ))
   *(1+VLOOKUP($C$2,LISTAS[],2,FALSE))
   *(1+VLOOKUP($C$2,LISTAS[],3,FALSE))
)
/5,0)*5,0)</f>
        <v>75040</v>
      </c>
      <c r="M38" s="42">
        <f>IFERROR(
ROUND(
IF($A$2="COSTO",
   ((B38*(1+IFERROR(VLOOKUP($D$2,COLORES[],2,FALSE),0)))+D38)
   *(1-SUMPRODUCT(
        (DESC_PROV[LINEA]=$B$2)*
        (DESC_PROV[LISTA]=$C$2)*
        (DESC_PROV[DESCUENTO])
   )),
   ((B38*(1+IFERROR(VLOOKUP($D$2,COLORES[],2,FALSE),0)))+D38)
   *(1-SUMPRODUCT(
        (DESC_PROV[LINEA]=$B$2)*
        (DESC_PROV[LISTA]=$C$2)*
        (DESC_PROV[DESCUENTO])
   ))
   *(1+VLOOKUP($C$2,LISTAS[],2,FALSE))
   *(1+VLOOKUP($C$2,LISTAS[],3,FALSE))
)
/5,0)*5,0)</f>
        <v>78470</v>
      </c>
      <c r="N38" s="42">
        <f>IFERROR(
ROUND(
IF($A$2="COSTO",
   ((B38*(1+IFERROR(VLOOKUP($D$2,COLORES[],2,FALSE),0)))+E38)
   *(1-SUMPRODUCT(
        (DESC_PROV[LINEA]=$B$2)*
        (DESC_PROV[LISTA]=$C$2)*
        (DESC_PROV[DESCUENTO])
   )),
   ((B38*(1+IFERROR(VLOOKUP($D$2,COLORES[],2,FALSE),0)))+E38)
   *(1-SUMPRODUCT(
        (DESC_PROV[LINEA]=$B$2)*
        (DESC_PROV[LISTA]=$C$2)*
        (DESC_PROV[DESCUENTO])
   ))
   *(1+VLOOKUP($C$2,LISTAS[],2,FALSE))
   *(1+VLOOKUP($C$2,LISTAS[],3,FALSE))
)
/5,0)*5,0)</f>
        <v>85065</v>
      </c>
      <c r="O38" s="42">
        <f>IFERROR(
ROUND(
IF($A$2="COSTO",
   ((B38*(1+IFERROR(VLOOKUP($D$2,COLORES[],2,FALSE),0)))+F38)
   *(1-SUMPRODUCT(
        (DESC_PROV[LINEA]=$B$2)*
        (DESC_PROV[LISTA]=$C$2)*
        (DESC_PROV[DESCUENTO])
   )),
   ((B38*(1+IFERROR(VLOOKUP($D$2,COLORES[],2,FALSE),0)))+F38)
   *(1-SUMPRODUCT(
        (DESC_PROV[LINEA]=$B$2)*
        (DESC_PROV[LISTA]=$C$2)*
        (DESC_PROV[DESCUENTO])
   ))
   *(1+VLOOKUP($C$2,LISTAS[],2,FALSE))
   *(1+VLOOKUP($C$2,LISTAS[],3,FALSE))
)
/5,0)*5,0)</f>
        <v>115950</v>
      </c>
      <c r="P38" s="42">
        <f>IFERROR(
ROUND(
IF($A$2="COSTO",
   ((B38*(1+IFERROR(VLOOKUP($D$2,COLORES[],2,FALSE),0)))+G38)
   *(1-SUMPRODUCT(
        (DESC_PROV[LINEA]=$B$2)*
        (DESC_PROV[LISTA]=$C$2)*
        (DESC_PROV[DESCUENTO])
   )),
   ((B38*(1+IFERROR(VLOOKUP($D$2,COLORES[],2,FALSE),0)))+G38)
   *(1-SUMPRODUCT(
        (DESC_PROV[LINEA]=$B$2)*
        (DESC_PROV[LISTA]=$C$2)*
        (DESC_PROV[DESCUENTO])
   ))
   *(1+VLOOKUP($C$2,LISTAS[],2,FALSE))
   *(1+VLOOKUP($C$2,LISTAS[],3,FALSE))
)
/5,0)*5,0)</f>
        <v>80455</v>
      </c>
      <c r="Q38" s="43">
        <f>IFERROR(
ROUND(
IF($A$2="COSTO",
   ((B38*(1+IFERROR(VLOOKUP($D$2,COLORES[],2,FALSE),0)))+H38)
   *(1-SUMPRODUCT(
        (DESC_PROV[LINEA]=$B$2)*
        (DESC_PROV[LISTA]=$C$2)*
        (DESC_PROV[DESCUENTO])
   )),
   ((B38*(1+IFERROR(VLOOKUP($D$2,COLORES[],2,FALSE),0)))+H38)
   *(1-SUMPRODUCT(
        (DESC_PROV[LINEA]=$B$2)*
        (DESC_PROV[LISTA]=$C$2)*
        (DESC_PROV[DESCUENTO])
   ))
   *(1+VLOOKUP($C$2,LISTAS[],2,FALSE))
   *(1+VLOOKUP($C$2,LISTAS[],3,FALSE))
)
/5,0)*5,0)</f>
        <v>143795</v>
      </c>
    </row>
    <row r="39" spans="1:17">
      <c r="A39" s="47" t="s">
        <v>174</v>
      </c>
      <c r="B39" s="42">
        <v>49266</v>
      </c>
      <c r="C39" s="42">
        <v>15235</v>
      </c>
      <c r="D39" s="42">
        <v>18394</v>
      </c>
      <c r="E39" s="42">
        <v>24490</v>
      </c>
      <c r="F39" s="42">
        <v>52963</v>
      </c>
      <c r="G39" s="42">
        <v>20218</v>
      </c>
      <c r="H39" s="42">
        <v>78578</v>
      </c>
      <c r="I39" s="2"/>
      <c r="J39" s="2"/>
      <c r="K39" s="47" t="s">
        <v>174</v>
      </c>
      <c r="L39" s="42">
        <f>IFERROR(
ROUND(
IF($A$2="COSTO",
   ((B39*(1+IFERROR(VLOOKUP($D$2,COLORES[],2,FALSE),0)))+C39)
   *(1-SUMPRODUCT(
        (DESC_PROV[LINEA]=$B$2)*
        (DESC_PROV[LISTA]=$C$2)*
        (DESC_PROV[DESCUENTO])
   )),
   ((B39*(1+IFERROR(VLOOKUP($D$2,COLORES[],2,FALSE),0)))+C39)
   *(1-SUMPRODUCT(
        (DESC_PROV[LINEA]=$B$2)*
        (DESC_PROV[LISTA]=$C$2)*
        (DESC_PROV[DESCUENTO])
   ))
   *(1+VLOOKUP($C$2,LISTAS[],2,FALSE))
   *(1+VLOOKUP($C$2,LISTAS[],3,FALSE))
)
/5,0)*5,0)</f>
        <v>79995</v>
      </c>
      <c r="M39" s="42">
        <f>IFERROR(
ROUND(
IF($A$2="COSTO",
   ((B39*(1+IFERROR(VLOOKUP($D$2,COLORES[],2,FALSE),0)))+D39)
   *(1-SUMPRODUCT(
        (DESC_PROV[LINEA]=$B$2)*
        (DESC_PROV[LISTA]=$C$2)*
        (DESC_PROV[DESCUENTO])
   )),
   ((B39*(1+IFERROR(VLOOKUP($D$2,COLORES[],2,FALSE),0)))+D39)
   *(1-SUMPRODUCT(
        (DESC_PROV[LINEA]=$B$2)*
        (DESC_PROV[LISTA]=$C$2)*
        (DESC_PROV[DESCUENTO])
   ))
   *(1+VLOOKUP($C$2,LISTAS[],2,FALSE))
   *(1+VLOOKUP($C$2,LISTAS[],3,FALSE))
)
/5,0)*5,0)</f>
        <v>83910</v>
      </c>
      <c r="N39" s="42">
        <f>IFERROR(
ROUND(
IF($A$2="COSTO",
   ((B39*(1+IFERROR(VLOOKUP($D$2,COLORES[],2,FALSE),0)))+E39)
   *(1-SUMPRODUCT(
        (DESC_PROV[LINEA]=$B$2)*
        (DESC_PROV[LISTA]=$C$2)*
        (DESC_PROV[DESCUENTO])
   )),
   ((B39*(1+IFERROR(VLOOKUP($D$2,COLORES[],2,FALSE),0)))+E39)
   *(1-SUMPRODUCT(
        (DESC_PROV[LINEA]=$B$2)*
        (DESC_PROV[LISTA]=$C$2)*
        (DESC_PROV[DESCUENTO])
   ))
   *(1+VLOOKUP($C$2,LISTAS[],2,FALSE))
   *(1+VLOOKUP($C$2,LISTAS[],3,FALSE))
)
/5,0)*5,0)</f>
        <v>91470</v>
      </c>
      <c r="O39" s="42">
        <f>IFERROR(
ROUND(
IF($A$2="COSTO",
   ((B39*(1+IFERROR(VLOOKUP($D$2,COLORES[],2,FALSE),0)))+F39)
   *(1-SUMPRODUCT(
        (DESC_PROV[LINEA]=$B$2)*
        (DESC_PROV[LISTA]=$C$2)*
        (DESC_PROV[DESCUENTO])
   )),
   ((B39*(1+IFERROR(VLOOKUP($D$2,COLORES[],2,FALSE),0)))+F39)
   *(1-SUMPRODUCT(
        (DESC_PROV[LINEA]=$B$2)*
        (DESC_PROV[LISTA]=$C$2)*
        (DESC_PROV[DESCUENTO])
   ))
   *(1+VLOOKUP($C$2,LISTAS[],2,FALSE))
   *(1+VLOOKUP($C$2,LISTAS[],3,FALSE))
)
/5,0)*5,0)</f>
        <v>126785</v>
      </c>
      <c r="P39" s="42">
        <f>IFERROR(
ROUND(
IF($A$2="COSTO",
   ((B39*(1+IFERROR(VLOOKUP($D$2,COLORES[],2,FALSE),0)))+G39)
   *(1-SUMPRODUCT(
        (DESC_PROV[LINEA]=$B$2)*
        (DESC_PROV[LISTA]=$C$2)*
        (DESC_PROV[DESCUENTO])
   )),
   ((B39*(1+IFERROR(VLOOKUP($D$2,COLORES[],2,FALSE),0)))+G39)
   *(1-SUMPRODUCT(
        (DESC_PROV[LINEA]=$B$2)*
        (DESC_PROV[LISTA]=$C$2)*
        (DESC_PROV[DESCUENTO])
   ))
   *(1+VLOOKUP($C$2,LISTAS[],2,FALSE))
   *(1+VLOOKUP($C$2,LISTAS[],3,FALSE))
)
/5,0)*5,0)</f>
        <v>86175</v>
      </c>
      <c r="Q39" s="43">
        <f>IFERROR(
ROUND(
IF($A$2="COSTO",
   ((B39*(1+IFERROR(VLOOKUP($D$2,COLORES[],2,FALSE),0)))+H39)
   *(1-SUMPRODUCT(
        (DESC_PROV[LINEA]=$B$2)*
        (DESC_PROV[LISTA]=$C$2)*
        (DESC_PROV[DESCUENTO])
   )),
   ((B39*(1+IFERROR(VLOOKUP($D$2,COLORES[],2,FALSE),0)))+H39)
   *(1-SUMPRODUCT(
        (DESC_PROV[LINEA]=$B$2)*
        (DESC_PROV[LISTA]=$C$2)*
        (DESC_PROV[DESCUENTO])
   ))
   *(1+VLOOKUP($C$2,LISTAS[],2,FALSE))
   *(1+VLOOKUP($C$2,LISTAS[],3,FALSE))
)
/5,0)*5,0)</f>
        <v>158550</v>
      </c>
    </row>
    <row r="40" spans="1:17">
      <c r="A40" s="47" t="s">
        <v>175</v>
      </c>
      <c r="B40" s="42">
        <v>51360</v>
      </c>
      <c r="C40" s="42">
        <v>17136</v>
      </c>
      <c r="D40" s="42">
        <v>20688</v>
      </c>
      <c r="E40" s="42">
        <v>27562</v>
      </c>
      <c r="F40" s="42">
        <v>59606</v>
      </c>
      <c r="G40" s="42">
        <v>22733</v>
      </c>
      <c r="H40" s="42">
        <v>88381</v>
      </c>
      <c r="I40" s="2"/>
      <c r="J40" s="2"/>
      <c r="K40" s="47" t="s">
        <v>175</v>
      </c>
      <c r="L40" s="42">
        <f>IFERROR(
ROUND(
IF($A$2="COSTO",
   ((B40*(1+IFERROR(VLOOKUP($D$2,COLORES[],2,FALSE),0)))+C40)
   *(1-SUMPRODUCT(
        (DESC_PROV[LINEA]=$B$2)*
        (DESC_PROV[LISTA]=$C$2)*
        (DESC_PROV[DESCUENTO])
   )),
   ((B40*(1+IFERROR(VLOOKUP($D$2,COLORES[],2,FALSE),0)))+C40)
   *(1-SUMPRODUCT(
        (DESC_PROV[LINEA]=$B$2)*
        (DESC_PROV[LISTA]=$C$2)*
        (DESC_PROV[DESCUENTO])
   ))
   *(1+VLOOKUP($C$2,LISTAS[],2,FALSE))
   *(1+VLOOKUP($C$2,LISTAS[],3,FALSE))
)
/5,0)*5,0)</f>
        <v>84950</v>
      </c>
      <c r="M40" s="42">
        <f>IFERROR(
ROUND(
IF($A$2="COSTO",
   ((B40*(1+IFERROR(VLOOKUP($D$2,COLORES[],2,FALSE),0)))+D40)
   *(1-SUMPRODUCT(
        (DESC_PROV[LINEA]=$B$2)*
        (DESC_PROV[LISTA]=$C$2)*
        (DESC_PROV[DESCUENTO])
   )),
   ((B40*(1+IFERROR(VLOOKUP($D$2,COLORES[],2,FALSE),0)))+D40)
   *(1-SUMPRODUCT(
        (DESC_PROV[LINEA]=$B$2)*
        (DESC_PROV[LISTA]=$C$2)*
        (DESC_PROV[DESCUENTO])
   ))
   *(1+VLOOKUP($C$2,LISTAS[],2,FALSE))
   *(1+VLOOKUP($C$2,LISTAS[],3,FALSE))
)
/5,0)*5,0)</f>
        <v>89355</v>
      </c>
      <c r="N40" s="42">
        <f>IFERROR(
ROUND(
IF($A$2="COSTO",
   ((B40*(1+IFERROR(VLOOKUP($D$2,COLORES[],2,FALSE),0)))+E40)
   *(1-SUMPRODUCT(
        (DESC_PROV[LINEA]=$B$2)*
        (DESC_PROV[LISTA]=$C$2)*
        (DESC_PROV[DESCUENTO])
   )),
   ((B40*(1+IFERROR(VLOOKUP($D$2,COLORES[],2,FALSE),0)))+E40)
   *(1-SUMPRODUCT(
        (DESC_PROV[LINEA]=$B$2)*
        (DESC_PROV[LISTA]=$C$2)*
        (DESC_PROV[DESCUENTO])
   ))
   *(1+VLOOKUP($C$2,LISTAS[],2,FALSE))
   *(1+VLOOKUP($C$2,LISTAS[],3,FALSE))
)
/5,0)*5,0)</f>
        <v>97880</v>
      </c>
      <c r="O40" s="42">
        <f>IFERROR(
ROUND(
IF($A$2="COSTO",
   ((B40*(1+IFERROR(VLOOKUP($D$2,COLORES[],2,FALSE),0)))+F40)
   *(1-SUMPRODUCT(
        (DESC_PROV[LINEA]=$B$2)*
        (DESC_PROV[LISTA]=$C$2)*
        (DESC_PROV[DESCUENTO])
   )),
   ((B40*(1+IFERROR(VLOOKUP($D$2,COLORES[],2,FALSE),0)))+F40)
   *(1-SUMPRODUCT(
        (DESC_PROV[LINEA]=$B$2)*
        (DESC_PROV[LISTA]=$C$2)*
        (DESC_PROV[DESCUENTO])
   ))
   *(1+VLOOKUP($C$2,LISTAS[],2,FALSE))
   *(1+VLOOKUP($C$2,LISTAS[],3,FALSE))
)
/5,0)*5,0)</f>
        <v>137620</v>
      </c>
      <c r="P40" s="42">
        <f>IFERROR(
ROUND(
IF($A$2="COSTO",
   ((B40*(1+IFERROR(VLOOKUP($D$2,COLORES[],2,FALSE),0)))+G40)
   *(1-SUMPRODUCT(
        (DESC_PROV[LINEA]=$B$2)*
        (DESC_PROV[LISTA]=$C$2)*
        (DESC_PROV[DESCUENTO])
   )),
   ((B40*(1+IFERROR(VLOOKUP($D$2,COLORES[],2,FALSE),0)))+G40)
   *(1-SUMPRODUCT(
        (DESC_PROV[LINEA]=$B$2)*
        (DESC_PROV[LISTA]=$C$2)*
        (DESC_PROV[DESCUENTO])
   ))
   *(1+VLOOKUP($C$2,LISTAS[],2,FALSE))
   *(1+VLOOKUP($C$2,LISTAS[],3,FALSE))
)
/5,0)*5,0)</f>
        <v>91890</v>
      </c>
      <c r="Q40" s="43">
        <f>IFERROR(
ROUND(
IF($A$2="COSTO",
   ((B40*(1+IFERROR(VLOOKUP($D$2,COLORES[],2,FALSE),0)))+H40)
   *(1-SUMPRODUCT(
        (DESC_PROV[LINEA]=$B$2)*
        (DESC_PROV[LISTA]=$C$2)*
        (DESC_PROV[DESCUENTO])
   )),
   ((B40*(1+IFERROR(VLOOKUP($D$2,COLORES[],2,FALSE),0)))+H40)
   *(1-SUMPRODUCT(
        (DESC_PROV[LINEA]=$B$2)*
        (DESC_PROV[LISTA]=$C$2)*
        (DESC_PROV[DESCUENTO])
   ))
   *(1+VLOOKUP($C$2,LISTAS[],2,FALSE))
   *(1+VLOOKUP($C$2,LISTAS[],3,FALSE))
)
/5,0)*5,0)</f>
        <v>173305</v>
      </c>
    </row>
    <row r="41" spans="1:17">
      <c r="A41" s="47" t="s">
        <v>176</v>
      </c>
      <c r="B41" s="42">
        <v>40888</v>
      </c>
      <c r="C41" s="42">
        <v>6528</v>
      </c>
      <c r="D41" s="42">
        <v>7910</v>
      </c>
      <c r="E41" s="42">
        <v>10435</v>
      </c>
      <c r="F41" s="42">
        <v>22570</v>
      </c>
      <c r="G41" s="42">
        <v>8736</v>
      </c>
      <c r="H41" s="42">
        <v>33788</v>
      </c>
      <c r="I41" s="2"/>
      <c r="J41" s="2"/>
      <c r="K41" s="47" t="s">
        <v>176</v>
      </c>
      <c r="L41" s="42">
        <f>IFERROR(
ROUND(
IF($A$2="COSTO",
   ((B41*(1+IFERROR(VLOOKUP($D$2,COLORES[],2,FALSE),0)))+C41)
   *(1-SUMPRODUCT(
        (DESC_PROV[LINEA]=$B$2)*
        (DESC_PROV[LISTA]=$C$2)*
        (DESC_PROV[DESCUENTO])
   )),
   ((B41*(1+IFERROR(VLOOKUP($D$2,COLORES[],2,FALSE),0)))+C41)
   *(1-SUMPRODUCT(
        (DESC_PROV[LINEA]=$B$2)*
        (DESC_PROV[LISTA]=$C$2)*
        (DESC_PROV[DESCUENTO])
   ))
   *(1+VLOOKUP($C$2,LISTAS[],2,FALSE))
   *(1+VLOOKUP($C$2,LISTAS[],3,FALSE))
)
/5,0)*5,0)</f>
        <v>58805</v>
      </c>
      <c r="M41" s="42">
        <f>IFERROR(
ROUND(
IF($A$2="COSTO",
   ((B41*(1+IFERROR(VLOOKUP($D$2,COLORES[],2,FALSE),0)))+D41)
   *(1-SUMPRODUCT(
        (DESC_PROV[LINEA]=$B$2)*
        (DESC_PROV[LISTA]=$C$2)*
        (DESC_PROV[DESCUENTO])
   )),
   ((B41*(1+IFERROR(VLOOKUP($D$2,COLORES[],2,FALSE),0)))+D41)
   *(1-SUMPRODUCT(
        (DESC_PROV[LINEA]=$B$2)*
        (DESC_PROV[LISTA]=$C$2)*
        (DESC_PROV[DESCUENTO])
   ))
   *(1+VLOOKUP($C$2,LISTAS[],2,FALSE))
   *(1+VLOOKUP($C$2,LISTAS[],3,FALSE))
)
/5,0)*5,0)</f>
        <v>60520</v>
      </c>
      <c r="N41" s="42">
        <f>IFERROR(
ROUND(
IF($A$2="COSTO",
   ((B41*(1+IFERROR(VLOOKUP($D$2,COLORES[],2,FALSE),0)))+E41)
   *(1-SUMPRODUCT(
        (DESC_PROV[LINEA]=$B$2)*
        (DESC_PROV[LISTA]=$C$2)*
        (DESC_PROV[DESCUENTO])
   )),
   ((B41*(1+IFERROR(VLOOKUP($D$2,COLORES[],2,FALSE),0)))+E41)
   *(1-SUMPRODUCT(
        (DESC_PROV[LINEA]=$B$2)*
        (DESC_PROV[LISTA]=$C$2)*
        (DESC_PROV[DESCUENTO])
   ))
   *(1+VLOOKUP($C$2,LISTAS[],2,FALSE))
   *(1+VLOOKUP($C$2,LISTAS[],3,FALSE))
)
/5,0)*5,0)</f>
        <v>63650</v>
      </c>
      <c r="O41" s="42">
        <f>IFERROR(
ROUND(
IF($A$2="COSTO",
   ((B41*(1+IFERROR(VLOOKUP($D$2,COLORES[],2,FALSE),0)))+F41)
   *(1-SUMPRODUCT(
        (DESC_PROV[LINEA]=$B$2)*
        (DESC_PROV[LISTA]=$C$2)*
        (DESC_PROV[DESCUENTO])
   )),
   ((B41*(1+IFERROR(VLOOKUP($D$2,COLORES[],2,FALSE),0)))+F41)
   *(1-SUMPRODUCT(
        (DESC_PROV[LINEA]=$B$2)*
        (DESC_PROV[LISTA]=$C$2)*
        (DESC_PROV[DESCUENTO])
   ))
   *(1+VLOOKUP($C$2,LISTAS[],2,FALSE))
   *(1+VLOOKUP($C$2,LISTAS[],3,FALSE))
)
/5,0)*5,0)</f>
        <v>78700</v>
      </c>
      <c r="P41" s="42">
        <f>IFERROR(
ROUND(
IF($A$2="COSTO",
   ((B41*(1+IFERROR(VLOOKUP($D$2,COLORES[],2,FALSE),0)))+G41)
   *(1-SUMPRODUCT(
        (DESC_PROV[LINEA]=$B$2)*
        (DESC_PROV[LISTA]=$C$2)*
        (DESC_PROV[DESCUENTO])
   )),
   ((B41*(1+IFERROR(VLOOKUP($D$2,COLORES[],2,FALSE),0)))+G41)
   *(1-SUMPRODUCT(
        (DESC_PROV[LINEA]=$B$2)*
        (DESC_PROV[LISTA]=$C$2)*
        (DESC_PROV[DESCUENTO])
   ))
   *(1+VLOOKUP($C$2,LISTAS[],2,FALSE))
   *(1+VLOOKUP($C$2,LISTAS[],3,FALSE))
)
/5,0)*5,0)</f>
        <v>61545</v>
      </c>
      <c r="Q41" s="43">
        <f>IFERROR(
ROUND(
IF($A$2="COSTO",
   ((B41*(1+IFERROR(VLOOKUP($D$2,COLORES[],2,FALSE),0)))+H41)
   *(1-SUMPRODUCT(
        (DESC_PROV[LINEA]=$B$2)*
        (DESC_PROV[LISTA]=$C$2)*
        (DESC_PROV[DESCUENTO])
   )),
   ((B41*(1+IFERROR(VLOOKUP($D$2,COLORES[],2,FALSE),0)))+H41)
   *(1-SUMPRODUCT(
        (DESC_PROV[LINEA]=$B$2)*
        (DESC_PROV[LISTA]=$C$2)*
        (DESC_PROV[DESCUENTO])
   ))
   *(1+VLOOKUP($C$2,LISTAS[],2,FALSE))
   *(1+VLOOKUP($C$2,LISTAS[],3,FALSE))
)
/5,0)*5,0)</f>
        <v>92615</v>
      </c>
    </row>
    <row r="42" spans="1:17">
      <c r="A42" s="47" t="s">
        <v>177</v>
      </c>
      <c r="B42" s="42">
        <v>42983</v>
      </c>
      <c r="C42" s="42">
        <v>8707</v>
      </c>
      <c r="D42" s="42">
        <v>10531</v>
      </c>
      <c r="E42" s="42">
        <v>13949</v>
      </c>
      <c r="F42" s="42">
        <v>30048</v>
      </c>
      <c r="G42" s="42">
        <v>11606</v>
      </c>
      <c r="H42" s="42">
        <v>44986</v>
      </c>
      <c r="I42" s="2"/>
      <c r="J42" s="2"/>
      <c r="K42" s="47" t="s">
        <v>177</v>
      </c>
      <c r="L42" s="42">
        <f>IFERROR(
ROUND(
IF($A$2="COSTO",
   ((B42*(1+IFERROR(VLOOKUP($D$2,COLORES[],2,FALSE),0)))+C42)
   *(1-SUMPRODUCT(
        (DESC_PROV[LINEA]=$B$2)*
        (DESC_PROV[LISTA]=$C$2)*
        (DESC_PROV[DESCUENTO])
   )),
   ((B42*(1+IFERROR(VLOOKUP($D$2,COLORES[],2,FALSE),0)))+C42)
   *(1-SUMPRODUCT(
        (DESC_PROV[LINEA]=$B$2)*
        (DESC_PROV[LISTA]=$C$2)*
        (DESC_PROV[DESCUENTO])
   ))
   *(1+VLOOKUP($C$2,LISTAS[],2,FALSE))
   *(1+VLOOKUP($C$2,LISTAS[],3,FALSE))
)
/5,0)*5,0)</f>
        <v>64105</v>
      </c>
      <c r="M42" s="42">
        <f>IFERROR(
ROUND(
IF($A$2="COSTO",
   ((B42*(1+IFERROR(VLOOKUP($D$2,COLORES[],2,FALSE),0)))+D42)
   *(1-SUMPRODUCT(
        (DESC_PROV[LINEA]=$B$2)*
        (DESC_PROV[LISTA]=$C$2)*
        (DESC_PROV[DESCUENTO])
   )),
   ((B42*(1+IFERROR(VLOOKUP($D$2,COLORES[],2,FALSE),0)))+D42)
   *(1-SUMPRODUCT(
        (DESC_PROV[LINEA]=$B$2)*
        (DESC_PROV[LISTA]=$C$2)*
        (DESC_PROV[DESCUENTO])
   ))
   *(1+VLOOKUP($C$2,LISTAS[],2,FALSE))
   *(1+VLOOKUP($C$2,LISTAS[],3,FALSE))
)
/5,0)*5,0)</f>
        <v>66370</v>
      </c>
      <c r="N42" s="42">
        <f>IFERROR(
ROUND(
IF($A$2="COSTO",
   ((B42*(1+IFERROR(VLOOKUP($D$2,COLORES[],2,FALSE),0)))+E42)
   *(1-SUMPRODUCT(
        (DESC_PROV[LINEA]=$B$2)*
        (DESC_PROV[LISTA]=$C$2)*
        (DESC_PROV[DESCUENTO])
   )),
   ((B42*(1+IFERROR(VLOOKUP($D$2,COLORES[],2,FALSE),0)))+E42)
   *(1-SUMPRODUCT(
        (DESC_PROV[LINEA]=$B$2)*
        (DESC_PROV[LISTA]=$C$2)*
        (DESC_PROV[DESCUENTO])
   ))
   *(1+VLOOKUP($C$2,LISTAS[],2,FALSE))
   *(1+VLOOKUP($C$2,LISTAS[],3,FALSE))
)
/5,0)*5,0)</f>
        <v>70605</v>
      </c>
      <c r="O42" s="42">
        <f>IFERROR(
ROUND(
IF($A$2="COSTO",
   ((B42*(1+IFERROR(VLOOKUP($D$2,COLORES[],2,FALSE),0)))+F42)
   *(1-SUMPRODUCT(
        (DESC_PROV[LINEA]=$B$2)*
        (DESC_PROV[LISTA]=$C$2)*
        (DESC_PROV[DESCUENTO])
   )),
   ((B42*(1+IFERROR(VLOOKUP($D$2,COLORES[],2,FALSE),0)))+F42)
   *(1-SUMPRODUCT(
        (DESC_PROV[LINEA]=$B$2)*
        (DESC_PROV[LISTA]=$C$2)*
        (DESC_PROV[DESCUENTO])
   ))
   *(1+VLOOKUP($C$2,LISTAS[],2,FALSE))
   *(1+VLOOKUP($C$2,LISTAS[],3,FALSE))
)
/5,0)*5,0)</f>
        <v>90575</v>
      </c>
      <c r="P42" s="42">
        <f>IFERROR(
ROUND(
IF($A$2="COSTO",
   ((B42*(1+IFERROR(VLOOKUP($D$2,COLORES[],2,FALSE),0)))+G42)
   *(1-SUMPRODUCT(
        (DESC_PROV[LINEA]=$B$2)*
        (DESC_PROV[LISTA]=$C$2)*
        (DESC_PROV[DESCUENTO])
   )),
   ((B42*(1+IFERROR(VLOOKUP($D$2,COLORES[],2,FALSE),0)))+G42)
   *(1-SUMPRODUCT(
        (DESC_PROV[LINEA]=$B$2)*
        (DESC_PROV[LISTA]=$C$2)*
        (DESC_PROV[DESCUENTO])
   ))
   *(1+VLOOKUP($C$2,LISTAS[],2,FALSE))
   *(1+VLOOKUP($C$2,LISTAS[],3,FALSE))
)
/5,0)*5,0)</f>
        <v>67700</v>
      </c>
      <c r="Q42" s="43">
        <f>IFERROR(
ROUND(
IF($A$2="COSTO",
   ((B42*(1+IFERROR(VLOOKUP($D$2,COLORES[],2,FALSE),0)))+H42)
   *(1-SUMPRODUCT(
        (DESC_PROV[LINEA]=$B$2)*
        (DESC_PROV[LISTA]=$C$2)*
        (DESC_PROV[DESCUENTO])
   )),
   ((B42*(1+IFERROR(VLOOKUP($D$2,COLORES[],2,FALSE),0)))+H42)
   *(1-SUMPRODUCT(
        (DESC_PROV[LINEA]=$B$2)*
        (DESC_PROV[LISTA]=$C$2)*
        (DESC_PROV[DESCUENTO])
   ))
   *(1+VLOOKUP($C$2,LISTAS[],2,FALSE))
   *(1+VLOOKUP($C$2,LISTAS[],3,FALSE))
)
/5,0)*5,0)</f>
        <v>109100</v>
      </c>
    </row>
    <row r="43" spans="1:17">
      <c r="A43" s="47" t="s">
        <v>178</v>
      </c>
      <c r="B43" s="42">
        <v>45077</v>
      </c>
      <c r="C43" s="42">
        <v>10886</v>
      </c>
      <c r="D43" s="42">
        <v>13152</v>
      </c>
      <c r="E43" s="42">
        <v>17462</v>
      </c>
      <c r="F43" s="42">
        <v>37814</v>
      </c>
      <c r="G43" s="42">
        <v>14477</v>
      </c>
      <c r="H43" s="42">
        <v>56183</v>
      </c>
      <c r="I43" s="2"/>
      <c r="J43" s="2"/>
      <c r="K43" s="47" t="s">
        <v>178</v>
      </c>
      <c r="L43" s="42">
        <f>IFERROR(
ROUND(
IF($A$2="COSTO",
   ((B43*(1+IFERROR(VLOOKUP($D$2,COLORES[],2,FALSE),0)))+C43)
   *(1-SUMPRODUCT(
        (DESC_PROV[LINEA]=$B$2)*
        (DESC_PROV[LISTA]=$C$2)*
        (DESC_PROV[DESCUENTO])
   )),
   ((B43*(1+IFERROR(VLOOKUP($D$2,COLORES[],2,FALSE),0)))+C43)
   *(1-SUMPRODUCT(
        (DESC_PROV[LINEA]=$B$2)*
        (DESC_PROV[LISTA]=$C$2)*
        (DESC_PROV[DESCUENTO])
   ))
   *(1+VLOOKUP($C$2,LISTAS[],2,FALSE))
   *(1+VLOOKUP($C$2,LISTAS[],3,FALSE))
)
/5,0)*5,0)</f>
        <v>69405</v>
      </c>
      <c r="M43" s="42">
        <f>IFERROR(
ROUND(
IF($A$2="COSTO",
   ((B43*(1+IFERROR(VLOOKUP($D$2,COLORES[],2,FALSE),0)))+D43)
   *(1-SUMPRODUCT(
        (DESC_PROV[LINEA]=$B$2)*
        (DESC_PROV[LISTA]=$C$2)*
        (DESC_PROV[DESCUENTO])
   )),
   ((B43*(1+IFERROR(VLOOKUP($D$2,COLORES[],2,FALSE),0)))+D43)
   *(1-SUMPRODUCT(
        (DESC_PROV[LINEA]=$B$2)*
        (DESC_PROV[LISTA]=$C$2)*
        (DESC_PROV[DESCUENTO])
   ))
   *(1+VLOOKUP($C$2,LISTAS[],2,FALSE))
   *(1+VLOOKUP($C$2,LISTAS[],3,FALSE))
)
/5,0)*5,0)</f>
        <v>72215</v>
      </c>
      <c r="N43" s="42">
        <f>IFERROR(
ROUND(
IF($A$2="COSTO",
   ((B43*(1+IFERROR(VLOOKUP($D$2,COLORES[],2,FALSE),0)))+E43)
   *(1-SUMPRODUCT(
        (DESC_PROV[LINEA]=$B$2)*
        (DESC_PROV[LISTA]=$C$2)*
        (DESC_PROV[DESCUENTO])
   )),
   ((B43*(1+IFERROR(VLOOKUP($D$2,COLORES[],2,FALSE),0)))+E43)
   *(1-SUMPRODUCT(
        (DESC_PROV[LINEA]=$B$2)*
        (DESC_PROV[LISTA]=$C$2)*
        (DESC_PROV[DESCUENTO])
   ))
   *(1+VLOOKUP($C$2,LISTAS[],2,FALSE))
   *(1+VLOOKUP($C$2,LISTAS[],3,FALSE))
)
/5,0)*5,0)</f>
        <v>77560</v>
      </c>
      <c r="O43" s="42">
        <f>IFERROR(
ROUND(
IF($A$2="COSTO",
   ((B43*(1+IFERROR(VLOOKUP($D$2,COLORES[],2,FALSE),0)))+F43)
   *(1-SUMPRODUCT(
        (DESC_PROV[LINEA]=$B$2)*
        (DESC_PROV[LISTA]=$C$2)*
        (DESC_PROV[DESCUENTO])
   )),
   ((B43*(1+IFERROR(VLOOKUP($D$2,COLORES[],2,FALSE),0)))+F43)
   *(1-SUMPRODUCT(
        (DESC_PROV[LINEA]=$B$2)*
        (DESC_PROV[LISTA]=$C$2)*
        (DESC_PROV[DESCUENTO])
   ))
   *(1+VLOOKUP($C$2,LISTAS[],2,FALSE))
   *(1+VLOOKUP($C$2,LISTAS[],3,FALSE))
)
/5,0)*5,0)</f>
        <v>102800</v>
      </c>
      <c r="P43" s="42">
        <f>IFERROR(
ROUND(
IF($A$2="COSTO",
   ((B43*(1+IFERROR(VLOOKUP($D$2,COLORES[],2,FALSE),0)))+G43)
   *(1-SUMPRODUCT(
        (DESC_PROV[LINEA]=$B$2)*
        (DESC_PROV[LISTA]=$C$2)*
        (DESC_PROV[DESCUENTO])
   )),
   ((B43*(1+IFERROR(VLOOKUP($D$2,COLORES[],2,FALSE),0)))+G43)
   *(1-SUMPRODUCT(
        (DESC_PROV[LINEA]=$B$2)*
        (DESC_PROV[LISTA]=$C$2)*
        (DESC_PROV[DESCUENTO])
   ))
   *(1+VLOOKUP($C$2,LISTAS[],2,FALSE))
   *(1+VLOOKUP($C$2,LISTAS[],3,FALSE))
)
/5,0)*5,0)</f>
        <v>73860</v>
      </c>
      <c r="Q43" s="43">
        <f>IFERROR(
ROUND(
IF($A$2="COSTO",
   ((B43*(1+IFERROR(VLOOKUP($D$2,COLORES[],2,FALSE),0)))+H43)
   *(1-SUMPRODUCT(
        (DESC_PROV[LINEA]=$B$2)*
        (DESC_PROV[LISTA]=$C$2)*
        (DESC_PROV[DESCUENTO])
   )),
   ((B43*(1+IFERROR(VLOOKUP($D$2,COLORES[],2,FALSE),0)))+H43)
   *(1-SUMPRODUCT(
        (DESC_PROV[LINEA]=$B$2)*
        (DESC_PROV[LISTA]=$C$2)*
        (DESC_PROV[DESCUENTO])
   ))
   *(1+VLOOKUP($C$2,LISTAS[],2,FALSE))
   *(1+VLOOKUP($C$2,LISTAS[],3,FALSE))
)
/5,0)*5,0)</f>
        <v>125585</v>
      </c>
    </row>
    <row r="44" spans="1:17">
      <c r="A44" s="47" t="s">
        <v>179</v>
      </c>
      <c r="B44" s="42">
        <v>47172</v>
      </c>
      <c r="C44" s="42">
        <v>13066</v>
      </c>
      <c r="D44" s="42">
        <v>15773</v>
      </c>
      <c r="E44" s="42">
        <v>20976</v>
      </c>
      <c r="F44" s="42">
        <v>45389</v>
      </c>
      <c r="G44" s="42">
        <v>17347</v>
      </c>
      <c r="H44" s="42">
        <v>67380</v>
      </c>
      <c r="I44" s="2"/>
      <c r="J44" s="2"/>
      <c r="K44" s="47" t="s">
        <v>179</v>
      </c>
      <c r="L44" s="42">
        <f>IFERROR(
ROUND(
IF($A$2="COSTO",
   ((B44*(1+IFERROR(VLOOKUP($D$2,COLORES[],2,FALSE),0)))+C44)
   *(1-SUMPRODUCT(
        (DESC_PROV[LINEA]=$B$2)*
        (DESC_PROV[LISTA]=$C$2)*
        (DESC_PROV[DESCUENTO])
   )),
   ((B44*(1+IFERROR(VLOOKUP($D$2,COLORES[],2,FALSE),0)))+C44)
   *(1-SUMPRODUCT(
        (DESC_PROV[LINEA]=$B$2)*
        (DESC_PROV[LISTA]=$C$2)*
        (DESC_PROV[DESCUENTO])
   ))
   *(1+VLOOKUP($C$2,LISTAS[],2,FALSE))
   *(1+VLOOKUP($C$2,LISTAS[],3,FALSE))
)
/5,0)*5,0)</f>
        <v>74705</v>
      </c>
      <c r="M44" s="42">
        <f>IFERROR(
ROUND(
IF($A$2="COSTO",
   ((B44*(1+IFERROR(VLOOKUP($D$2,COLORES[],2,FALSE),0)))+D44)
   *(1-SUMPRODUCT(
        (DESC_PROV[LINEA]=$B$2)*
        (DESC_PROV[LISTA]=$C$2)*
        (DESC_PROV[DESCUENTO])
   )),
   ((B44*(1+IFERROR(VLOOKUP($D$2,COLORES[],2,FALSE),0)))+D44)
   *(1-SUMPRODUCT(
        (DESC_PROV[LINEA]=$B$2)*
        (DESC_PROV[LISTA]=$C$2)*
        (DESC_PROV[DESCUENTO])
   ))
   *(1+VLOOKUP($C$2,LISTAS[],2,FALSE))
   *(1+VLOOKUP($C$2,LISTAS[],3,FALSE))
)
/5,0)*5,0)</f>
        <v>78065</v>
      </c>
      <c r="N44" s="42">
        <f>IFERROR(
ROUND(
IF($A$2="COSTO",
   ((B44*(1+IFERROR(VLOOKUP($D$2,COLORES[],2,FALSE),0)))+E44)
   *(1-SUMPRODUCT(
        (DESC_PROV[LINEA]=$B$2)*
        (DESC_PROV[LISTA]=$C$2)*
        (DESC_PROV[DESCUENTO])
   )),
   ((B44*(1+IFERROR(VLOOKUP($D$2,COLORES[],2,FALSE),0)))+E44)
   *(1-SUMPRODUCT(
        (DESC_PROV[LINEA]=$B$2)*
        (DESC_PROV[LISTA]=$C$2)*
        (DESC_PROV[DESCUENTO])
   ))
   *(1+VLOOKUP($C$2,LISTAS[],2,FALSE))
   *(1+VLOOKUP($C$2,LISTAS[],3,FALSE))
)
/5,0)*5,0)</f>
        <v>84515</v>
      </c>
      <c r="O44" s="42">
        <f>IFERROR(
ROUND(
IF($A$2="COSTO",
   ((B44*(1+IFERROR(VLOOKUP($D$2,COLORES[],2,FALSE),0)))+F44)
   *(1-SUMPRODUCT(
        (DESC_PROV[LINEA]=$B$2)*
        (DESC_PROV[LISTA]=$C$2)*
        (DESC_PROV[DESCUENTO])
   )),
   ((B44*(1+IFERROR(VLOOKUP($D$2,COLORES[],2,FALSE),0)))+F44)
   *(1-SUMPRODUCT(
        (DESC_PROV[LINEA]=$B$2)*
        (DESC_PROV[LISTA]=$C$2)*
        (DESC_PROV[DESCUENTO])
   ))
   *(1+VLOOKUP($C$2,LISTAS[],2,FALSE))
   *(1+VLOOKUP($C$2,LISTAS[],3,FALSE))
)
/5,0)*5,0)</f>
        <v>114795</v>
      </c>
      <c r="P44" s="42">
        <f>IFERROR(
ROUND(
IF($A$2="COSTO",
   ((B44*(1+IFERROR(VLOOKUP($D$2,COLORES[],2,FALSE),0)))+G44)
   *(1-SUMPRODUCT(
        (DESC_PROV[LINEA]=$B$2)*
        (DESC_PROV[LISTA]=$C$2)*
        (DESC_PROV[DESCUENTO])
   )),
   ((B44*(1+IFERROR(VLOOKUP($D$2,COLORES[],2,FALSE),0)))+G44)
   *(1-SUMPRODUCT(
        (DESC_PROV[LINEA]=$B$2)*
        (DESC_PROV[LISTA]=$C$2)*
        (DESC_PROV[DESCUENTO])
   ))
   *(1+VLOOKUP($C$2,LISTAS[],2,FALSE))
   *(1+VLOOKUP($C$2,LISTAS[],3,FALSE))
)
/5,0)*5,0)</f>
        <v>80015</v>
      </c>
      <c r="Q44" s="43">
        <f>IFERROR(
ROUND(
IF($A$2="COSTO",
   ((B44*(1+IFERROR(VLOOKUP($D$2,COLORES[],2,FALSE),0)))+H44)
   *(1-SUMPRODUCT(
        (DESC_PROV[LINEA]=$B$2)*
        (DESC_PROV[LISTA]=$C$2)*
        (DESC_PROV[DESCUENTO])
   )),
   ((B44*(1+IFERROR(VLOOKUP($D$2,COLORES[],2,FALSE),0)))+H44)
   *(1-SUMPRODUCT(
        (DESC_PROV[LINEA]=$B$2)*
        (DESC_PROV[LISTA]=$C$2)*
        (DESC_PROV[DESCUENTO])
   ))
   *(1+VLOOKUP($C$2,LISTAS[],2,FALSE))
   *(1+VLOOKUP($C$2,LISTAS[],3,FALSE))
)
/5,0)*5,0)</f>
        <v>142065</v>
      </c>
    </row>
    <row r="45" spans="1:17">
      <c r="A45" s="47" t="s">
        <v>180</v>
      </c>
      <c r="B45" s="42">
        <v>49266</v>
      </c>
      <c r="C45" s="42">
        <v>15235</v>
      </c>
      <c r="D45" s="42">
        <v>18394</v>
      </c>
      <c r="E45" s="42">
        <v>24490</v>
      </c>
      <c r="F45" s="42">
        <v>52963</v>
      </c>
      <c r="G45" s="42">
        <v>20218</v>
      </c>
      <c r="H45" s="42">
        <v>78578</v>
      </c>
      <c r="I45" s="2"/>
      <c r="J45" s="2"/>
      <c r="K45" s="47" t="s">
        <v>180</v>
      </c>
      <c r="L45" s="42">
        <f>IFERROR(
ROUND(
IF($A$2="COSTO",
   ((B45*(1+IFERROR(VLOOKUP($D$2,COLORES[],2,FALSE),0)))+C45)
   *(1-SUMPRODUCT(
        (DESC_PROV[LINEA]=$B$2)*
        (DESC_PROV[LISTA]=$C$2)*
        (DESC_PROV[DESCUENTO])
   )),
   ((B45*(1+IFERROR(VLOOKUP($D$2,COLORES[],2,FALSE),0)))+C45)
   *(1-SUMPRODUCT(
        (DESC_PROV[LINEA]=$B$2)*
        (DESC_PROV[LISTA]=$C$2)*
        (DESC_PROV[DESCUENTO])
   ))
   *(1+VLOOKUP($C$2,LISTAS[],2,FALSE))
   *(1+VLOOKUP($C$2,LISTAS[],3,FALSE))
)
/5,0)*5,0)</f>
        <v>79995</v>
      </c>
      <c r="M45" s="42">
        <f>IFERROR(
ROUND(
IF($A$2="COSTO",
   ((B45*(1+IFERROR(VLOOKUP($D$2,COLORES[],2,FALSE),0)))+D45)
   *(1-SUMPRODUCT(
        (DESC_PROV[LINEA]=$B$2)*
        (DESC_PROV[LISTA]=$C$2)*
        (DESC_PROV[DESCUENTO])
   )),
   ((B45*(1+IFERROR(VLOOKUP($D$2,COLORES[],2,FALSE),0)))+D45)
   *(1-SUMPRODUCT(
        (DESC_PROV[LINEA]=$B$2)*
        (DESC_PROV[LISTA]=$C$2)*
        (DESC_PROV[DESCUENTO])
   ))
   *(1+VLOOKUP($C$2,LISTAS[],2,FALSE))
   *(1+VLOOKUP($C$2,LISTAS[],3,FALSE))
)
/5,0)*5,0)</f>
        <v>83910</v>
      </c>
      <c r="N45" s="42">
        <f>IFERROR(
ROUND(
IF($A$2="COSTO",
   ((B45*(1+IFERROR(VLOOKUP($D$2,COLORES[],2,FALSE),0)))+E45)
   *(1-SUMPRODUCT(
        (DESC_PROV[LINEA]=$B$2)*
        (DESC_PROV[LISTA]=$C$2)*
        (DESC_PROV[DESCUENTO])
   )),
   ((B45*(1+IFERROR(VLOOKUP($D$2,COLORES[],2,FALSE),0)))+E45)
   *(1-SUMPRODUCT(
        (DESC_PROV[LINEA]=$B$2)*
        (DESC_PROV[LISTA]=$C$2)*
        (DESC_PROV[DESCUENTO])
   ))
   *(1+VLOOKUP($C$2,LISTAS[],2,FALSE))
   *(1+VLOOKUP($C$2,LISTAS[],3,FALSE))
)
/5,0)*5,0)</f>
        <v>91470</v>
      </c>
      <c r="O45" s="42">
        <f>IFERROR(
ROUND(
IF($A$2="COSTO",
   ((B45*(1+IFERROR(VLOOKUP($D$2,COLORES[],2,FALSE),0)))+F45)
   *(1-SUMPRODUCT(
        (DESC_PROV[LINEA]=$B$2)*
        (DESC_PROV[LISTA]=$C$2)*
        (DESC_PROV[DESCUENTO])
   )),
   ((B45*(1+IFERROR(VLOOKUP($D$2,COLORES[],2,FALSE),0)))+F45)
   *(1-SUMPRODUCT(
        (DESC_PROV[LINEA]=$B$2)*
        (DESC_PROV[LISTA]=$C$2)*
        (DESC_PROV[DESCUENTO])
   ))
   *(1+VLOOKUP($C$2,LISTAS[],2,FALSE))
   *(1+VLOOKUP($C$2,LISTAS[],3,FALSE))
)
/5,0)*5,0)</f>
        <v>126785</v>
      </c>
      <c r="P45" s="42">
        <f>IFERROR(
ROUND(
IF($A$2="COSTO",
   ((B45*(1+IFERROR(VLOOKUP($D$2,COLORES[],2,FALSE),0)))+G45)
   *(1-SUMPRODUCT(
        (DESC_PROV[LINEA]=$B$2)*
        (DESC_PROV[LISTA]=$C$2)*
        (DESC_PROV[DESCUENTO])
   )),
   ((B45*(1+IFERROR(VLOOKUP($D$2,COLORES[],2,FALSE),0)))+G45)
   *(1-SUMPRODUCT(
        (DESC_PROV[LINEA]=$B$2)*
        (DESC_PROV[LISTA]=$C$2)*
        (DESC_PROV[DESCUENTO])
   ))
   *(1+VLOOKUP($C$2,LISTAS[],2,FALSE))
   *(1+VLOOKUP($C$2,LISTAS[],3,FALSE))
)
/5,0)*5,0)</f>
        <v>86175</v>
      </c>
      <c r="Q45" s="43">
        <f>IFERROR(
ROUND(
IF($A$2="COSTO",
   ((B45*(1+IFERROR(VLOOKUP($D$2,COLORES[],2,FALSE),0)))+H45)
   *(1-SUMPRODUCT(
        (DESC_PROV[LINEA]=$B$2)*
        (DESC_PROV[LISTA]=$C$2)*
        (DESC_PROV[DESCUENTO])
   )),
   ((B45*(1+IFERROR(VLOOKUP($D$2,COLORES[],2,FALSE),0)))+H45)
   *(1-SUMPRODUCT(
        (DESC_PROV[LINEA]=$B$2)*
        (DESC_PROV[LISTA]=$C$2)*
        (DESC_PROV[DESCUENTO])
   ))
   *(1+VLOOKUP($C$2,LISTAS[],2,FALSE))
   *(1+VLOOKUP($C$2,LISTAS[],3,FALSE))
)
/5,0)*5,0)</f>
        <v>158550</v>
      </c>
    </row>
    <row r="46" spans="1:17">
      <c r="A46" s="47" t="s">
        <v>181</v>
      </c>
      <c r="B46" s="42">
        <v>51360</v>
      </c>
      <c r="C46" s="42">
        <v>17414</v>
      </c>
      <c r="D46" s="42">
        <v>21014</v>
      </c>
      <c r="E46" s="42">
        <v>28003</v>
      </c>
      <c r="F46" s="42">
        <v>60538</v>
      </c>
      <c r="G46" s="42">
        <v>23088</v>
      </c>
      <c r="H46" s="42">
        <v>89775</v>
      </c>
      <c r="I46" s="2"/>
      <c r="J46" s="2"/>
      <c r="K46" s="47" t="s">
        <v>181</v>
      </c>
      <c r="L46" s="42">
        <f>IFERROR(
ROUND(
IF($A$2="COSTO",
   ((B46*(1+IFERROR(VLOOKUP($D$2,COLORES[],2,FALSE),0)))+C46)
   *(1-SUMPRODUCT(
        (DESC_PROV[LINEA]=$B$2)*
        (DESC_PROV[LISTA]=$C$2)*
        (DESC_PROV[DESCUENTO])
   )),
   ((B46*(1+IFERROR(VLOOKUP($D$2,COLORES[],2,FALSE),0)))+C46)
   *(1-SUMPRODUCT(
        (DESC_PROV[LINEA]=$B$2)*
        (DESC_PROV[LISTA]=$C$2)*
        (DESC_PROV[DESCUENTO])
   ))
   *(1+VLOOKUP($C$2,LISTAS[],2,FALSE))
   *(1+VLOOKUP($C$2,LISTAS[],3,FALSE))
)
/5,0)*5,0)</f>
        <v>85295</v>
      </c>
      <c r="M46" s="42">
        <f>IFERROR(
ROUND(
IF($A$2="COSTO",
   ((B46*(1+IFERROR(VLOOKUP($D$2,COLORES[],2,FALSE),0)))+D46)
   *(1-SUMPRODUCT(
        (DESC_PROV[LINEA]=$B$2)*
        (DESC_PROV[LISTA]=$C$2)*
        (DESC_PROV[DESCUENTO])
   )),
   ((B46*(1+IFERROR(VLOOKUP($D$2,COLORES[],2,FALSE),0)))+D46)
   *(1-SUMPRODUCT(
        (DESC_PROV[LINEA]=$B$2)*
        (DESC_PROV[LISTA]=$C$2)*
        (DESC_PROV[DESCUENTO])
   ))
   *(1+VLOOKUP($C$2,LISTAS[],2,FALSE))
   *(1+VLOOKUP($C$2,LISTAS[],3,FALSE))
)
/5,0)*5,0)</f>
        <v>89760</v>
      </c>
      <c r="N46" s="42">
        <f>IFERROR(
ROUND(
IF($A$2="COSTO",
   ((B46*(1+IFERROR(VLOOKUP($D$2,COLORES[],2,FALSE),0)))+E46)
   *(1-SUMPRODUCT(
        (DESC_PROV[LINEA]=$B$2)*
        (DESC_PROV[LISTA]=$C$2)*
        (DESC_PROV[DESCUENTO])
   )),
   ((B46*(1+IFERROR(VLOOKUP($D$2,COLORES[],2,FALSE),0)))+E46)
   *(1-SUMPRODUCT(
        (DESC_PROV[LINEA]=$B$2)*
        (DESC_PROV[LISTA]=$C$2)*
        (DESC_PROV[DESCUENTO])
   ))
   *(1+VLOOKUP($C$2,LISTAS[],2,FALSE))
   *(1+VLOOKUP($C$2,LISTAS[],3,FALSE))
)
/5,0)*5,0)</f>
        <v>98425</v>
      </c>
      <c r="O46" s="42">
        <f>IFERROR(
ROUND(
IF($A$2="COSTO",
   ((B46*(1+IFERROR(VLOOKUP($D$2,COLORES[],2,FALSE),0)))+F46)
   *(1-SUMPRODUCT(
        (DESC_PROV[LINEA]=$B$2)*
        (DESC_PROV[LISTA]=$C$2)*
        (DESC_PROV[DESCUENTO])
   )),
   ((B46*(1+IFERROR(VLOOKUP($D$2,COLORES[],2,FALSE),0)))+F46)
   *(1-SUMPRODUCT(
        (DESC_PROV[LINEA]=$B$2)*
        (DESC_PROV[LISTA]=$C$2)*
        (DESC_PROV[DESCUENTO])
   ))
   *(1+VLOOKUP($C$2,LISTAS[],2,FALSE))
   *(1+VLOOKUP($C$2,LISTAS[],3,FALSE))
)
/5,0)*5,0)</f>
        <v>138775</v>
      </c>
      <c r="P46" s="42">
        <f>IFERROR(
ROUND(
IF($A$2="COSTO",
   ((B46*(1+IFERROR(VLOOKUP($D$2,COLORES[],2,FALSE),0)))+G46)
   *(1-SUMPRODUCT(
        (DESC_PROV[LINEA]=$B$2)*
        (DESC_PROV[LISTA]=$C$2)*
        (DESC_PROV[DESCUENTO])
   )),
   ((B46*(1+IFERROR(VLOOKUP($D$2,COLORES[],2,FALSE),0)))+G46)
   *(1-SUMPRODUCT(
        (DESC_PROV[LINEA]=$B$2)*
        (DESC_PROV[LISTA]=$C$2)*
        (DESC_PROV[DESCUENTO])
   ))
   *(1+VLOOKUP($C$2,LISTAS[],2,FALSE))
   *(1+VLOOKUP($C$2,LISTAS[],3,FALSE))
)
/5,0)*5,0)</f>
        <v>92330</v>
      </c>
      <c r="Q46" s="43">
        <f>IFERROR(
ROUND(
IF($A$2="COSTO",
   ((B46*(1+IFERROR(VLOOKUP($D$2,COLORES[],2,FALSE),0)))+H46)
   *(1-SUMPRODUCT(
        (DESC_PROV[LINEA]=$B$2)*
        (DESC_PROV[LISTA]=$C$2)*
        (DESC_PROV[DESCUENTO])
   )),
   ((B46*(1+IFERROR(VLOOKUP($D$2,COLORES[],2,FALSE),0)))+H46)
   *(1-SUMPRODUCT(
        (DESC_PROV[LINEA]=$B$2)*
        (DESC_PROV[LISTA]=$C$2)*
        (DESC_PROV[DESCUENTO])
   ))
   *(1+VLOOKUP($C$2,LISTAS[],2,FALSE))
   *(1+VLOOKUP($C$2,LISTAS[],3,FALSE))
)
/5,0)*5,0)</f>
        <v>175035</v>
      </c>
    </row>
    <row r="47" spans="1:17">
      <c r="A47" s="47" t="s">
        <v>182</v>
      </c>
      <c r="B47" s="42">
        <v>53460</v>
      </c>
      <c r="C47" s="42">
        <v>19594</v>
      </c>
      <c r="D47" s="42">
        <v>23635</v>
      </c>
      <c r="E47" s="42">
        <v>31507</v>
      </c>
      <c r="F47" s="42">
        <v>68112</v>
      </c>
      <c r="G47" s="42">
        <v>25958</v>
      </c>
      <c r="H47" s="42">
        <v>100973</v>
      </c>
      <c r="I47" s="2"/>
      <c r="J47" s="2"/>
      <c r="K47" s="47" t="s">
        <v>182</v>
      </c>
      <c r="L47" s="42">
        <f>IFERROR(
ROUND(
IF($A$2="COSTO",
   ((B47*(1+IFERROR(VLOOKUP($D$2,COLORES[],2,FALSE),0)))+C47)
   *(1-SUMPRODUCT(
        (DESC_PROV[LINEA]=$B$2)*
        (DESC_PROV[LISTA]=$C$2)*
        (DESC_PROV[DESCUENTO])
   )),
   ((B47*(1+IFERROR(VLOOKUP($D$2,COLORES[],2,FALSE),0)))+C47)
   *(1-SUMPRODUCT(
        (DESC_PROV[LINEA]=$B$2)*
        (DESC_PROV[LISTA]=$C$2)*
        (DESC_PROV[DESCUENTO])
   ))
   *(1+VLOOKUP($C$2,LISTAS[],2,FALSE))
   *(1+VLOOKUP($C$2,LISTAS[],3,FALSE))
)
/5,0)*5,0)</f>
        <v>90600</v>
      </c>
      <c r="M47" s="42">
        <f>IFERROR(
ROUND(
IF($A$2="COSTO",
   ((B47*(1+IFERROR(VLOOKUP($D$2,COLORES[],2,FALSE),0)))+D47)
   *(1-SUMPRODUCT(
        (DESC_PROV[LINEA]=$B$2)*
        (DESC_PROV[LISTA]=$C$2)*
        (DESC_PROV[DESCUENTO])
   )),
   ((B47*(1+IFERROR(VLOOKUP($D$2,COLORES[],2,FALSE),0)))+D47)
   *(1-SUMPRODUCT(
        (DESC_PROV[LINEA]=$B$2)*
        (DESC_PROV[LISTA]=$C$2)*
        (DESC_PROV[DESCUENTO])
   ))
   *(1+VLOOKUP($C$2,LISTAS[],2,FALSE))
   *(1+VLOOKUP($C$2,LISTAS[],3,FALSE))
)
/5,0)*5,0)</f>
        <v>95615</v>
      </c>
      <c r="N47" s="42">
        <f>IFERROR(
ROUND(
IF($A$2="COSTO",
   ((B47*(1+IFERROR(VLOOKUP($D$2,COLORES[],2,FALSE),0)))+E47)
   *(1-SUMPRODUCT(
        (DESC_PROV[LINEA]=$B$2)*
        (DESC_PROV[LISTA]=$C$2)*
        (DESC_PROV[DESCUENTO])
   )),
   ((B47*(1+IFERROR(VLOOKUP($D$2,COLORES[],2,FALSE),0)))+E47)
   *(1-SUMPRODUCT(
        (DESC_PROV[LINEA]=$B$2)*
        (DESC_PROV[LISTA]=$C$2)*
        (DESC_PROV[DESCUENTO])
   ))
   *(1+VLOOKUP($C$2,LISTAS[],2,FALSE))
   *(1+VLOOKUP($C$2,LISTAS[],3,FALSE))
)
/5,0)*5,0)</f>
        <v>105375</v>
      </c>
      <c r="O47" s="42">
        <f>IFERROR(
ROUND(
IF($A$2="COSTO",
   ((B47*(1+IFERROR(VLOOKUP($D$2,COLORES[],2,FALSE),0)))+F47)
   *(1-SUMPRODUCT(
        (DESC_PROV[LINEA]=$B$2)*
        (DESC_PROV[LISTA]=$C$2)*
        (DESC_PROV[DESCUENTO])
   )),
   ((B47*(1+IFERROR(VLOOKUP($D$2,COLORES[],2,FALSE),0)))+F47)
   *(1-SUMPRODUCT(
        (DESC_PROV[LINEA]=$B$2)*
        (DESC_PROV[LISTA]=$C$2)*
        (DESC_PROV[DESCUENTO])
   ))
   *(1+VLOOKUP($C$2,LISTAS[],2,FALSE))
   *(1+VLOOKUP($C$2,LISTAS[],3,FALSE))
)
/5,0)*5,0)</f>
        <v>150775</v>
      </c>
      <c r="P47" s="42">
        <f>IFERROR(
ROUND(
IF($A$2="COSTO",
   ((B47*(1+IFERROR(VLOOKUP($D$2,COLORES[],2,FALSE),0)))+G47)
   *(1-SUMPRODUCT(
        (DESC_PROV[LINEA]=$B$2)*
        (DESC_PROV[LISTA]=$C$2)*
        (DESC_PROV[DESCUENTO])
   )),
   ((B47*(1+IFERROR(VLOOKUP($D$2,COLORES[],2,FALSE),0)))+G47)
   *(1-SUMPRODUCT(
        (DESC_PROV[LINEA]=$B$2)*
        (DESC_PROV[LISTA]=$C$2)*
        (DESC_PROV[DESCUENTO])
   ))
   *(1+VLOOKUP($C$2,LISTAS[],2,FALSE))
   *(1+VLOOKUP($C$2,LISTAS[],3,FALSE))
)
/5,0)*5,0)</f>
        <v>98495</v>
      </c>
      <c r="Q47" s="43">
        <f>IFERROR(
ROUND(
IF($A$2="COSTO",
   ((B47*(1+IFERROR(VLOOKUP($D$2,COLORES[],2,FALSE),0)))+H47)
   *(1-SUMPRODUCT(
        (DESC_PROV[LINEA]=$B$2)*
        (DESC_PROV[LISTA]=$C$2)*
        (DESC_PROV[DESCUENTO])
   )),
   ((B47*(1+IFERROR(VLOOKUP($D$2,COLORES[],2,FALSE),0)))+H47)
   *(1-SUMPRODUCT(
        (DESC_PROV[LINEA]=$B$2)*
        (DESC_PROV[LISTA]=$C$2)*
        (DESC_PROV[DESCUENTO])
   ))
   *(1+VLOOKUP($C$2,LISTAS[],2,FALSE))
   *(1+VLOOKUP($C$2,LISTAS[],3,FALSE))
)
/5,0)*5,0)</f>
        <v>191530</v>
      </c>
    </row>
    <row r="48" spans="1:17">
      <c r="A48" s="47" t="s">
        <v>183</v>
      </c>
      <c r="B48" s="42">
        <v>42983</v>
      </c>
      <c r="C48" s="42">
        <v>7344</v>
      </c>
      <c r="D48" s="42">
        <v>8899</v>
      </c>
      <c r="E48" s="42">
        <v>11741</v>
      </c>
      <c r="F48" s="42">
        <v>25392</v>
      </c>
      <c r="G48" s="42">
        <v>9830</v>
      </c>
      <c r="H48" s="42">
        <v>38016</v>
      </c>
      <c r="I48" s="2"/>
      <c r="J48" s="2"/>
      <c r="K48" s="47" t="s">
        <v>183</v>
      </c>
      <c r="L48" s="42">
        <f>IFERROR(
ROUND(
IF($A$2="COSTO",
   ((B48*(1+IFERROR(VLOOKUP($D$2,COLORES[],2,FALSE),0)))+C48)
   *(1-SUMPRODUCT(
        (DESC_PROV[LINEA]=$B$2)*
        (DESC_PROV[LISTA]=$C$2)*
        (DESC_PROV[DESCUENTO])
   )),
   ((B48*(1+IFERROR(VLOOKUP($D$2,COLORES[],2,FALSE),0)))+C48)
   *(1-SUMPRODUCT(
        (DESC_PROV[LINEA]=$B$2)*
        (DESC_PROV[LISTA]=$C$2)*
        (DESC_PROV[DESCUENTO])
   ))
   *(1+VLOOKUP($C$2,LISTAS[],2,FALSE))
   *(1+VLOOKUP($C$2,LISTAS[],3,FALSE))
)
/5,0)*5,0)</f>
        <v>62415</v>
      </c>
      <c r="M48" s="42">
        <f>IFERROR(
ROUND(
IF($A$2="COSTO",
   ((B48*(1+IFERROR(VLOOKUP($D$2,COLORES[],2,FALSE),0)))+D48)
   *(1-SUMPRODUCT(
        (DESC_PROV[LINEA]=$B$2)*
        (DESC_PROV[LISTA]=$C$2)*
        (DESC_PROV[DESCUENTO])
   )),
   ((B48*(1+IFERROR(VLOOKUP($D$2,COLORES[],2,FALSE),0)))+D48)
   *(1-SUMPRODUCT(
        (DESC_PROV[LINEA]=$B$2)*
        (DESC_PROV[LISTA]=$C$2)*
        (DESC_PROV[DESCUENTO])
   ))
   *(1+VLOOKUP($C$2,LISTAS[],2,FALSE))
   *(1+VLOOKUP($C$2,LISTAS[],3,FALSE))
)
/5,0)*5,0)</f>
        <v>64345</v>
      </c>
      <c r="N48" s="42">
        <f>IFERROR(
ROUND(
IF($A$2="COSTO",
   ((B48*(1+IFERROR(VLOOKUP($D$2,COLORES[],2,FALSE),0)))+E48)
   *(1-SUMPRODUCT(
        (DESC_PROV[LINEA]=$B$2)*
        (DESC_PROV[LISTA]=$C$2)*
        (DESC_PROV[DESCUENTO])
   )),
   ((B48*(1+IFERROR(VLOOKUP($D$2,COLORES[],2,FALSE),0)))+E48)
   *(1-SUMPRODUCT(
        (DESC_PROV[LINEA]=$B$2)*
        (DESC_PROV[LISTA]=$C$2)*
        (DESC_PROV[DESCUENTO])
   ))
   *(1+VLOOKUP($C$2,LISTAS[],2,FALSE))
   *(1+VLOOKUP($C$2,LISTAS[],3,FALSE))
)
/5,0)*5,0)</f>
        <v>67870</v>
      </c>
      <c r="O48" s="42">
        <f>IFERROR(
ROUND(
IF($A$2="COSTO",
   ((B48*(1+IFERROR(VLOOKUP($D$2,COLORES[],2,FALSE),0)))+F48)
   *(1-SUMPRODUCT(
        (DESC_PROV[LINEA]=$B$2)*
        (DESC_PROV[LISTA]=$C$2)*
        (DESC_PROV[DESCUENTO])
   )),
   ((B48*(1+IFERROR(VLOOKUP($D$2,COLORES[],2,FALSE),0)))+F48)
   *(1-SUMPRODUCT(
        (DESC_PROV[LINEA]=$B$2)*
        (DESC_PROV[LISTA]=$C$2)*
        (DESC_PROV[DESCUENTO])
   ))
   *(1+VLOOKUP($C$2,LISTAS[],2,FALSE))
   *(1+VLOOKUP($C$2,LISTAS[],3,FALSE))
)
/5,0)*5,0)</f>
        <v>84800</v>
      </c>
      <c r="P48" s="42">
        <f>IFERROR(
ROUND(
IF($A$2="COSTO",
   ((B48*(1+IFERROR(VLOOKUP($D$2,COLORES[],2,FALSE),0)))+G48)
   *(1-SUMPRODUCT(
        (DESC_PROV[LINEA]=$B$2)*
        (DESC_PROV[LISTA]=$C$2)*
        (DESC_PROV[DESCUENTO])
   )),
   ((B48*(1+IFERROR(VLOOKUP($D$2,COLORES[],2,FALSE),0)))+G48)
   *(1-SUMPRODUCT(
        (DESC_PROV[LINEA]=$B$2)*
        (DESC_PROV[LISTA]=$C$2)*
        (DESC_PROV[DESCUENTO])
   ))
   *(1+VLOOKUP($C$2,LISTAS[],2,FALSE))
   *(1+VLOOKUP($C$2,LISTAS[],3,FALSE))
)
/5,0)*5,0)</f>
        <v>65500</v>
      </c>
      <c r="Q48" s="43">
        <f>IFERROR(
ROUND(
IF($A$2="COSTO",
   ((B48*(1+IFERROR(VLOOKUP($D$2,COLORES[],2,FALSE),0)))+H48)
   *(1-SUMPRODUCT(
        (DESC_PROV[LINEA]=$B$2)*
        (DESC_PROV[LISTA]=$C$2)*
        (DESC_PROV[DESCUENTO])
   )),
   ((B48*(1+IFERROR(VLOOKUP($D$2,COLORES[],2,FALSE),0)))+H48)
   *(1-SUMPRODUCT(
        (DESC_PROV[LINEA]=$B$2)*
        (DESC_PROV[LISTA]=$C$2)*
        (DESC_PROV[DESCUENTO])
   ))
   *(1+VLOOKUP($C$2,LISTAS[],2,FALSE))
   *(1+VLOOKUP($C$2,LISTAS[],3,FALSE))
)
/5,0)*5,0)</f>
        <v>100455</v>
      </c>
    </row>
    <row r="49" spans="1:17">
      <c r="A49" s="47" t="s">
        <v>184</v>
      </c>
      <c r="B49" s="42">
        <v>45077</v>
      </c>
      <c r="C49" s="42">
        <v>9792</v>
      </c>
      <c r="D49" s="42">
        <v>11846</v>
      </c>
      <c r="E49" s="42">
        <v>15696</v>
      </c>
      <c r="F49" s="42">
        <v>33802</v>
      </c>
      <c r="G49" s="42">
        <v>13056</v>
      </c>
      <c r="H49" s="42">
        <v>50607</v>
      </c>
      <c r="I49" s="2"/>
      <c r="J49" s="2"/>
      <c r="K49" s="47" t="s">
        <v>184</v>
      </c>
      <c r="L49" s="42">
        <f>IFERROR(
ROUND(
IF($A$2="COSTO",
   ((B49*(1+IFERROR(VLOOKUP($D$2,COLORES[],2,FALSE),0)))+C49)
   *(1-SUMPRODUCT(
        (DESC_PROV[LINEA]=$B$2)*
        (DESC_PROV[LISTA]=$C$2)*
        (DESC_PROV[DESCUENTO])
   )),
   ((B49*(1+IFERROR(VLOOKUP($D$2,COLORES[],2,FALSE),0)))+C49)
   *(1-SUMPRODUCT(
        (DESC_PROV[LINEA]=$B$2)*
        (DESC_PROV[LISTA]=$C$2)*
        (DESC_PROV[DESCUENTO])
   ))
   *(1+VLOOKUP($C$2,LISTAS[],2,FALSE))
   *(1+VLOOKUP($C$2,LISTAS[],3,FALSE))
)
/5,0)*5,0)</f>
        <v>68050</v>
      </c>
      <c r="M49" s="42">
        <f>IFERROR(
ROUND(
IF($A$2="COSTO",
   ((B49*(1+IFERROR(VLOOKUP($D$2,COLORES[],2,FALSE),0)))+D49)
   *(1-SUMPRODUCT(
        (DESC_PROV[LINEA]=$B$2)*
        (DESC_PROV[LISTA]=$C$2)*
        (DESC_PROV[DESCUENTO])
   )),
   ((B49*(1+IFERROR(VLOOKUP($D$2,COLORES[],2,FALSE),0)))+D49)
   *(1-SUMPRODUCT(
        (DESC_PROV[LINEA]=$B$2)*
        (DESC_PROV[LISTA]=$C$2)*
        (DESC_PROV[DESCUENTO])
   ))
   *(1+VLOOKUP($C$2,LISTAS[],2,FALSE))
   *(1+VLOOKUP($C$2,LISTAS[],3,FALSE))
)
/5,0)*5,0)</f>
        <v>70595</v>
      </c>
      <c r="N49" s="42">
        <f>IFERROR(
ROUND(
IF($A$2="COSTO",
   ((B49*(1+IFERROR(VLOOKUP($D$2,COLORES[],2,FALSE),0)))+E49)
   *(1-SUMPRODUCT(
        (DESC_PROV[LINEA]=$B$2)*
        (DESC_PROV[LISTA]=$C$2)*
        (DESC_PROV[DESCUENTO])
   )),
   ((B49*(1+IFERROR(VLOOKUP($D$2,COLORES[],2,FALSE),0)))+E49)
   *(1-SUMPRODUCT(
        (DESC_PROV[LINEA]=$B$2)*
        (DESC_PROV[LISTA]=$C$2)*
        (DESC_PROV[DESCUENTO])
   ))
   *(1+VLOOKUP($C$2,LISTAS[],2,FALSE))
   *(1+VLOOKUP($C$2,LISTAS[],3,FALSE))
)
/5,0)*5,0)</f>
        <v>75370</v>
      </c>
      <c r="O49" s="42">
        <f>IFERROR(
ROUND(
IF($A$2="COSTO",
   ((B49*(1+IFERROR(VLOOKUP($D$2,COLORES[],2,FALSE),0)))+F49)
   *(1-SUMPRODUCT(
        (DESC_PROV[LINEA]=$B$2)*
        (DESC_PROV[LISTA]=$C$2)*
        (DESC_PROV[DESCUENTO])
   )),
   ((B49*(1+IFERROR(VLOOKUP($D$2,COLORES[],2,FALSE),0)))+F49)
   *(1-SUMPRODUCT(
        (DESC_PROV[LINEA]=$B$2)*
        (DESC_PROV[LISTA]=$C$2)*
        (DESC_PROV[DESCUENTO])
   ))
   *(1+VLOOKUP($C$2,LISTAS[],2,FALSE))
   *(1+VLOOKUP($C$2,LISTAS[],3,FALSE))
)
/5,0)*5,0)</f>
        <v>97825</v>
      </c>
      <c r="P49" s="42">
        <f>IFERROR(
ROUND(
IF($A$2="COSTO",
   ((B49*(1+IFERROR(VLOOKUP($D$2,COLORES[],2,FALSE),0)))+G49)
   *(1-SUMPRODUCT(
        (DESC_PROV[LINEA]=$B$2)*
        (DESC_PROV[LISTA]=$C$2)*
        (DESC_PROV[DESCUENTO])
   )),
   ((B49*(1+IFERROR(VLOOKUP($D$2,COLORES[],2,FALSE),0)))+G49)
   *(1-SUMPRODUCT(
        (DESC_PROV[LINEA]=$B$2)*
        (DESC_PROV[LISTA]=$C$2)*
        (DESC_PROV[DESCUENTO])
   ))
   *(1+VLOOKUP($C$2,LISTAS[],2,FALSE))
   *(1+VLOOKUP($C$2,LISTAS[],3,FALSE))
)
/5,0)*5,0)</f>
        <v>72095</v>
      </c>
      <c r="Q49" s="43">
        <f>IFERROR(
ROUND(
IF($A$2="COSTO",
   ((B49*(1+IFERROR(VLOOKUP($D$2,COLORES[],2,FALSE),0)))+H49)
   *(1-SUMPRODUCT(
        (DESC_PROV[LINEA]=$B$2)*
        (DESC_PROV[LISTA]=$C$2)*
        (DESC_PROV[DESCUENTO])
   )),
   ((B49*(1+IFERROR(VLOOKUP($D$2,COLORES[],2,FALSE),0)))+H49)
   *(1-SUMPRODUCT(
        (DESC_PROV[LINEA]=$B$2)*
        (DESC_PROV[LISTA]=$C$2)*
        (DESC_PROV[DESCUENTO])
   ))
   *(1+VLOOKUP($C$2,LISTAS[],2,FALSE))
   *(1+VLOOKUP($C$2,LISTAS[],3,FALSE))
)
/5,0)*5,0)</f>
        <v>118665</v>
      </c>
    </row>
    <row r="50" spans="1:17">
      <c r="A50" s="47" t="s">
        <v>185</v>
      </c>
      <c r="B50" s="42">
        <v>47172</v>
      </c>
      <c r="C50" s="42">
        <v>12250</v>
      </c>
      <c r="D50" s="42">
        <v>14794</v>
      </c>
      <c r="E50" s="42">
        <v>19651</v>
      </c>
      <c r="F50" s="42">
        <v>42595</v>
      </c>
      <c r="G50" s="42">
        <v>16282</v>
      </c>
      <c r="H50" s="42">
        <v>63199</v>
      </c>
      <c r="I50" s="2"/>
      <c r="J50" s="2"/>
      <c r="K50" s="47" t="s">
        <v>185</v>
      </c>
      <c r="L50" s="42">
        <f>IFERROR(
ROUND(
IF($A$2="COSTO",
   ((B50*(1+IFERROR(VLOOKUP($D$2,COLORES[],2,FALSE),0)))+C50)
   *(1-SUMPRODUCT(
        (DESC_PROV[LINEA]=$B$2)*
        (DESC_PROV[LISTA]=$C$2)*
        (DESC_PROV[DESCUENTO])
   )),
   ((B50*(1+IFERROR(VLOOKUP($D$2,COLORES[],2,FALSE),0)))+C50)
   *(1-SUMPRODUCT(
        (DESC_PROV[LINEA]=$B$2)*
        (DESC_PROV[LISTA]=$C$2)*
        (DESC_PROV[DESCUENTO])
   ))
   *(1+VLOOKUP($C$2,LISTAS[],2,FALSE))
   *(1+VLOOKUP($C$2,LISTAS[],3,FALSE))
)
/5,0)*5,0)</f>
        <v>73695</v>
      </c>
      <c r="M50" s="42">
        <f>IFERROR(
ROUND(
IF($A$2="COSTO",
   ((B50*(1+IFERROR(VLOOKUP($D$2,COLORES[],2,FALSE),0)))+D50)
   *(1-SUMPRODUCT(
        (DESC_PROV[LINEA]=$B$2)*
        (DESC_PROV[LISTA]=$C$2)*
        (DESC_PROV[DESCUENTO])
   )),
   ((B50*(1+IFERROR(VLOOKUP($D$2,COLORES[],2,FALSE),0)))+D50)
   *(1-SUMPRODUCT(
        (DESC_PROV[LINEA]=$B$2)*
        (DESC_PROV[LISTA]=$C$2)*
        (DESC_PROV[DESCUENTO])
   ))
   *(1+VLOOKUP($C$2,LISTAS[],2,FALSE))
   *(1+VLOOKUP($C$2,LISTAS[],3,FALSE))
)
/5,0)*5,0)</f>
        <v>76850</v>
      </c>
      <c r="N50" s="42">
        <f>IFERROR(
ROUND(
IF($A$2="COSTO",
   ((B50*(1+IFERROR(VLOOKUP($D$2,COLORES[],2,FALSE),0)))+E50)
   *(1-SUMPRODUCT(
        (DESC_PROV[LINEA]=$B$2)*
        (DESC_PROV[LISTA]=$C$2)*
        (DESC_PROV[DESCUENTO])
   )),
   ((B50*(1+IFERROR(VLOOKUP($D$2,COLORES[],2,FALSE),0)))+E50)
   *(1-SUMPRODUCT(
        (DESC_PROV[LINEA]=$B$2)*
        (DESC_PROV[LISTA]=$C$2)*
        (DESC_PROV[DESCUENTO])
   ))
   *(1+VLOOKUP($C$2,LISTAS[],2,FALSE))
   *(1+VLOOKUP($C$2,LISTAS[],3,FALSE))
)
/5,0)*5,0)</f>
        <v>82875</v>
      </c>
      <c r="O50" s="42">
        <f>IFERROR(
ROUND(
IF($A$2="COSTO",
   ((B50*(1+IFERROR(VLOOKUP($D$2,COLORES[],2,FALSE),0)))+F50)
   *(1-SUMPRODUCT(
        (DESC_PROV[LINEA]=$B$2)*
        (DESC_PROV[LISTA]=$C$2)*
        (DESC_PROV[DESCUENTO])
   )),
   ((B50*(1+IFERROR(VLOOKUP($D$2,COLORES[],2,FALSE),0)))+F50)
   *(1-SUMPRODUCT(
        (DESC_PROV[LINEA]=$B$2)*
        (DESC_PROV[LISTA]=$C$2)*
        (DESC_PROV[DESCUENTO])
   ))
   *(1+VLOOKUP($C$2,LISTAS[],2,FALSE))
   *(1+VLOOKUP($C$2,LISTAS[],3,FALSE))
)
/5,0)*5,0)</f>
        <v>111330</v>
      </c>
      <c r="P50" s="42">
        <f>IFERROR(
ROUND(
IF($A$2="COSTO",
   ((B50*(1+IFERROR(VLOOKUP($D$2,COLORES[],2,FALSE),0)))+G50)
   *(1-SUMPRODUCT(
        (DESC_PROV[LINEA]=$B$2)*
        (DESC_PROV[LISTA]=$C$2)*
        (DESC_PROV[DESCUENTO])
   )),
   ((B50*(1+IFERROR(VLOOKUP($D$2,COLORES[],2,FALSE),0)))+G50)
   *(1-SUMPRODUCT(
        (DESC_PROV[LINEA]=$B$2)*
        (DESC_PROV[LISTA]=$C$2)*
        (DESC_PROV[DESCUENTO])
   ))
   *(1+VLOOKUP($C$2,LISTAS[],2,FALSE))
   *(1+VLOOKUP($C$2,LISTAS[],3,FALSE))
)
/5,0)*5,0)</f>
        <v>78695</v>
      </c>
      <c r="Q50" s="43">
        <f>IFERROR(
ROUND(
IF($A$2="COSTO",
   ((B50*(1+IFERROR(VLOOKUP($D$2,COLORES[],2,FALSE),0)))+H50)
   *(1-SUMPRODUCT(
        (DESC_PROV[LINEA]=$B$2)*
        (DESC_PROV[LISTA]=$C$2)*
        (DESC_PROV[DESCUENTO])
   )),
   ((B50*(1+IFERROR(VLOOKUP($D$2,COLORES[],2,FALSE),0)))+H50)
   *(1-SUMPRODUCT(
        (DESC_PROV[LINEA]=$B$2)*
        (DESC_PROV[LISTA]=$C$2)*
        (DESC_PROV[DESCUENTO])
   ))
   *(1+VLOOKUP($C$2,LISTAS[],2,FALSE))
   *(1+VLOOKUP($C$2,LISTAS[],3,FALSE))
)
/5,0)*5,0)</f>
        <v>136880</v>
      </c>
    </row>
    <row r="51" spans="1:17">
      <c r="A51" s="47" t="s">
        <v>186</v>
      </c>
      <c r="B51" s="42">
        <v>49266</v>
      </c>
      <c r="C51" s="42">
        <v>14698</v>
      </c>
      <c r="D51" s="42">
        <v>17741</v>
      </c>
      <c r="E51" s="42">
        <v>23606</v>
      </c>
      <c r="F51" s="42">
        <v>51101</v>
      </c>
      <c r="G51" s="42">
        <v>19507</v>
      </c>
      <c r="H51" s="42">
        <v>75790</v>
      </c>
      <c r="I51" s="2"/>
      <c r="J51" s="2"/>
      <c r="K51" s="47" t="s">
        <v>186</v>
      </c>
      <c r="L51" s="42">
        <f>IFERROR(
ROUND(
IF($A$2="COSTO",
   ((B51*(1+IFERROR(VLOOKUP($D$2,COLORES[],2,FALSE),0)))+C51)
   *(1-SUMPRODUCT(
        (DESC_PROV[LINEA]=$B$2)*
        (DESC_PROV[LISTA]=$C$2)*
        (DESC_PROV[DESCUENTO])
   )),
   ((B51*(1+IFERROR(VLOOKUP($D$2,COLORES[],2,FALSE),0)))+C51)
   *(1-SUMPRODUCT(
        (DESC_PROV[LINEA]=$B$2)*
        (DESC_PROV[LISTA]=$C$2)*
        (DESC_PROV[DESCUENTO])
   ))
   *(1+VLOOKUP($C$2,LISTAS[],2,FALSE))
   *(1+VLOOKUP($C$2,LISTAS[],3,FALSE))
)
/5,0)*5,0)</f>
        <v>79330</v>
      </c>
      <c r="M51" s="42">
        <f>IFERROR(
ROUND(
IF($A$2="COSTO",
   ((B51*(1+IFERROR(VLOOKUP($D$2,COLORES[],2,FALSE),0)))+D51)
   *(1-SUMPRODUCT(
        (DESC_PROV[LINEA]=$B$2)*
        (DESC_PROV[LISTA]=$C$2)*
        (DESC_PROV[DESCUENTO])
   )),
   ((B51*(1+IFERROR(VLOOKUP($D$2,COLORES[],2,FALSE),0)))+D51)
   *(1-SUMPRODUCT(
        (DESC_PROV[LINEA]=$B$2)*
        (DESC_PROV[LISTA]=$C$2)*
        (DESC_PROV[DESCUENTO])
   ))
   *(1+VLOOKUP($C$2,LISTAS[],2,FALSE))
   *(1+VLOOKUP($C$2,LISTAS[],3,FALSE))
)
/5,0)*5,0)</f>
        <v>83100</v>
      </c>
      <c r="N51" s="42">
        <f>IFERROR(
ROUND(
IF($A$2="COSTO",
   ((B51*(1+IFERROR(VLOOKUP($D$2,COLORES[],2,FALSE),0)))+E51)
   *(1-SUMPRODUCT(
        (DESC_PROV[LINEA]=$B$2)*
        (DESC_PROV[LISTA]=$C$2)*
        (DESC_PROV[DESCUENTO])
   )),
   ((B51*(1+IFERROR(VLOOKUP($D$2,COLORES[],2,FALSE),0)))+E51)
   *(1-SUMPRODUCT(
        (DESC_PROV[LINEA]=$B$2)*
        (DESC_PROV[LISTA]=$C$2)*
        (DESC_PROV[DESCUENTO])
   ))
   *(1+VLOOKUP($C$2,LISTAS[],2,FALSE))
   *(1+VLOOKUP($C$2,LISTAS[],3,FALSE))
)
/5,0)*5,0)</f>
        <v>90375</v>
      </c>
      <c r="O51" s="42">
        <f>IFERROR(
ROUND(
IF($A$2="COSTO",
   ((B51*(1+IFERROR(VLOOKUP($D$2,COLORES[],2,FALSE),0)))+F51)
   *(1-SUMPRODUCT(
        (DESC_PROV[LINEA]=$B$2)*
        (DESC_PROV[LISTA]=$C$2)*
        (DESC_PROV[DESCUENTO])
   )),
   ((B51*(1+IFERROR(VLOOKUP($D$2,COLORES[],2,FALSE),0)))+F51)
   *(1-SUMPRODUCT(
        (DESC_PROV[LINEA]=$B$2)*
        (DESC_PROV[LISTA]=$C$2)*
        (DESC_PROV[DESCUENTO])
   ))
   *(1+VLOOKUP($C$2,LISTAS[],2,FALSE))
   *(1+VLOOKUP($C$2,LISTAS[],3,FALSE))
)
/5,0)*5,0)</f>
        <v>124475</v>
      </c>
      <c r="P51" s="42">
        <f>IFERROR(
ROUND(
IF($A$2="COSTO",
   ((B51*(1+IFERROR(VLOOKUP($D$2,COLORES[],2,FALSE),0)))+G51)
   *(1-SUMPRODUCT(
        (DESC_PROV[LINEA]=$B$2)*
        (DESC_PROV[LISTA]=$C$2)*
        (DESC_PROV[DESCUENTO])
   )),
   ((B51*(1+IFERROR(VLOOKUP($D$2,COLORES[],2,FALSE),0)))+G51)
   *(1-SUMPRODUCT(
        (DESC_PROV[LINEA]=$B$2)*
        (DESC_PROV[LISTA]=$C$2)*
        (DESC_PROV[DESCUENTO])
   ))
   *(1+VLOOKUP($C$2,LISTAS[],2,FALSE))
   *(1+VLOOKUP($C$2,LISTAS[],3,FALSE))
)
/5,0)*5,0)</f>
        <v>85290</v>
      </c>
      <c r="Q51" s="43">
        <f>IFERROR(
ROUND(
IF($A$2="COSTO",
   ((B51*(1+IFERROR(VLOOKUP($D$2,COLORES[],2,FALSE),0)))+H51)
   *(1-SUMPRODUCT(
        (DESC_PROV[LINEA]=$B$2)*
        (DESC_PROV[LISTA]=$C$2)*
        (DESC_PROV[DESCUENTO])
   )),
   ((B51*(1+IFERROR(VLOOKUP($D$2,COLORES[],2,FALSE),0)))+H51)
   *(1-SUMPRODUCT(
        (DESC_PROV[LINEA]=$B$2)*
        (DESC_PROV[LISTA]=$C$2)*
        (DESC_PROV[DESCUENTO])
   ))
   *(1+VLOOKUP($C$2,LISTAS[],2,FALSE))
   *(1+VLOOKUP($C$2,LISTAS[],3,FALSE))
)
/5,0)*5,0)</f>
        <v>155095</v>
      </c>
    </row>
    <row r="52" spans="1:17">
      <c r="A52" s="47" t="s">
        <v>187</v>
      </c>
      <c r="B52" s="42">
        <v>51360</v>
      </c>
      <c r="C52" s="42">
        <v>17136</v>
      </c>
      <c r="D52" s="42">
        <v>20688</v>
      </c>
      <c r="E52" s="42">
        <v>27562</v>
      </c>
      <c r="F52" s="42">
        <v>59606</v>
      </c>
      <c r="G52" s="42">
        <v>22733</v>
      </c>
      <c r="H52" s="42">
        <v>88381</v>
      </c>
      <c r="I52" s="2"/>
      <c r="J52" s="2"/>
      <c r="K52" s="47" t="s">
        <v>187</v>
      </c>
      <c r="L52" s="42">
        <f>IFERROR(
ROUND(
IF($A$2="COSTO",
   ((B52*(1+IFERROR(VLOOKUP($D$2,COLORES[],2,FALSE),0)))+C52)
   *(1-SUMPRODUCT(
        (DESC_PROV[LINEA]=$B$2)*
        (DESC_PROV[LISTA]=$C$2)*
        (DESC_PROV[DESCUENTO])
   )),
   ((B52*(1+IFERROR(VLOOKUP($D$2,COLORES[],2,FALSE),0)))+C52)
   *(1-SUMPRODUCT(
        (DESC_PROV[LINEA]=$B$2)*
        (DESC_PROV[LISTA]=$C$2)*
        (DESC_PROV[DESCUENTO])
   ))
   *(1+VLOOKUP($C$2,LISTAS[],2,FALSE))
   *(1+VLOOKUP($C$2,LISTAS[],3,FALSE))
)
/5,0)*5,0)</f>
        <v>84950</v>
      </c>
      <c r="M52" s="42">
        <f>IFERROR(
ROUND(
IF($A$2="COSTO",
   ((B52*(1+IFERROR(VLOOKUP($D$2,COLORES[],2,FALSE),0)))+D52)
   *(1-SUMPRODUCT(
        (DESC_PROV[LINEA]=$B$2)*
        (DESC_PROV[LISTA]=$C$2)*
        (DESC_PROV[DESCUENTO])
   )),
   ((B52*(1+IFERROR(VLOOKUP($D$2,COLORES[],2,FALSE),0)))+D52)
   *(1-SUMPRODUCT(
        (DESC_PROV[LINEA]=$B$2)*
        (DESC_PROV[LISTA]=$C$2)*
        (DESC_PROV[DESCUENTO])
   ))
   *(1+VLOOKUP($C$2,LISTAS[],2,FALSE))
   *(1+VLOOKUP($C$2,LISTAS[],3,FALSE))
)
/5,0)*5,0)</f>
        <v>89355</v>
      </c>
      <c r="N52" s="42">
        <f>IFERROR(
ROUND(
IF($A$2="COSTO",
   ((B52*(1+IFERROR(VLOOKUP($D$2,COLORES[],2,FALSE),0)))+E52)
   *(1-SUMPRODUCT(
        (DESC_PROV[LINEA]=$B$2)*
        (DESC_PROV[LISTA]=$C$2)*
        (DESC_PROV[DESCUENTO])
   )),
   ((B52*(1+IFERROR(VLOOKUP($D$2,COLORES[],2,FALSE),0)))+E52)
   *(1-SUMPRODUCT(
        (DESC_PROV[LINEA]=$B$2)*
        (DESC_PROV[LISTA]=$C$2)*
        (DESC_PROV[DESCUENTO])
   ))
   *(1+VLOOKUP($C$2,LISTAS[],2,FALSE))
   *(1+VLOOKUP($C$2,LISTAS[],3,FALSE))
)
/5,0)*5,0)</f>
        <v>97880</v>
      </c>
      <c r="O52" s="42">
        <f>IFERROR(
ROUND(
IF($A$2="COSTO",
   ((B52*(1+IFERROR(VLOOKUP($D$2,COLORES[],2,FALSE),0)))+F52)
   *(1-SUMPRODUCT(
        (DESC_PROV[LINEA]=$B$2)*
        (DESC_PROV[LISTA]=$C$2)*
        (DESC_PROV[DESCUENTO])
   )),
   ((B52*(1+IFERROR(VLOOKUP($D$2,COLORES[],2,FALSE),0)))+F52)
   *(1-SUMPRODUCT(
        (DESC_PROV[LINEA]=$B$2)*
        (DESC_PROV[LISTA]=$C$2)*
        (DESC_PROV[DESCUENTO])
   ))
   *(1+VLOOKUP($C$2,LISTAS[],2,FALSE))
   *(1+VLOOKUP($C$2,LISTAS[],3,FALSE))
)
/5,0)*5,0)</f>
        <v>137620</v>
      </c>
      <c r="P52" s="42">
        <f>IFERROR(
ROUND(
IF($A$2="COSTO",
   ((B52*(1+IFERROR(VLOOKUP($D$2,COLORES[],2,FALSE),0)))+G52)
   *(1-SUMPRODUCT(
        (DESC_PROV[LINEA]=$B$2)*
        (DESC_PROV[LISTA]=$C$2)*
        (DESC_PROV[DESCUENTO])
   )),
   ((B52*(1+IFERROR(VLOOKUP($D$2,COLORES[],2,FALSE),0)))+G52)
   *(1-SUMPRODUCT(
        (DESC_PROV[LINEA]=$B$2)*
        (DESC_PROV[LISTA]=$C$2)*
        (DESC_PROV[DESCUENTO])
   ))
   *(1+VLOOKUP($C$2,LISTAS[],2,FALSE))
   *(1+VLOOKUP($C$2,LISTAS[],3,FALSE))
)
/5,0)*5,0)</f>
        <v>91890</v>
      </c>
      <c r="Q52" s="43">
        <f>IFERROR(
ROUND(
IF($A$2="COSTO",
   ((B52*(1+IFERROR(VLOOKUP($D$2,COLORES[],2,FALSE),0)))+H52)
   *(1-SUMPRODUCT(
        (DESC_PROV[LINEA]=$B$2)*
        (DESC_PROV[LISTA]=$C$2)*
        (DESC_PROV[DESCUENTO])
   )),
   ((B52*(1+IFERROR(VLOOKUP($D$2,COLORES[],2,FALSE),0)))+H52)
   *(1-SUMPRODUCT(
        (DESC_PROV[LINEA]=$B$2)*
        (DESC_PROV[LISTA]=$C$2)*
        (DESC_PROV[DESCUENTO])
   ))
   *(1+VLOOKUP($C$2,LISTAS[],2,FALSE))
   *(1+VLOOKUP($C$2,LISTAS[],3,FALSE))
)
/5,0)*5,0)</f>
        <v>173305</v>
      </c>
    </row>
    <row r="53" spans="1:17">
      <c r="A53" s="47" t="s">
        <v>188</v>
      </c>
      <c r="B53" s="42">
        <v>53460</v>
      </c>
      <c r="C53" s="42">
        <v>19594</v>
      </c>
      <c r="D53" s="42">
        <v>23635</v>
      </c>
      <c r="E53" s="42">
        <v>31507</v>
      </c>
      <c r="F53" s="42">
        <v>68112</v>
      </c>
      <c r="G53" s="42">
        <v>25958</v>
      </c>
      <c r="H53" s="42">
        <v>100973</v>
      </c>
      <c r="I53" s="2"/>
      <c r="J53" s="2"/>
      <c r="K53" s="47" t="s">
        <v>188</v>
      </c>
      <c r="L53" s="42">
        <f>IFERROR(
ROUND(
IF($A$2="COSTO",
   ((B53*(1+IFERROR(VLOOKUP($D$2,COLORES[],2,FALSE),0)))+C53)
   *(1-SUMPRODUCT(
        (DESC_PROV[LINEA]=$B$2)*
        (DESC_PROV[LISTA]=$C$2)*
        (DESC_PROV[DESCUENTO])
   )),
   ((B53*(1+IFERROR(VLOOKUP($D$2,COLORES[],2,FALSE),0)))+C53)
   *(1-SUMPRODUCT(
        (DESC_PROV[LINEA]=$B$2)*
        (DESC_PROV[LISTA]=$C$2)*
        (DESC_PROV[DESCUENTO])
   ))
   *(1+VLOOKUP($C$2,LISTAS[],2,FALSE))
   *(1+VLOOKUP($C$2,LISTAS[],3,FALSE))
)
/5,0)*5,0)</f>
        <v>90600</v>
      </c>
      <c r="M53" s="42">
        <f>IFERROR(
ROUND(
IF($A$2="COSTO",
   ((B53*(1+IFERROR(VLOOKUP($D$2,COLORES[],2,FALSE),0)))+D53)
   *(1-SUMPRODUCT(
        (DESC_PROV[LINEA]=$B$2)*
        (DESC_PROV[LISTA]=$C$2)*
        (DESC_PROV[DESCUENTO])
   )),
   ((B53*(1+IFERROR(VLOOKUP($D$2,COLORES[],2,FALSE),0)))+D53)
   *(1-SUMPRODUCT(
        (DESC_PROV[LINEA]=$B$2)*
        (DESC_PROV[LISTA]=$C$2)*
        (DESC_PROV[DESCUENTO])
   ))
   *(1+VLOOKUP($C$2,LISTAS[],2,FALSE))
   *(1+VLOOKUP($C$2,LISTAS[],3,FALSE))
)
/5,0)*5,0)</f>
        <v>95615</v>
      </c>
      <c r="N53" s="42">
        <f>IFERROR(
ROUND(
IF($A$2="COSTO",
   ((B53*(1+IFERROR(VLOOKUP($D$2,COLORES[],2,FALSE),0)))+E53)
   *(1-SUMPRODUCT(
        (DESC_PROV[LINEA]=$B$2)*
        (DESC_PROV[LISTA]=$C$2)*
        (DESC_PROV[DESCUENTO])
   )),
   ((B53*(1+IFERROR(VLOOKUP($D$2,COLORES[],2,FALSE),0)))+E53)
   *(1-SUMPRODUCT(
        (DESC_PROV[LINEA]=$B$2)*
        (DESC_PROV[LISTA]=$C$2)*
        (DESC_PROV[DESCUENTO])
   ))
   *(1+VLOOKUP($C$2,LISTAS[],2,FALSE))
   *(1+VLOOKUP($C$2,LISTAS[],3,FALSE))
)
/5,0)*5,0)</f>
        <v>105375</v>
      </c>
      <c r="O53" s="42">
        <f>IFERROR(
ROUND(
IF($A$2="COSTO",
   ((B53*(1+IFERROR(VLOOKUP($D$2,COLORES[],2,FALSE),0)))+F53)
   *(1-SUMPRODUCT(
        (DESC_PROV[LINEA]=$B$2)*
        (DESC_PROV[LISTA]=$C$2)*
        (DESC_PROV[DESCUENTO])
   )),
   ((B53*(1+IFERROR(VLOOKUP($D$2,COLORES[],2,FALSE),0)))+F53)
   *(1-SUMPRODUCT(
        (DESC_PROV[LINEA]=$B$2)*
        (DESC_PROV[LISTA]=$C$2)*
        (DESC_PROV[DESCUENTO])
   ))
   *(1+VLOOKUP($C$2,LISTAS[],2,FALSE))
   *(1+VLOOKUP($C$2,LISTAS[],3,FALSE))
)
/5,0)*5,0)</f>
        <v>150775</v>
      </c>
      <c r="P53" s="42">
        <f>IFERROR(
ROUND(
IF($A$2="COSTO",
   ((B53*(1+IFERROR(VLOOKUP($D$2,COLORES[],2,FALSE),0)))+G53)
   *(1-SUMPRODUCT(
        (DESC_PROV[LINEA]=$B$2)*
        (DESC_PROV[LISTA]=$C$2)*
        (DESC_PROV[DESCUENTO])
   )),
   ((B53*(1+IFERROR(VLOOKUP($D$2,COLORES[],2,FALSE),0)))+G53)
   *(1-SUMPRODUCT(
        (DESC_PROV[LINEA]=$B$2)*
        (DESC_PROV[LISTA]=$C$2)*
        (DESC_PROV[DESCUENTO])
   ))
   *(1+VLOOKUP($C$2,LISTAS[],2,FALSE))
   *(1+VLOOKUP($C$2,LISTAS[],3,FALSE))
)
/5,0)*5,0)</f>
        <v>98495</v>
      </c>
      <c r="Q53" s="43">
        <f>IFERROR(
ROUND(
IF($A$2="COSTO",
   ((B53*(1+IFERROR(VLOOKUP($D$2,COLORES[],2,FALSE),0)))+H53)
   *(1-SUMPRODUCT(
        (DESC_PROV[LINEA]=$B$2)*
        (DESC_PROV[LISTA]=$C$2)*
        (DESC_PROV[DESCUENTO])
   )),
   ((B53*(1+IFERROR(VLOOKUP($D$2,COLORES[],2,FALSE),0)))+H53)
   *(1-SUMPRODUCT(
        (DESC_PROV[LINEA]=$B$2)*
        (DESC_PROV[LISTA]=$C$2)*
        (DESC_PROV[DESCUENTO])
   ))
   *(1+VLOOKUP($C$2,LISTAS[],2,FALSE))
   *(1+VLOOKUP($C$2,LISTAS[],3,FALSE))
)
/5,0)*5,0)</f>
        <v>191530</v>
      </c>
    </row>
    <row r="54" spans="1:17">
      <c r="A54" s="47" t="s">
        <v>15</v>
      </c>
      <c r="B54" s="42">
        <v>55555</v>
      </c>
      <c r="C54" s="42">
        <v>22051</v>
      </c>
      <c r="D54" s="42">
        <v>26083</v>
      </c>
      <c r="E54" s="42">
        <v>35453</v>
      </c>
      <c r="F54" s="42">
        <v>76109</v>
      </c>
      <c r="G54" s="42">
        <v>29184</v>
      </c>
      <c r="H54" s="42">
        <v>113564</v>
      </c>
      <c r="I54" s="2"/>
      <c r="J54" s="2"/>
      <c r="K54" s="47" t="s">
        <v>15</v>
      </c>
      <c r="L54" s="42">
        <f>IFERROR(
ROUND(
IF($A$2="COSTO",
   ((B54*(1+IFERROR(VLOOKUP($D$2,COLORES[],2,FALSE),0)))+C54)
   *(1-SUMPRODUCT(
        (DESC_PROV[LINEA]=$B$2)*
        (DESC_PROV[LISTA]=$C$2)*
        (DESC_PROV[DESCUENTO])
   )),
   ((B54*(1+IFERROR(VLOOKUP($D$2,COLORES[],2,FALSE),0)))+C54)
   *(1-SUMPRODUCT(
        (DESC_PROV[LINEA]=$B$2)*
        (DESC_PROV[LISTA]=$C$2)*
        (DESC_PROV[DESCUENTO])
   ))
   *(1+VLOOKUP($C$2,LISTAS[],2,FALSE))
   *(1+VLOOKUP($C$2,LISTAS[],3,FALSE))
)
/5,0)*5,0)</f>
        <v>96245</v>
      </c>
      <c r="M54" s="42">
        <f>IFERROR(
ROUND(
IF($A$2="COSTO",
   ((B54*(1+IFERROR(VLOOKUP($D$2,COLORES[],2,FALSE),0)))+D54)
   *(1-SUMPRODUCT(
        (DESC_PROV[LINEA]=$B$2)*
        (DESC_PROV[LISTA]=$C$2)*
        (DESC_PROV[DESCUENTO])
   )),
   ((B54*(1+IFERROR(VLOOKUP($D$2,COLORES[],2,FALSE),0)))+D54)
   *(1-SUMPRODUCT(
        (DESC_PROV[LINEA]=$B$2)*
        (DESC_PROV[LISTA]=$C$2)*
        (DESC_PROV[DESCUENTO])
   ))
   *(1+VLOOKUP($C$2,LISTAS[],2,FALSE))
   *(1+VLOOKUP($C$2,LISTAS[],3,FALSE))
)
/5,0)*5,0)</f>
        <v>101245</v>
      </c>
      <c r="N54" s="42">
        <f>IFERROR(
ROUND(
IF($A$2="COSTO",
   ((B54*(1+IFERROR(VLOOKUP($D$2,COLORES[],2,FALSE),0)))+E54)
   *(1-SUMPRODUCT(
        (DESC_PROV[LINEA]=$B$2)*
        (DESC_PROV[LISTA]=$C$2)*
        (DESC_PROV[DESCUENTO])
   )),
   ((B54*(1+IFERROR(VLOOKUP($D$2,COLORES[],2,FALSE),0)))+E54)
   *(1-SUMPRODUCT(
        (DESC_PROV[LINEA]=$B$2)*
        (DESC_PROV[LISTA]=$C$2)*
        (DESC_PROV[DESCUENTO])
   ))
   *(1+VLOOKUP($C$2,LISTAS[],2,FALSE))
   *(1+VLOOKUP($C$2,LISTAS[],3,FALSE))
)
/5,0)*5,0)</f>
        <v>112870</v>
      </c>
      <c r="O54" s="42">
        <f>IFERROR(
ROUND(
IF($A$2="COSTO",
   ((B54*(1+IFERROR(VLOOKUP($D$2,COLORES[],2,FALSE),0)))+F54)
   *(1-SUMPRODUCT(
        (DESC_PROV[LINEA]=$B$2)*
        (DESC_PROV[LISTA]=$C$2)*
        (DESC_PROV[DESCUENTO])
   )),
   ((B54*(1+IFERROR(VLOOKUP($D$2,COLORES[],2,FALSE),0)))+F54)
   *(1-SUMPRODUCT(
        (DESC_PROV[LINEA]=$B$2)*
        (DESC_PROV[LISTA]=$C$2)*
        (DESC_PROV[DESCUENTO])
   ))
   *(1+VLOOKUP($C$2,LISTAS[],2,FALSE))
   *(1+VLOOKUP($C$2,LISTAS[],3,FALSE))
)
/5,0)*5,0)</f>
        <v>163290</v>
      </c>
      <c r="P54" s="42">
        <f>IFERROR(
ROUND(
IF($A$2="COSTO",
   ((B54*(1+IFERROR(VLOOKUP($D$2,COLORES[],2,FALSE),0)))+G54)
   *(1-SUMPRODUCT(
        (DESC_PROV[LINEA]=$B$2)*
        (DESC_PROV[LISTA]=$C$2)*
        (DESC_PROV[DESCUENTO])
   )),
   ((B54*(1+IFERROR(VLOOKUP($D$2,COLORES[],2,FALSE),0)))+G54)
   *(1-SUMPRODUCT(
        (DESC_PROV[LINEA]=$B$2)*
        (DESC_PROV[LISTA]=$C$2)*
        (DESC_PROV[DESCUENTO])
   ))
   *(1+VLOOKUP($C$2,LISTAS[],2,FALSE))
   *(1+VLOOKUP($C$2,LISTAS[],3,FALSE))
)
/5,0)*5,0)</f>
        <v>105095</v>
      </c>
      <c r="Q54" s="43">
        <f>IFERROR(
ROUND(
IF($A$2="COSTO",
   ((B54*(1+IFERROR(VLOOKUP($D$2,COLORES[],2,FALSE),0)))+H54)
   *(1-SUMPRODUCT(
        (DESC_PROV[LINEA]=$B$2)*
        (DESC_PROV[LISTA]=$C$2)*
        (DESC_PROV[DESCUENTO])
   )),
   ((B54*(1+IFERROR(VLOOKUP($D$2,COLORES[],2,FALSE),0)))+H54)
   *(1-SUMPRODUCT(
        (DESC_PROV[LINEA]=$B$2)*
        (DESC_PROV[LISTA]=$C$2)*
        (DESC_PROV[DESCUENTO])
   ))
   *(1+VLOOKUP($C$2,LISTAS[],2,FALSE))
   *(1+VLOOKUP($C$2,LISTAS[],3,FALSE))
)
/5,0)*5,0)</f>
        <v>209740</v>
      </c>
    </row>
    <row r="55" spans="1:17">
      <c r="A55" s="47" t="s">
        <v>189</v>
      </c>
      <c r="B55" s="42">
        <v>45077</v>
      </c>
      <c r="C55" s="42">
        <v>8160</v>
      </c>
      <c r="D55" s="42">
        <v>9888</v>
      </c>
      <c r="E55" s="42">
        <v>13056</v>
      </c>
      <c r="F55" s="42">
        <v>28186</v>
      </c>
      <c r="G55" s="42">
        <v>10886</v>
      </c>
      <c r="H55" s="42">
        <v>42175</v>
      </c>
      <c r="I55" s="2"/>
      <c r="J55" s="2"/>
      <c r="K55" s="47" t="s">
        <v>189</v>
      </c>
      <c r="L55" s="42">
        <f>IFERROR(
ROUND(
IF($A$2="COSTO",
   ((B55*(1+IFERROR(VLOOKUP($D$2,COLORES[],2,FALSE),0)))+C55)
   *(1-SUMPRODUCT(
        (DESC_PROV[LINEA]=$B$2)*
        (DESC_PROV[LISTA]=$C$2)*
        (DESC_PROV[DESCUENTO])
   )),
   ((B55*(1+IFERROR(VLOOKUP($D$2,COLORES[],2,FALSE),0)))+C55)
   *(1-SUMPRODUCT(
        (DESC_PROV[LINEA]=$B$2)*
        (DESC_PROV[LISTA]=$C$2)*
        (DESC_PROV[DESCUENTO])
   ))
   *(1+VLOOKUP($C$2,LISTAS[],2,FALSE))
   *(1+VLOOKUP($C$2,LISTAS[],3,FALSE))
)
/5,0)*5,0)</f>
        <v>66025</v>
      </c>
      <c r="M55" s="42">
        <f>IFERROR(
ROUND(
IF($A$2="COSTO",
   ((B55*(1+IFERROR(VLOOKUP($D$2,COLORES[],2,FALSE),0)))+D55)
   *(1-SUMPRODUCT(
        (DESC_PROV[LINEA]=$B$2)*
        (DESC_PROV[LISTA]=$C$2)*
        (DESC_PROV[DESCUENTO])
   )),
   ((B55*(1+IFERROR(VLOOKUP($D$2,COLORES[],2,FALSE),0)))+D55)
   *(1-SUMPRODUCT(
        (DESC_PROV[LINEA]=$B$2)*
        (DESC_PROV[LISTA]=$C$2)*
        (DESC_PROV[DESCUENTO])
   ))
   *(1+VLOOKUP($C$2,LISTAS[],2,FALSE))
   *(1+VLOOKUP($C$2,LISTAS[],3,FALSE))
)
/5,0)*5,0)</f>
        <v>68170</v>
      </c>
      <c r="N55" s="42">
        <f>IFERROR(
ROUND(
IF($A$2="COSTO",
   ((B55*(1+IFERROR(VLOOKUP($D$2,COLORES[],2,FALSE),0)))+E55)
   *(1-SUMPRODUCT(
        (DESC_PROV[LINEA]=$B$2)*
        (DESC_PROV[LISTA]=$C$2)*
        (DESC_PROV[DESCUENTO])
   )),
   ((B55*(1+IFERROR(VLOOKUP($D$2,COLORES[],2,FALSE),0)))+E55)
   *(1-SUMPRODUCT(
        (DESC_PROV[LINEA]=$B$2)*
        (DESC_PROV[LISTA]=$C$2)*
        (DESC_PROV[DESCUENTO])
   ))
   *(1+VLOOKUP($C$2,LISTAS[],2,FALSE))
   *(1+VLOOKUP($C$2,LISTAS[],3,FALSE))
)
/5,0)*5,0)</f>
        <v>72095</v>
      </c>
      <c r="O55" s="42">
        <f>IFERROR(
ROUND(
IF($A$2="COSTO",
   ((B55*(1+IFERROR(VLOOKUP($D$2,COLORES[],2,FALSE),0)))+F55)
   *(1-SUMPRODUCT(
        (DESC_PROV[LINEA]=$B$2)*
        (DESC_PROV[LISTA]=$C$2)*
        (DESC_PROV[DESCUENTO])
   )),
   ((B55*(1+IFERROR(VLOOKUP($D$2,COLORES[],2,FALSE),0)))+F55)
   *(1-SUMPRODUCT(
        (DESC_PROV[LINEA]=$B$2)*
        (DESC_PROV[LISTA]=$C$2)*
        (DESC_PROV[DESCUENTO])
   ))
   *(1+VLOOKUP($C$2,LISTAS[],2,FALSE))
   *(1+VLOOKUP($C$2,LISTAS[],3,FALSE))
)
/5,0)*5,0)</f>
        <v>90860</v>
      </c>
      <c r="P55" s="42">
        <f>IFERROR(
ROUND(
IF($A$2="COSTO",
   ((B55*(1+IFERROR(VLOOKUP($D$2,COLORES[],2,FALSE),0)))+G55)
   *(1-SUMPRODUCT(
        (DESC_PROV[LINEA]=$B$2)*
        (DESC_PROV[LISTA]=$C$2)*
        (DESC_PROV[DESCUENTO])
   )),
   ((B55*(1+IFERROR(VLOOKUP($D$2,COLORES[],2,FALSE),0)))+G55)
   *(1-SUMPRODUCT(
        (DESC_PROV[LINEA]=$B$2)*
        (DESC_PROV[LISTA]=$C$2)*
        (DESC_PROV[DESCUENTO])
   ))
   *(1+VLOOKUP($C$2,LISTAS[],2,FALSE))
   *(1+VLOOKUP($C$2,LISTAS[],3,FALSE))
)
/5,0)*5,0)</f>
        <v>69405</v>
      </c>
      <c r="Q55" s="43">
        <f>IFERROR(
ROUND(
IF($A$2="COSTO",
   ((B55*(1+IFERROR(VLOOKUP($D$2,COLORES[],2,FALSE),0)))+H55)
   *(1-SUMPRODUCT(
        (DESC_PROV[LINEA]=$B$2)*
        (DESC_PROV[LISTA]=$C$2)*
        (DESC_PROV[DESCUENTO])
   )),
   ((B55*(1+IFERROR(VLOOKUP($D$2,COLORES[],2,FALSE),0)))+H55)
   *(1-SUMPRODUCT(
        (DESC_PROV[LINEA]=$B$2)*
        (DESC_PROV[LISTA]=$C$2)*
        (DESC_PROV[DESCUENTO])
   ))
   *(1+VLOOKUP($C$2,LISTAS[],2,FALSE))
   *(1+VLOOKUP($C$2,LISTAS[],3,FALSE))
)
/5,0)*5,0)</f>
        <v>108210</v>
      </c>
    </row>
    <row r="56" spans="1:17">
      <c r="A56" s="47" t="s">
        <v>190</v>
      </c>
      <c r="B56" s="42">
        <v>47172</v>
      </c>
      <c r="C56" s="42">
        <v>10886</v>
      </c>
      <c r="D56" s="42">
        <v>13181</v>
      </c>
      <c r="E56" s="42">
        <v>17405</v>
      </c>
      <c r="F56" s="42">
        <v>37584</v>
      </c>
      <c r="G56" s="42">
        <v>14515</v>
      </c>
      <c r="H56" s="42">
        <v>56241</v>
      </c>
      <c r="I56" s="2"/>
      <c r="J56" s="2"/>
      <c r="K56" s="47" t="s">
        <v>190</v>
      </c>
      <c r="L56" s="42">
        <f>IFERROR(
ROUND(
IF($A$2="COSTO",
   ((B56*(1+IFERROR(VLOOKUP($D$2,COLORES[],2,FALSE),0)))+C56)
   *(1-SUMPRODUCT(
        (DESC_PROV[LINEA]=$B$2)*
        (DESC_PROV[LISTA]=$C$2)*
        (DESC_PROV[DESCUENTO])
   )),
   ((B56*(1+IFERROR(VLOOKUP($D$2,COLORES[],2,FALSE),0)))+C56)
   *(1-SUMPRODUCT(
        (DESC_PROV[LINEA]=$B$2)*
        (DESC_PROV[LISTA]=$C$2)*
        (DESC_PROV[DESCUENTO])
   ))
   *(1+VLOOKUP($C$2,LISTAS[],2,FALSE))
   *(1+VLOOKUP($C$2,LISTAS[],3,FALSE))
)
/5,0)*5,0)</f>
        <v>72005</v>
      </c>
      <c r="M56" s="42">
        <f>IFERROR(
ROUND(
IF($A$2="COSTO",
   ((B56*(1+IFERROR(VLOOKUP($D$2,COLORES[],2,FALSE),0)))+D56)
   *(1-SUMPRODUCT(
        (DESC_PROV[LINEA]=$B$2)*
        (DESC_PROV[LISTA]=$C$2)*
        (DESC_PROV[DESCUENTO])
   )),
   ((B56*(1+IFERROR(VLOOKUP($D$2,COLORES[],2,FALSE),0)))+D56)
   *(1-SUMPRODUCT(
        (DESC_PROV[LINEA]=$B$2)*
        (DESC_PROV[LISTA]=$C$2)*
        (DESC_PROV[DESCUENTO])
   ))
   *(1+VLOOKUP($C$2,LISTAS[],2,FALSE))
   *(1+VLOOKUP($C$2,LISTAS[],3,FALSE))
)
/5,0)*5,0)</f>
        <v>74850</v>
      </c>
      <c r="N56" s="42">
        <f>IFERROR(
ROUND(
IF($A$2="COSTO",
   ((B56*(1+IFERROR(VLOOKUP($D$2,COLORES[],2,FALSE),0)))+E56)
   *(1-SUMPRODUCT(
        (DESC_PROV[LINEA]=$B$2)*
        (DESC_PROV[LISTA]=$C$2)*
        (DESC_PROV[DESCUENTO])
   )),
   ((B56*(1+IFERROR(VLOOKUP($D$2,COLORES[],2,FALSE),0)))+E56)
   *(1-SUMPRODUCT(
        (DESC_PROV[LINEA]=$B$2)*
        (DESC_PROV[LISTA]=$C$2)*
        (DESC_PROV[DESCUENTO])
   ))
   *(1+VLOOKUP($C$2,LISTAS[],2,FALSE))
   *(1+VLOOKUP($C$2,LISTAS[],3,FALSE))
)
/5,0)*5,0)</f>
        <v>80090</v>
      </c>
      <c r="O56" s="42">
        <f>IFERROR(
ROUND(
IF($A$2="COSTO",
   ((B56*(1+IFERROR(VLOOKUP($D$2,COLORES[],2,FALSE),0)))+F56)
   *(1-SUMPRODUCT(
        (DESC_PROV[LINEA]=$B$2)*
        (DESC_PROV[LISTA]=$C$2)*
        (DESC_PROV[DESCUENTO])
   )),
   ((B56*(1+IFERROR(VLOOKUP($D$2,COLORES[],2,FALSE),0)))+F56)
   *(1-SUMPRODUCT(
        (DESC_PROV[LINEA]=$B$2)*
        (DESC_PROV[LISTA]=$C$2)*
        (DESC_PROV[DESCUENTO])
   ))
   *(1+VLOOKUP($C$2,LISTAS[],2,FALSE))
   *(1+VLOOKUP($C$2,LISTAS[],3,FALSE))
)
/5,0)*5,0)</f>
        <v>105115</v>
      </c>
      <c r="P56" s="42">
        <f>IFERROR(
ROUND(
IF($A$2="COSTO",
   ((B56*(1+IFERROR(VLOOKUP($D$2,COLORES[],2,FALSE),0)))+G56)
   *(1-SUMPRODUCT(
        (DESC_PROV[LINEA]=$B$2)*
        (DESC_PROV[LISTA]=$C$2)*
        (DESC_PROV[DESCUENTO])
   )),
   ((B56*(1+IFERROR(VLOOKUP($D$2,COLORES[],2,FALSE),0)))+G56)
   *(1-SUMPRODUCT(
        (DESC_PROV[LINEA]=$B$2)*
        (DESC_PROV[LISTA]=$C$2)*
        (DESC_PROV[DESCUENTO])
   ))
   *(1+VLOOKUP($C$2,LISTAS[],2,FALSE))
   *(1+VLOOKUP($C$2,LISTAS[],3,FALSE))
)
/5,0)*5,0)</f>
        <v>76505</v>
      </c>
      <c r="Q56" s="43">
        <f>IFERROR(
ROUND(
IF($A$2="COSTO",
   ((B56*(1+IFERROR(VLOOKUP($D$2,COLORES[],2,FALSE),0)))+H56)
   *(1-SUMPRODUCT(
        (DESC_PROV[LINEA]=$B$2)*
        (DESC_PROV[LISTA]=$C$2)*
        (DESC_PROV[DESCUENTO])
   )),
   ((B56*(1+IFERROR(VLOOKUP($D$2,COLORES[],2,FALSE),0)))+H56)
   *(1-SUMPRODUCT(
        (DESC_PROV[LINEA]=$B$2)*
        (DESC_PROV[LISTA]=$C$2)*
        (DESC_PROV[DESCUENTO])
   ))
   *(1+VLOOKUP($C$2,LISTAS[],2,FALSE))
   *(1+VLOOKUP($C$2,LISTAS[],3,FALSE))
)
/5,0)*5,0)</f>
        <v>128255</v>
      </c>
    </row>
    <row r="57" spans="1:17">
      <c r="A57" s="47" t="s">
        <v>191</v>
      </c>
      <c r="B57" s="42">
        <v>49266</v>
      </c>
      <c r="C57" s="42">
        <v>13613</v>
      </c>
      <c r="D57" s="42">
        <v>16483</v>
      </c>
      <c r="E57" s="42">
        <v>21754</v>
      </c>
      <c r="F57" s="42">
        <v>46982</v>
      </c>
      <c r="G57" s="42">
        <v>18144</v>
      </c>
      <c r="H57" s="42">
        <v>70307</v>
      </c>
      <c r="I57" s="2"/>
      <c r="J57" s="2"/>
      <c r="K57" s="47" t="s">
        <v>191</v>
      </c>
      <c r="L57" s="42">
        <f>IFERROR(
ROUND(
IF($A$2="COSTO",
   ((B57*(1+IFERROR(VLOOKUP($D$2,COLORES[],2,FALSE),0)))+C57)
   *(1-SUMPRODUCT(
        (DESC_PROV[LINEA]=$B$2)*
        (DESC_PROV[LISTA]=$C$2)*
        (DESC_PROV[DESCUENTO])
   )),
   ((B57*(1+IFERROR(VLOOKUP($D$2,COLORES[],2,FALSE),0)))+C57)
   *(1-SUMPRODUCT(
        (DESC_PROV[LINEA]=$B$2)*
        (DESC_PROV[LISTA]=$C$2)*
        (DESC_PROV[DESCUENTO])
   ))
   *(1+VLOOKUP($C$2,LISTAS[],2,FALSE))
   *(1+VLOOKUP($C$2,LISTAS[],3,FALSE))
)
/5,0)*5,0)</f>
        <v>77985</v>
      </c>
      <c r="M57" s="42">
        <f>IFERROR(
ROUND(
IF($A$2="COSTO",
   ((B57*(1+IFERROR(VLOOKUP($D$2,COLORES[],2,FALSE),0)))+D57)
   *(1-SUMPRODUCT(
        (DESC_PROV[LINEA]=$B$2)*
        (DESC_PROV[LISTA]=$C$2)*
        (DESC_PROV[DESCUENTO])
   )),
   ((B57*(1+IFERROR(VLOOKUP($D$2,COLORES[],2,FALSE),0)))+D57)
   *(1-SUMPRODUCT(
        (DESC_PROV[LINEA]=$B$2)*
        (DESC_PROV[LISTA]=$C$2)*
        (DESC_PROV[DESCUENTO])
   ))
   *(1+VLOOKUP($C$2,LISTAS[],2,FALSE))
   *(1+VLOOKUP($C$2,LISTAS[],3,FALSE))
)
/5,0)*5,0)</f>
        <v>81540</v>
      </c>
      <c r="N57" s="42">
        <f>IFERROR(
ROUND(
IF($A$2="COSTO",
   ((B57*(1+IFERROR(VLOOKUP($D$2,COLORES[],2,FALSE),0)))+E57)
   *(1-SUMPRODUCT(
        (DESC_PROV[LINEA]=$B$2)*
        (DESC_PROV[LISTA]=$C$2)*
        (DESC_PROV[DESCUENTO])
   )),
   ((B57*(1+IFERROR(VLOOKUP($D$2,COLORES[],2,FALSE),0)))+E57)
   *(1-SUMPRODUCT(
        (DESC_PROV[LINEA]=$B$2)*
        (DESC_PROV[LISTA]=$C$2)*
        (DESC_PROV[DESCUENTO])
   ))
   *(1+VLOOKUP($C$2,LISTAS[],2,FALSE))
   *(1+VLOOKUP($C$2,LISTAS[],3,FALSE))
)
/5,0)*5,0)</f>
        <v>88080</v>
      </c>
      <c r="O57" s="42">
        <f>IFERROR(
ROUND(
IF($A$2="COSTO",
   ((B57*(1+IFERROR(VLOOKUP($D$2,COLORES[],2,FALSE),0)))+F57)
   *(1-SUMPRODUCT(
        (DESC_PROV[LINEA]=$B$2)*
        (DESC_PROV[LISTA]=$C$2)*
        (DESC_PROV[DESCUENTO])
   )),
   ((B57*(1+IFERROR(VLOOKUP($D$2,COLORES[],2,FALSE),0)))+F57)
   *(1-SUMPRODUCT(
        (DESC_PROV[LINEA]=$B$2)*
        (DESC_PROV[LISTA]=$C$2)*
        (DESC_PROV[DESCUENTO])
   ))
   *(1+VLOOKUP($C$2,LISTAS[],2,FALSE))
   *(1+VLOOKUP($C$2,LISTAS[],3,FALSE))
)
/5,0)*5,0)</f>
        <v>119365</v>
      </c>
      <c r="P57" s="42">
        <f>IFERROR(
ROUND(
IF($A$2="COSTO",
   ((B57*(1+IFERROR(VLOOKUP($D$2,COLORES[],2,FALSE),0)))+G57)
   *(1-SUMPRODUCT(
        (DESC_PROV[LINEA]=$B$2)*
        (DESC_PROV[LISTA]=$C$2)*
        (DESC_PROV[DESCUENTO])
   )),
   ((B57*(1+IFERROR(VLOOKUP($D$2,COLORES[],2,FALSE),0)))+G57)
   *(1-SUMPRODUCT(
        (DESC_PROV[LINEA]=$B$2)*
        (DESC_PROV[LISTA]=$C$2)*
        (DESC_PROV[DESCUENTO])
   ))
   *(1+VLOOKUP($C$2,LISTAS[],2,FALSE))
   *(1+VLOOKUP($C$2,LISTAS[],3,FALSE))
)
/5,0)*5,0)</f>
        <v>83600</v>
      </c>
      <c r="Q57" s="43">
        <f>IFERROR(
ROUND(
IF($A$2="COSTO",
   ((B57*(1+IFERROR(VLOOKUP($D$2,COLORES[],2,FALSE),0)))+H57)
   *(1-SUMPRODUCT(
        (DESC_PROV[LINEA]=$B$2)*
        (DESC_PROV[LISTA]=$C$2)*
        (DESC_PROV[DESCUENTO])
   )),
   ((B57*(1+IFERROR(VLOOKUP($D$2,COLORES[],2,FALSE),0)))+H57)
   *(1-SUMPRODUCT(
        (DESC_PROV[LINEA]=$B$2)*
        (DESC_PROV[LISTA]=$C$2)*
        (DESC_PROV[DESCUENTO])
   ))
   *(1+VLOOKUP($C$2,LISTAS[],2,FALSE))
   *(1+VLOOKUP($C$2,LISTAS[],3,FALSE))
)
/5,0)*5,0)</f>
        <v>148295</v>
      </c>
    </row>
    <row r="58" spans="1:17">
      <c r="A58" s="47" t="s">
        <v>192</v>
      </c>
      <c r="B58" s="42">
        <v>51360</v>
      </c>
      <c r="C58" s="42">
        <v>16339</v>
      </c>
      <c r="D58" s="42">
        <v>19776</v>
      </c>
      <c r="E58" s="42">
        <v>26102</v>
      </c>
      <c r="F58" s="42">
        <v>56381</v>
      </c>
      <c r="G58" s="42">
        <v>21773</v>
      </c>
      <c r="H58" s="42">
        <v>84372</v>
      </c>
      <c r="I58" s="2"/>
      <c r="J58" s="2"/>
      <c r="K58" s="47" t="s">
        <v>192</v>
      </c>
      <c r="L58" s="42">
        <f>IFERROR(
ROUND(
IF($A$2="COSTO",
   ((B58*(1+IFERROR(VLOOKUP($D$2,COLORES[],2,FALSE),0)))+C58)
   *(1-SUMPRODUCT(
        (DESC_PROV[LINEA]=$B$2)*
        (DESC_PROV[LISTA]=$C$2)*
        (DESC_PROV[DESCUENTO])
   )),
   ((B58*(1+IFERROR(VLOOKUP($D$2,COLORES[],2,FALSE),0)))+C58)
   *(1-SUMPRODUCT(
        (DESC_PROV[LINEA]=$B$2)*
        (DESC_PROV[LISTA]=$C$2)*
        (DESC_PROV[DESCUENTO])
   ))
   *(1+VLOOKUP($C$2,LISTAS[],2,FALSE))
   *(1+VLOOKUP($C$2,LISTAS[],3,FALSE))
)
/5,0)*5,0)</f>
        <v>83960</v>
      </c>
      <c r="M58" s="42">
        <f>IFERROR(
ROUND(
IF($A$2="COSTO",
   ((B58*(1+IFERROR(VLOOKUP($D$2,COLORES[],2,FALSE),0)))+D58)
   *(1-SUMPRODUCT(
        (DESC_PROV[LINEA]=$B$2)*
        (DESC_PROV[LISTA]=$C$2)*
        (DESC_PROV[DESCUENTO])
   )),
   ((B58*(1+IFERROR(VLOOKUP($D$2,COLORES[],2,FALSE),0)))+D58)
   *(1-SUMPRODUCT(
        (DESC_PROV[LINEA]=$B$2)*
        (DESC_PROV[LISTA]=$C$2)*
        (DESC_PROV[DESCUENTO])
   ))
   *(1+VLOOKUP($C$2,LISTAS[],2,FALSE))
   *(1+VLOOKUP($C$2,LISTAS[],3,FALSE))
)
/5,0)*5,0)</f>
        <v>88225</v>
      </c>
      <c r="N58" s="42">
        <f>IFERROR(
ROUND(
IF($A$2="COSTO",
   ((B58*(1+IFERROR(VLOOKUP($D$2,COLORES[],2,FALSE),0)))+E58)
   *(1-SUMPRODUCT(
        (DESC_PROV[LINEA]=$B$2)*
        (DESC_PROV[LISTA]=$C$2)*
        (DESC_PROV[DESCUENTO])
   )),
   ((B58*(1+IFERROR(VLOOKUP($D$2,COLORES[],2,FALSE),0)))+E58)
   *(1-SUMPRODUCT(
        (DESC_PROV[LINEA]=$B$2)*
        (DESC_PROV[LISTA]=$C$2)*
        (DESC_PROV[DESCUENTO])
   ))
   *(1+VLOOKUP($C$2,LISTAS[],2,FALSE))
   *(1+VLOOKUP($C$2,LISTAS[],3,FALSE))
)
/5,0)*5,0)</f>
        <v>96070</v>
      </c>
      <c r="O58" s="42">
        <f>IFERROR(
ROUND(
IF($A$2="COSTO",
   ((B58*(1+IFERROR(VLOOKUP($D$2,COLORES[],2,FALSE),0)))+F58)
   *(1-SUMPRODUCT(
        (DESC_PROV[LINEA]=$B$2)*
        (DESC_PROV[LISTA]=$C$2)*
        (DESC_PROV[DESCUENTO])
   )),
   ((B58*(1+IFERROR(VLOOKUP($D$2,COLORES[],2,FALSE),0)))+F58)
   *(1-SUMPRODUCT(
        (DESC_PROV[LINEA]=$B$2)*
        (DESC_PROV[LISTA]=$C$2)*
        (DESC_PROV[DESCUENTO])
   ))
   *(1+VLOOKUP($C$2,LISTAS[],2,FALSE))
   *(1+VLOOKUP($C$2,LISTAS[],3,FALSE))
)
/5,0)*5,0)</f>
        <v>133620</v>
      </c>
      <c r="P58" s="42">
        <f>IFERROR(
ROUND(
IF($A$2="COSTO",
   ((B58*(1+IFERROR(VLOOKUP($D$2,COLORES[],2,FALSE),0)))+G58)
   *(1-SUMPRODUCT(
        (DESC_PROV[LINEA]=$B$2)*
        (DESC_PROV[LISTA]=$C$2)*
        (DESC_PROV[DESCUENTO])
   )),
   ((B58*(1+IFERROR(VLOOKUP($D$2,COLORES[],2,FALSE),0)))+G58)
   *(1-SUMPRODUCT(
        (DESC_PROV[LINEA]=$B$2)*
        (DESC_PROV[LISTA]=$C$2)*
        (DESC_PROV[DESCUENTO])
   ))
   *(1+VLOOKUP($C$2,LISTAS[],2,FALSE))
   *(1+VLOOKUP($C$2,LISTAS[],3,FALSE))
)
/5,0)*5,0)</f>
        <v>90700</v>
      </c>
      <c r="Q58" s="43">
        <f>IFERROR(
ROUND(
IF($A$2="COSTO",
   ((B58*(1+IFERROR(VLOOKUP($D$2,COLORES[],2,FALSE),0)))+H58)
   *(1-SUMPRODUCT(
        (DESC_PROV[LINEA]=$B$2)*
        (DESC_PROV[LISTA]=$C$2)*
        (DESC_PROV[DESCUENTO])
   )),
   ((B58*(1+IFERROR(VLOOKUP($D$2,COLORES[],2,FALSE),0)))+H58)
   *(1-SUMPRODUCT(
        (DESC_PROV[LINEA]=$B$2)*
        (DESC_PROV[LISTA]=$C$2)*
        (DESC_PROV[DESCUENTO])
   ))
   *(1+VLOOKUP($C$2,LISTAS[],2,FALSE))
   *(1+VLOOKUP($C$2,LISTAS[],3,FALSE))
)
/5,0)*5,0)</f>
        <v>168335</v>
      </c>
    </row>
    <row r="59" spans="1:17">
      <c r="A59" s="47" t="s">
        <v>193</v>
      </c>
      <c r="B59" s="42">
        <v>53460</v>
      </c>
      <c r="C59" s="42">
        <v>19066</v>
      </c>
      <c r="D59" s="42">
        <v>23069</v>
      </c>
      <c r="E59" s="42">
        <v>30451</v>
      </c>
      <c r="F59" s="42">
        <v>65779</v>
      </c>
      <c r="G59" s="42">
        <v>25402</v>
      </c>
      <c r="H59" s="42">
        <v>98438</v>
      </c>
      <c r="I59" s="2"/>
      <c r="J59" s="2"/>
      <c r="K59" s="47" t="s">
        <v>193</v>
      </c>
      <c r="L59" s="42">
        <f>IFERROR(
ROUND(
IF($A$2="COSTO",
   ((B59*(1+IFERROR(VLOOKUP($D$2,COLORES[],2,FALSE),0)))+C59)
   *(1-SUMPRODUCT(
        (DESC_PROV[LINEA]=$B$2)*
        (DESC_PROV[LISTA]=$C$2)*
        (DESC_PROV[DESCUENTO])
   )),
   ((B59*(1+IFERROR(VLOOKUP($D$2,COLORES[],2,FALSE),0)))+C59)
   *(1-SUMPRODUCT(
        (DESC_PROV[LINEA]=$B$2)*
        (DESC_PROV[LISTA]=$C$2)*
        (DESC_PROV[DESCUENTO])
   ))
   *(1+VLOOKUP($C$2,LISTAS[],2,FALSE))
   *(1+VLOOKUP($C$2,LISTAS[],3,FALSE))
)
/5,0)*5,0)</f>
        <v>89945</v>
      </c>
      <c r="M59" s="42">
        <f>IFERROR(
ROUND(
IF($A$2="COSTO",
   ((B59*(1+IFERROR(VLOOKUP($D$2,COLORES[],2,FALSE),0)))+D59)
   *(1-SUMPRODUCT(
        (DESC_PROV[LINEA]=$B$2)*
        (DESC_PROV[LISTA]=$C$2)*
        (DESC_PROV[DESCUENTO])
   )),
   ((B59*(1+IFERROR(VLOOKUP($D$2,COLORES[],2,FALSE),0)))+D59)
   *(1-SUMPRODUCT(
        (DESC_PROV[LINEA]=$B$2)*
        (DESC_PROV[LISTA]=$C$2)*
        (DESC_PROV[DESCUENTO])
   ))
   *(1+VLOOKUP($C$2,LISTAS[],2,FALSE))
   *(1+VLOOKUP($C$2,LISTAS[],3,FALSE))
)
/5,0)*5,0)</f>
        <v>94910</v>
      </c>
      <c r="N59" s="42">
        <f>IFERROR(
ROUND(
IF($A$2="COSTO",
   ((B59*(1+IFERROR(VLOOKUP($D$2,COLORES[],2,FALSE),0)))+E59)
   *(1-SUMPRODUCT(
        (DESC_PROV[LINEA]=$B$2)*
        (DESC_PROV[LISTA]=$C$2)*
        (DESC_PROV[DESCUENTO])
   )),
   ((B59*(1+IFERROR(VLOOKUP($D$2,COLORES[],2,FALSE),0)))+E59)
   *(1-SUMPRODUCT(
        (DESC_PROV[LINEA]=$B$2)*
        (DESC_PROV[LISTA]=$C$2)*
        (DESC_PROV[DESCUENTO])
   ))
   *(1+VLOOKUP($C$2,LISTAS[],2,FALSE))
   *(1+VLOOKUP($C$2,LISTAS[],3,FALSE))
)
/5,0)*5,0)</f>
        <v>104065</v>
      </c>
      <c r="O59" s="42">
        <f>IFERROR(
ROUND(
IF($A$2="COSTO",
   ((B59*(1+IFERROR(VLOOKUP($D$2,COLORES[],2,FALSE),0)))+F59)
   *(1-SUMPRODUCT(
        (DESC_PROV[LINEA]=$B$2)*
        (DESC_PROV[LISTA]=$C$2)*
        (DESC_PROV[DESCUENTO])
   )),
   ((B59*(1+IFERROR(VLOOKUP($D$2,COLORES[],2,FALSE),0)))+F59)
   *(1-SUMPRODUCT(
        (DESC_PROV[LINEA]=$B$2)*
        (DESC_PROV[LISTA]=$C$2)*
        (DESC_PROV[DESCUENTO])
   ))
   *(1+VLOOKUP($C$2,LISTAS[],2,FALSE))
   *(1+VLOOKUP($C$2,LISTAS[],3,FALSE))
)
/5,0)*5,0)</f>
        <v>147880</v>
      </c>
      <c r="P59" s="42">
        <f>IFERROR(
ROUND(
IF($A$2="COSTO",
   ((B59*(1+IFERROR(VLOOKUP($D$2,COLORES[],2,FALSE),0)))+G59)
   *(1-SUMPRODUCT(
        (DESC_PROV[LINEA]=$B$2)*
        (DESC_PROV[LISTA]=$C$2)*
        (DESC_PROV[DESCUENTO])
   )),
   ((B59*(1+IFERROR(VLOOKUP($D$2,COLORES[],2,FALSE),0)))+G59)
   *(1-SUMPRODUCT(
        (DESC_PROV[LINEA]=$B$2)*
        (DESC_PROV[LISTA]=$C$2)*
        (DESC_PROV[DESCUENTO])
   ))
   *(1+VLOOKUP($C$2,LISTAS[],2,FALSE))
   *(1+VLOOKUP($C$2,LISTAS[],3,FALSE))
)
/5,0)*5,0)</f>
        <v>97805</v>
      </c>
      <c r="Q59" s="43">
        <f>IFERROR(
ROUND(
IF($A$2="COSTO",
   ((B59*(1+IFERROR(VLOOKUP($D$2,COLORES[],2,FALSE),0)))+H59)
   *(1-SUMPRODUCT(
        (DESC_PROV[LINEA]=$B$2)*
        (DESC_PROV[LISTA]=$C$2)*
        (DESC_PROV[DESCUENTO])
   )),
   ((B59*(1+IFERROR(VLOOKUP($D$2,COLORES[],2,FALSE),0)))+H59)
   *(1-SUMPRODUCT(
        (DESC_PROV[LINEA]=$B$2)*
        (DESC_PROV[LISTA]=$C$2)*
        (DESC_PROV[DESCUENTO])
   ))
   *(1+VLOOKUP($C$2,LISTAS[],2,FALSE))
   *(1+VLOOKUP($C$2,LISTAS[],3,FALSE))
)
/5,0)*5,0)</f>
        <v>188385</v>
      </c>
    </row>
    <row r="60" spans="1:17">
      <c r="A60" s="47" t="s">
        <v>194</v>
      </c>
      <c r="B60" s="42">
        <v>55555</v>
      </c>
      <c r="C60" s="42">
        <v>21792</v>
      </c>
      <c r="D60" s="42">
        <v>26362</v>
      </c>
      <c r="E60" s="42">
        <v>34800</v>
      </c>
      <c r="F60" s="42">
        <v>75178</v>
      </c>
      <c r="G60" s="42">
        <v>29030</v>
      </c>
      <c r="H60" s="42">
        <v>112504</v>
      </c>
      <c r="I60" s="2"/>
      <c r="J60" s="2"/>
      <c r="K60" s="47" t="s">
        <v>194</v>
      </c>
      <c r="L60" s="42">
        <f>IFERROR(
ROUND(
IF($A$2="COSTO",
   ((B60*(1+IFERROR(VLOOKUP($D$2,COLORES[],2,FALSE),0)))+C60)
   *(1-SUMPRODUCT(
        (DESC_PROV[LINEA]=$B$2)*
        (DESC_PROV[LISTA]=$C$2)*
        (DESC_PROV[DESCUENTO])
   )),
   ((B60*(1+IFERROR(VLOOKUP($D$2,COLORES[],2,FALSE),0)))+C60)
   *(1-SUMPRODUCT(
        (DESC_PROV[LINEA]=$B$2)*
        (DESC_PROV[LISTA]=$C$2)*
        (DESC_PROV[DESCUENTO])
   ))
   *(1+VLOOKUP($C$2,LISTAS[],2,FALSE))
   *(1+VLOOKUP($C$2,LISTAS[],3,FALSE))
)
/5,0)*5,0)</f>
        <v>95925</v>
      </c>
      <c r="M60" s="42">
        <f>IFERROR(
ROUND(
IF($A$2="COSTO",
   ((B60*(1+IFERROR(VLOOKUP($D$2,COLORES[],2,FALSE),0)))+D60)
   *(1-SUMPRODUCT(
        (DESC_PROV[LINEA]=$B$2)*
        (DESC_PROV[LISTA]=$C$2)*
        (DESC_PROV[DESCUENTO])
   )),
   ((B60*(1+IFERROR(VLOOKUP($D$2,COLORES[],2,FALSE),0)))+D60)
   *(1-SUMPRODUCT(
        (DESC_PROV[LINEA]=$B$2)*
        (DESC_PROV[LISTA]=$C$2)*
        (DESC_PROV[DESCUENTO])
   ))
   *(1+VLOOKUP($C$2,LISTAS[],2,FALSE))
   *(1+VLOOKUP($C$2,LISTAS[],3,FALSE))
)
/5,0)*5,0)</f>
        <v>101595</v>
      </c>
      <c r="N60" s="42">
        <f>IFERROR(
ROUND(
IF($A$2="COSTO",
   ((B60*(1+IFERROR(VLOOKUP($D$2,COLORES[],2,FALSE),0)))+E60)
   *(1-SUMPRODUCT(
        (DESC_PROV[LINEA]=$B$2)*
        (DESC_PROV[LISTA]=$C$2)*
        (DESC_PROV[DESCUENTO])
   )),
   ((B60*(1+IFERROR(VLOOKUP($D$2,COLORES[],2,FALSE),0)))+E60)
   *(1-SUMPRODUCT(
        (DESC_PROV[LINEA]=$B$2)*
        (DESC_PROV[LISTA]=$C$2)*
        (DESC_PROV[DESCUENTO])
   ))
   *(1+VLOOKUP($C$2,LISTAS[],2,FALSE))
   *(1+VLOOKUP($C$2,LISTAS[],3,FALSE))
)
/5,0)*5,0)</f>
        <v>112060</v>
      </c>
      <c r="O60" s="42">
        <f>IFERROR(
ROUND(
IF($A$2="COSTO",
   ((B60*(1+IFERROR(VLOOKUP($D$2,COLORES[],2,FALSE),0)))+F60)
   *(1-SUMPRODUCT(
        (DESC_PROV[LINEA]=$B$2)*
        (DESC_PROV[LISTA]=$C$2)*
        (DESC_PROV[DESCUENTO])
   )),
   ((B60*(1+IFERROR(VLOOKUP($D$2,COLORES[],2,FALSE),0)))+F60)
   *(1-SUMPRODUCT(
        (DESC_PROV[LINEA]=$B$2)*
        (DESC_PROV[LISTA]=$C$2)*
        (DESC_PROV[DESCUENTO])
   ))
   *(1+VLOOKUP($C$2,LISTAS[],2,FALSE))
   *(1+VLOOKUP($C$2,LISTAS[],3,FALSE))
)
/5,0)*5,0)</f>
        <v>162135</v>
      </c>
      <c r="P60" s="42">
        <f>IFERROR(
ROUND(
IF($A$2="COSTO",
   ((B60*(1+IFERROR(VLOOKUP($D$2,COLORES[],2,FALSE),0)))+G60)
   *(1-SUMPRODUCT(
        (DESC_PROV[LINEA]=$B$2)*
        (DESC_PROV[LISTA]=$C$2)*
        (DESC_PROV[DESCUENTO])
   )),
   ((B60*(1+IFERROR(VLOOKUP($D$2,COLORES[],2,FALSE),0)))+G60)
   *(1-SUMPRODUCT(
        (DESC_PROV[LINEA]=$B$2)*
        (DESC_PROV[LISTA]=$C$2)*
        (DESC_PROV[DESCUENTO])
   ))
   *(1+VLOOKUP($C$2,LISTAS[],2,FALSE))
   *(1+VLOOKUP($C$2,LISTAS[],3,FALSE))
)
/5,0)*5,0)</f>
        <v>104900</v>
      </c>
      <c r="Q60" s="43">
        <f>IFERROR(
ROUND(
IF($A$2="COSTO",
   ((B60*(1+IFERROR(VLOOKUP($D$2,COLORES[],2,FALSE),0)))+H60)
   *(1-SUMPRODUCT(
        (DESC_PROV[LINEA]=$B$2)*
        (DESC_PROV[LISTA]=$C$2)*
        (DESC_PROV[DESCUENTO])
   )),
   ((B60*(1+IFERROR(VLOOKUP($D$2,COLORES[],2,FALSE),0)))+H60)
   *(1-SUMPRODUCT(
        (DESC_PROV[LINEA]=$B$2)*
        (DESC_PROV[LISTA]=$C$2)*
        (DESC_PROV[DESCUENTO])
   ))
   *(1+VLOOKUP($C$2,LISTAS[],2,FALSE))
   *(1+VLOOKUP($C$2,LISTAS[],3,FALSE))
)
/5,0)*5,0)</f>
        <v>208425</v>
      </c>
    </row>
    <row r="61" spans="1:17">
      <c r="A61" s="47" t="s">
        <v>58</v>
      </c>
      <c r="B61" s="42">
        <v>57649</v>
      </c>
      <c r="C61" s="42">
        <v>24518</v>
      </c>
      <c r="D61" s="42">
        <v>29654</v>
      </c>
      <c r="E61" s="42">
        <v>39149</v>
      </c>
      <c r="F61" s="42">
        <v>84576</v>
      </c>
      <c r="G61" s="42">
        <v>32659</v>
      </c>
      <c r="H61" s="42">
        <v>126570</v>
      </c>
      <c r="I61" s="2"/>
      <c r="J61" s="2"/>
      <c r="K61" s="47" t="s">
        <v>58</v>
      </c>
      <c r="L61" s="42">
        <f>IFERROR(
ROUND(
IF($A$2="COSTO",
   ((B61*(1+IFERROR(VLOOKUP($D$2,COLORES[],2,FALSE),0)))+C61)
   *(1-SUMPRODUCT(
        (DESC_PROV[LINEA]=$B$2)*
        (DESC_PROV[LISTA]=$C$2)*
        (DESC_PROV[DESCUENTO])
   )),
   ((B61*(1+IFERROR(VLOOKUP($D$2,COLORES[],2,FALSE),0)))+C61)
   *(1-SUMPRODUCT(
        (DESC_PROV[LINEA]=$B$2)*
        (DESC_PROV[LISTA]=$C$2)*
        (DESC_PROV[DESCUENTO])
   ))
   *(1+VLOOKUP($C$2,LISTAS[],2,FALSE))
   *(1+VLOOKUP($C$2,LISTAS[],3,FALSE))
)
/5,0)*5,0)</f>
        <v>101905</v>
      </c>
      <c r="M61" s="42">
        <f>IFERROR(
ROUND(
IF($A$2="COSTO",
   ((B61*(1+IFERROR(VLOOKUP($D$2,COLORES[],2,FALSE),0)))+D61)
   *(1-SUMPRODUCT(
        (DESC_PROV[LINEA]=$B$2)*
        (DESC_PROV[LISTA]=$C$2)*
        (DESC_PROV[DESCUENTO])
   )),
   ((B61*(1+IFERROR(VLOOKUP($D$2,COLORES[],2,FALSE),0)))+D61)
   *(1-SUMPRODUCT(
        (DESC_PROV[LINEA]=$B$2)*
        (DESC_PROV[LISTA]=$C$2)*
        (DESC_PROV[DESCUENTO])
   ))
   *(1+VLOOKUP($C$2,LISTAS[],2,FALSE))
   *(1+VLOOKUP($C$2,LISTAS[],3,FALSE))
)
/5,0)*5,0)</f>
        <v>108275</v>
      </c>
      <c r="N61" s="42">
        <f>IFERROR(
ROUND(
IF($A$2="COSTO",
   ((B61*(1+IFERROR(VLOOKUP($D$2,COLORES[],2,FALSE),0)))+E61)
   *(1-SUMPRODUCT(
        (DESC_PROV[LINEA]=$B$2)*
        (DESC_PROV[LISTA]=$C$2)*
        (DESC_PROV[DESCUENTO])
   )),
   ((B61*(1+IFERROR(VLOOKUP($D$2,COLORES[],2,FALSE),0)))+E61)
   *(1-SUMPRODUCT(
        (DESC_PROV[LINEA]=$B$2)*
        (DESC_PROV[LISTA]=$C$2)*
        (DESC_PROV[DESCUENTO])
   ))
   *(1+VLOOKUP($C$2,LISTAS[],2,FALSE))
   *(1+VLOOKUP($C$2,LISTAS[],3,FALSE))
)
/5,0)*5,0)</f>
        <v>120050</v>
      </c>
      <c r="O61" s="42">
        <f>IFERROR(
ROUND(
IF($A$2="COSTO",
   ((B61*(1+IFERROR(VLOOKUP($D$2,COLORES[],2,FALSE),0)))+F61)
   *(1-SUMPRODUCT(
        (DESC_PROV[LINEA]=$B$2)*
        (DESC_PROV[LISTA]=$C$2)*
        (DESC_PROV[DESCUENTO])
   )),
   ((B61*(1+IFERROR(VLOOKUP($D$2,COLORES[],2,FALSE),0)))+F61)
   *(1-SUMPRODUCT(
        (DESC_PROV[LINEA]=$B$2)*
        (DESC_PROV[LISTA]=$C$2)*
        (DESC_PROV[DESCUENTO])
   ))
   *(1+VLOOKUP($C$2,LISTAS[],2,FALSE))
   *(1+VLOOKUP($C$2,LISTAS[],3,FALSE))
)
/5,0)*5,0)</f>
        <v>176385</v>
      </c>
      <c r="P61" s="42">
        <f>IFERROR(
ROUND(
IF($A$2="COSTO",
   ((B61*(1+IFERROR(VLOOKUP($D$2,COLORES[],2,FALSE),0)))+G61)
   *(1-SUMPRODUCT(
        (DESC_PROV[LINEA]=$B$2)*
        (DESC_PROV[LISTA]=$C$2)*
        (DESC_PROV[DESCUENTO])
   )),
   ((B61*(1+IFERROR(VLOOKUP($D$2,COLORES[],2,FALSE),0)))+G61)
   *(1-SUMPRODUCT(
        (DESC_PROV[LINEA]=$B$2)*
        (DESC_PROV[LISTA]=$C$2)*
        (DESC_PROV[DESCUENTO])
   ))
   *(1+VLOOKUP($C$2,LISTAS[],2,FALSE))
   *(1+VLOOKUP($C$2,LISTAS[],3,FALSE))
)
/5,0)*5,0)</f>
        <v>112000</v>
      </c>
      <c r="Q61" s="43">
        <f>IFERROR(
ROUND(
IF($A$2="COSTO",
   ((B61*(1+IFERROR(VLOOKUP($D$2,COLORES[],2,FALSE),0)))+H61)
   *(1-SUMPRODUCT(
        (DESC_PROV[LINEA]=$B$2)*
        (DESC_PROV[LISTA]=$C$2)*
        (DESC_PROV[DESCUENTO])
   )),
   ((B61*(1+IFERROR(VLOOKUP($D$2,COLORES[],2,FALSE),0)))+H61)
   *(1-SUMPRODUCT(
        (DESC_PROV[LINEA]=$B$2)*
        (DESC_PROV[LISTA]=$C$2)*
        (DESC_PROV[DESCUENTO])
   ))
   *(1+VLOOKUP($C$2,LISTAS[],2,FALSE))
   *(1+VLOOKUP($C$2,LISTAS[],3,FALSE))
)
/5,0)*5,0)</f>
        <v>228470</v>
      </c>
    </row>
    <row r="62" spans="1:17">
      <c r="A62" s="47" t="s">
        <v>142</v>
      </c>
      <c r="B62" s="42">
        <v>47172</v>
      </c>
      <c r="C62" s="42">
        <v>8986</v>
      </c>
      <c r="D62" s="42">
        <v>10877</v>
      </c>
      <c r="E62" s="42">
        <v>14362</v>
      </c>
      <c r="F62" s="42">
        <v>31008</v>
      </c>
      <c r="G62" s="42">
        <v>11971</v>
      </c>
      <c r="H62" s="42">
        <v>46391</v>
      </c>
      <c r="I62" s="2"/>
      <c r="J62" s="2"/>
      <c r="K62" s="47" t="s">
        <v>142</v>
      </c>
      <c r="L62" s="42">
        <f>IFERROR(
ROUND(
IF($A$2="COSTO",
   ((B62*(1+IFERROR(VLOOKUP($D$2,COLORES[],2,FALSE),0)))+C62)
   *(1-SUMPRODUCT(
        (DESC_PROV[LINEA]=$B$2)*
        (DESC_PROV[LISTA]=$C$2)*
        (DESC_PROV[DESCUENTO])
   )),
   ((B62*(1+IFERROR(VLOOKUP($D$2,COLORES[],2,FALSE),0)))+C62)
   *(1-SUMPRODUCT(
        (DESC_PROV[LINEA]=$B$2)*
        (DESC_PROV[LISTA]=$C$2)*
        (DESC_PROV[DESCUENTO])
   ))
   *(1+VLOOKUP($C$2,LISTAS[],2,FALSE))
   *(1+VLOOKUP($C$2,LISTAS[],3,FALSE))
)
/5,0)*5,0)</f>
        <v>69645</v>
      </c>
      <c r="M62" s="42">
        <f>IFERROR(
ROUND(
IF($A$2="COSTO",
   ((B62*(1+IFERROR(VLOOKUP($D$2,COLORES[],2,FALSE),0)))+D62)
   *(1-SUMPRODUCT(
        (DESC_PROV[LINEA]=$B$2)*
        (DESC_PROV[LISTA]=$C$2)*
        (DESC_PROV[DESCUENTO])
   )),
   ((B62*(1+IFERROR(VLOOKUP($D$2,COLORES[],2,FALSE),0)))+D62)
   *(1-SUMPRODUCT(
        (DESC_PROV[LINEA]=$B$2)*
        (DESC_PROV[LISTA]=$C$2)*
        (DESC_PROV[DESCUENTO])
   ))
   *(1+VLOOKUP($C$2,LISTAS[],2,FALSE))
   *(1+VLOOKUP($C$2,LISTAS[],3,FALSE))
)
/5,0)*5,0)</f>
        <v>71990</v>
      </c>
      <c r="N62" s="42">
        <f>IFERROR(
ROUND(
IF($A$2="COSTO",
   ((B62*(1+IFERROR(VLOOKUP($D$2,COLORES[],2,FALSE),0)))+E62)
   *(1-SUMPRODUCT(
        (DESC_PROV[LINEA]=$B$2)*
        (DESC_PROV[LISTA]=$C$2)*
        (DESC_PROV[DESCUENTO])
   )),
   ((B62*(1+IFERROR(VLOOKUP($D$2,COLORES[],2,FALSE),0)))+E62)
   *(1-SUMPRODUCT(
        (DESC_PROV[LINEA]=$B$2)*
        (DESC_PROV[LISTA]=$C$2)*
        (DESC_PROV[DESCUENTO])
   ))
   *(1+VLOOKUP($C$2,LISTAS[],2,FALSE))
   *(1+VLOOKUP($C$2,LISTAS[],3,FALSE))
)
/5,0)*5,0)</f>
        <v>76315</v>
      </c>
      <c r="O62" s="42">
        <f>IFERROR(
ROUND(
IF($A$2="COSTO",
   ((B62*(1+IFERROR(VLOOKUP($D$2,COLORES[],2,FALSE),0)))+F62)
   *(1-SUMPRODUCT(
        (DESC_PROV[LINEA]=$B$2)*
        (DESC_PROV[LISTA]=$C$2)*
        (DESC_PROV[DESCUENTO])
   )),
   ((B62*(1+IFERROR(VLOOKUP($D$2,COLORES[],2,FALSE),0)))+F62)
   *(1-SUMPRODUCT(
        (DESC_PROV[LINEA]=$B$2)*
        (DESC_PROV[LISTA]=$C$2)*
        (DESC_PROV[DESCUENTO])
   ))
   *(1+VLOOKUP($C$2,LISTAS[],2,FALSE))
   *(1+VLOOKUP($C$2,LISTAS[],3,FALSE))
)
/5,0)*5,0)</f>
        <v>96960</v>
      </c>
      <c r="P62" s="42">
        <f>IFERROR(
ROUND(
IF($A$2="COSTO",
   ((B62*(1+IFERROR(VLOOKUP($D$2,COLORES[],2,FALSE),0)))+G62)
   *(1-SUMPRODUCT(
        (DESC_PROV[LINEA]=$B$2)*
        (DESC_PROV[LISTA]=$C$2)*
        (DESC_PROV[DESCUENTO])
   )),
   ((B62*(1+IFERROR(VLOOKUP($D$2,COLORES[],2,FALSE),0)))+G62)
   *(1-SUMPRODUCT(
        (DESC_PROV[LINEA]=$B$2)*
        (DESC_PROV[LISTA]=$C$2)*
        (DESC_PROV[DESCUENTO])
   ))
   *(1+VLOOKUP($C$2,LISTAS[],2,FALSE))
   *(1+VLOOKUP($C$2,LISTAS[],3,FALSE))
)
/5,0)*5,0)</f>
        <v>73350</v>
      </c>
      <c r="Q62" s="43">
        <f>IFERROR(
ROUND(
IF($A$2="COSTO",
   ((B62*(1+IFERROR(VLOOKUP($D$2,COLORES[],2,FALSE),0)))+H62)
   *(1-SUMPRODUCT(
        (DESC_PROV[LINEA]=$B$2)*
        (DESC_PROV[LISTA]=$C$2)*
        (DESC_PROV[DESCUENTO])
   )),
   ((B62*(1+IFERROR(VLOOKUP($D$2,COLORES[],2,FALSE),0)))+H62)
   *(1-SUMPRODUCT(
        (DESC_PROV[LINEA]=$B$2)*
        (DESC_PROV[LISTA]=$C$2)*
        (DESC_PROV[DESCUENTO])
   ))
   *(1+VLOOKUP($C$2,LISTAS[],2,FALSE))
   *(1+VLOOKUP($C$2,LISTAS[],3,FALSE))
)
/5,0)*5,0)</f>
        <v>116035</v>
      </c>
    </row>
    <row r="63" spans="1:17">
      <c r="A63" s="47" t="s">
        <v>143</v>
      </c>
      <c r="B63" s="42">
        <v>49266</v>
      </c>
      <c r="C63" s="42">
        <v>11981</v>
      </c>
      <c r="D63" s="42">
        <v>14506</v>
      </c>
      <c r="E63" s="42">
        <v>19152</v>
      </c>
      <c r="F63" s="42">
        <v>41347</v>
      </c>
      <c r="G63" s="42">
        <v>15965</v>
      </c>
      <c r="H63" s="42">
        <v>61862</v>
      </c>
      <c r="I63" s="2"/>
      <c r="J63" s="2"/>
      <c r="K63" s="47" t="s">
        <v>143</v>
      </c>
      <c r="L63" s="42">
        <f>IFERROR(
ROUND(
IF($A$2="COSTO",
   ((B63*(1+IFERROR(VLOOKUP($D$2,COLORES[],2,FALSE),0)))+C63)
   *(1-SUMPRODUCT(
        (DESC_PROV[LINEA]=$B$2)*
        (DESC_PROV[LISTA]=$C$2)*
        (DESC_PROV[DESCUENTO])
   )),
   ((B63*(1+IFERROR(VLOOKUP($D$2,COLORES[],2,FALSE),0)))+C63)
   *(1-SUMPRODUCT(
        (DESC_PROV[LINEA]=$B$2)*
        (DESC_PROV[LISTA]=$C$2)*
        (DESC_PROV[DESCUENTO])
   ))
   *(1+VLOOKUP($C$2,LISTAS[],2,FALSE))
   *(1+VLOOKUP($C$2,LISTAS[],3,FALSE))
)
/5,0)*5,0)</f>
        <v>75960</v>
      </c>
      <c r="M63" s="42">
        <f>IFERROR(
ROUND(
IF($A$2="COSTO",
   ((B63*(1+IFERROR(VLOOKUP($D$2,COLORES[],2,FALSE),0)))+D63)
   *(1-SUMPRODUCT(
        (DESC_PROV[LINEA]=$B$2)*
        (DESC_PROV[LISTA]=$C$2)*
        (DESC_PROV[DESCUENTO])
   )),
   ((B63*(1+IFERROR(VLOOKUP($D$2,COLORES[],2,FALSE),0)))+D63)
   *(1-SUMPRODUCT(
        (DESC_PROV[LINEA]=$B$2)*
        (DESC_PROV[LISTA]=$C$2)*
        (DESC_PROV[DESCUENTO])
   ))
   *(1+VLOOKUP($C$2,LISTAS[],2,FALSE))
   *(1+VLOOKUP($C$2,LISTAS[],3,FALSE))
)
/5,0)*5,0)</f>
        <v>79090</v>
      </c>
      <c r="N63" s="42">
        <f>IFERROR(
ROUND(
IF($A$2="COSTO",
   ((B63*(1+IFERROR(VLOOKUP($D$2,COLORES[],2,FALSE),0)))+E63)
   *(1-SUMPRODUCT(
        (DESC_PROV[LINEA]=$B$2)*
        (DESC_PROV[LISTA]=$C$2)*
        (DESC_PROV[DESCUENTO])
   )),
   ((B63*(1+IFERROR(VLOOKUP($D$2,COLORES[],2,FALSE),0)))+E63)
   *(1-SUMPRODUCT(
        (DESC_PROV[LINEA]=$B$2)*
        (DESC_PROV[LISTA]=$C$2)*
        (DESC_PROV[DESCUENTO])
   ))
   *(1+VLOOKUP($C$2,LISTAS[],2,FALSE))
   *(1+VLOOKUP($C$2,LISTAS[],3,FALSE))
)
/5,0)*5,0)</f>
        <v>84850</v>
      </c>
      <c r="O63" s="42">
        <f>IFERROR(
ROUND(
IF($A$2="COSTO",
   ((B63*(1+IFERROR(VLOOKUP($D$2,COLORES[],2,FALSE),0)))+F63)
   *(1-SUMPRODUCT(
        (DESC_PROV[LINEA]=$B$2)*
        (DESC_PROV[LISTA]=$C$2)*
        (DESC_PROV[DESCUENTO])
   )),
   ((B63*(1+IFERROR(VLOOKUP($D$2,COLORES[],2,FALSE),0)))+F63)
   *(1-SUMPRODUCT(
        (DESC_PROV[LINEA]=$B$2)*
        (DESC_PROV[LISTA]=$C$2)*
        (DESC_PROV[DESCUENTO])
   ))
   *(1+VLOOKUP($C$2,LISTAS[],2,FALSE))
   *(1+VLOOKUP($C$2,LISTAS[],3,FALSE))
)
/5,0)*5,0)</f>
        <v>112380</v>
      </c>
      <c r="P63" s="42">
        <f>IFERROR(
ROUND(
IF($A$2="COSTO",
   ((B63*(1+IFERROR(VLOOKUP($D$2,COLORES[],2,FALSE),0)))+G63)
   *(1-SUMPRODUCT(
        (DESC_PROV[LINEA]=$B$2)*
        (DESC_PROV[LISTA]=$C$2)*
        (DESC_PROV[DESCUENTO])
   )),
   ((B63*(1+IFERROR(VLOOKUP($D$2,COLORES[],2,FALSE),0)))+G63)
   *(1-SUMPRODUCT(
        (DESC_PROV[LINEA]=$B$2)*
        (DESC_PROV[LISTA]=$C$2)*
        (DESC_PROV[DESCUENTO])
   ))
   *(1+VLOOKUP($C$2,LISTAS[],2,FALSE))
   *(1+VLOOKUP($C$2,LISTAS[],3,FALSE))
)
/5,0)*5,0)</f>
        <v>80900</v>
      </c>
      <c r="Q63" s="43">
        <f>IFERROR(
ROUND(
IF($A$2="COSTO",
   ((B63*(1+IFERROR(VLOOKUP($D$2,COLORES[],2,FALSE),0)))+H63)
   *(1-SUMPRODUCT(
        (DESC_PROV[LINEA]=$B$2)*
        (DESC_PROV[LISTA]=$C$2)*
        (DESC_PROV[DESCUENTO])
   )),
   ((B63*(1+IFERROR(VLOOKUP($D$2,COLORES[],2,FALSE),0)))+H63)
   *(1-SUMPRODUCT(
        (DESC_PROV[LINEA]=$B$2)*
        (DESC_PROV[LISTA]=$C$2)*
        (DESC_PROV[DESCUENTO])
   ))
   *(1+VLOOKUP($C$2,LISTAS[],2,FALSE))
   *(1+VLOOKUP($C$2,LISTAS[],3,FALSE))
)
/5,0)*5,0)</f>
        <v>137820</v>
      </c>
    </row>
    <row r="64" spans="1:17">
      <c r="A64" s="47" t="s">
        <v>144</v>
      </c>
      <c r="B64" s="42">
        <v>51360</v>
      </c>
      <c r="C64" s="42">
        <v>14976</v>
      </c>
      <c r="D64" s="42">
        <v>18134</v>
      </c>
      <c r="E64" s="42">
        <v>23942</v>
      </c>
      <c r="F64" s="42">
        <v>51686</v>
      </c>
      <c r="G64" s="42">
        <v>19958</v>
      </c>
      <c r="H64" s="42">
        <v>77334</v>
      </c>
      <c r="I64" s="2"/>
      <c r="J64" s="2"/>
      <c r="K64" s="47" t="s">
        <v>144</v>
      </c>
      <c r="L64" s="42">
        <f>IFERROR(
ROUND(
IF($A$2="COSTO",
   ((B64*(1+IFERROR(VLOOKUP($D$2,COLORES[],2,FALSE),0)))+C64)
   *(1-SUMPRODUCT(
        (DESC_PROV[LINEA]=$B$2)*
        (DESC_PROV[LISTA]=$C$2)*
        (DESC_PROV[DESCUENTO])
   )),
   ((B64*(1+IFERROR(VLOOKUP($D$2,COLORES[],2,FALSE),0)))+C64)
   *(1-SUMPRODUCT(
        (DESC_PROV[LINEA]=$B$2)*
        (DESC_PROV[LISTA]=$C$2)*
        (DESC_PROV[DESCUENTO])
   ))
   *(1+VLOOKUP($C$2,LISTAS[],2,FALSE))
   *(1+VLOOKUP($C$2,LISTAS[],3,FALSE))
)
/5,0)*5,0)</f>
        <v>82270</v>
      </c>
      <c r="M64" s="42">
        <f>IFERROR(
ROUND(
IF($A$2="COSTO",
   ((B64*(1+IFERROR(VLOOKUP($D$2,COLORES[],2,FALSE),0)))+D64)
   *(1-SUMPRODUCT(
        (DESC_PROV[LINEA]=$B$2)*
        (DESC_PROV[LISTA]=$C$2)*
        (DESC_PROV[DESCUENTO])
   )),
   ((B64*(1+IFERROR(VLOOKUP($D$2,COLORES[],2,FALSE),0)))+D64)
   *(1-SUMPRODUCT(
        (DESC_PROV[LINEA]=$B$2)*
        (DESC_PROV[LISTA]=$C$2)*
        (DESC_PROV[DESCUENTO])
   ))
   *(1+VLOOKUP($C$2,LISTAS[],2,FALSE))
   *(1+VLOOKUP($C$2,LISTAS[],3,FALSE))
)
/5,0)*5,0)</f>
        <v>86185</v>
      </c>
      <c r="N64" s="42">
        <f>IFERROR(
ROUND(
IF($A$2="COSTO",
   ((B64*(1+IFERROR(VLOOKUP($D$2,COLORES[],2,FALSE),0)))+E64)
   *(1-SUMPRODUCT(
        (DESC_PROV[LINEA]=$B$2)*
        (DESC_PROV[LISTA]=$C$2)*
        (DESC_PROV[DESCUENTO])
   )),
   ((B64*(1+IFERROR(VLOOKUP($D$2,COLORES[],2,FALSE),0)))+E64)
   *(1-SUMPRODUCT(
        (DESC_PROV[LINEA]=$B$2)*
        (DESC_PROV[LISTA]=$C$2)*
        (DESC_PROV[DESCUENTO])
   ))
   *(1+VLOOKUP($C$2,LISTAS[],2,FALSE))
   *(1+VLOOKUP($C$2,LISTAS[],3,FALSE))
)
/5,0)*5,0)</f>
        <v>93390</v>
      </c>
      <c r="O64" s="42">
        <f>IFERROR(
ROUND(
IF($A$2="COSTO",
   ((B64*(1+IFERROR(VLOOKUP($D$2,COLORES[],2,FALSE),0)))+F64)
   *(1-SUMPRODUCT(
        (DESC_PROV[LINEA]=$B$2)*
        (DESC_PROV[LISTA]=$C$2)*
        (DESC_PROV[DESCUENTO])
   )),
   ((B64*(1+IFERROR(VLOOKUP($D$2,COLORES[],2,FALSE),0)))+F64)
   *(1-SUMPRODUCT(
        (DESC_PROV[LINEA]=$B$2)*
        (DESC_PROV[LISTA]=$C$2)*
        (DESC_PROV[DESCUENTO])
   ))
   *(1+VLOOKUP($C$2,LISTAS[],2,FALSE))
   *(1+VLOOKUP($C$2,LISTAS[],3,FALSE))
)
/5,0)*5,0)</f>
        <v>127800</v>
      </c>
      <c r="P64" s="42">
        <f>IFERROR(
ROUND(
IF($A$2="COSTO",
   ((B64*(1+IFERROR(VLOOKUP($D$2,COLORES[],2,FALSE),0)))+G64)
   *(1-SUMPRODUCT(
        (DESC_PROV[LINEA]=$B$2)*
        (DESC_PROV[LISTA]=$C$2)*
        (DESC_PROV[DESCUENTO])
   )),
   ((B64*(1+IFERROR(VLOOKUP($D$2,COLORES[],2,FALSE),0)))+G64)
   *(1-SUMPRODUCT(
        (DESC_PROV[LINEA]=$B$2)*
        (DESC_PROV[LISTA]=$C$2)*
        (DESC_PROV[DESCUENTO])
   ))
   *(1+VLOOKUP($C$2,LISTAS[],2,FALSE))
   *(1+VLOOKUP($C$2,LISTAS[],3,FALSE))
)
/5,0)*5,0)</f>
        <v>88450</v>
      </c>
      <c r="Q64" s="43">
        <f>IFERROR(
ROUND(
IF($A$2="COSTO",
   ((B64*(1+IFERROR(VLOOKUP($D$2,COLORES[],2,FALSE),0)))+H64)
   *(1-SUMPRODUCT(
        (DESC_PROV[LINEA]=$B$2)*
        (DESC_PROV[LISTA]=$C$2)*
        (DESC_PROV[DESCUENTO])
   )),
   ((B64*(1+IFERROR(VLOOKUP($D$2,COLORES[],2,FALSE),0)))+H64)
   *(1-SUMPRODUCT(
        (DESC_PROV[LINEA]=$B$2)*
        (DESC_PROV[LISTA]=$C$2)*
        (DESC_PROV[DESCUENTO])
   ))
   *(1+VLOOKUP($C$2,LISTAS[],2,FALSE))
   *(1+VLOOKUP($C$2,LISTAS[],3,FALSE))
)
/5,0)*5,0)</f>
        <v>159605</v>
      </c>
    </row>
    <row r="65" spans="1:17">
      <c r="A65" s="47" t="s">
        <v>145</v>
      </c>
      <c r="B65" s="42">
        <v>53460</v>
      </c>
      <c r="C65" s="42">
        <v>17971</v>
      </c>
      <c r="D65" s="42">
        <v>21763</v>
      </c>
      <c r="E65" s="42">
        <v>28733</v>
      </c>
      <c r="F65" s="42">
        <v>62026</v>
      </c>
      <c r="G65" s="42">
        <v>23952</v>
      </c>
      <c r="H65" s="42">
        <v>92805</v>
      </c>
      <c r="I65" s="2"/>
      <c r="J65" s="2"/>
      <c r="K65" s="47" t="s">
        <v>145</v>
      </c>
      <c r="L65" s="42">
        <f>IFERROR(
ROUND(
IF($A$2="COSTO",
   ((B65*(1+IFERROR(VLOOKUP($D$2,COLORES[],2,FALSE),0)))+C65)
   *(1-SUMPRODUCT(
        (DESC_PROV[LINEA]=$B$2)*
        (DESC_PROV[LISTA]=$C$2)*
        (DESC_PROV[DESCUENTO])
   )),
   ((B65*(1+IFERROR(VLOOKUP($D$2,COLORES[],2,FALSE),0)))+C65)
   *(1-SUMPRODUCT(
        (DESC_PROV[LINEA]=$B$2)*
        (DESC_PROV[LISTA]=$C$2)*
        (DESC_PROV[DESCUENTO])
   ))
   *(1+VLOOKUP($C$2,LISTAS[],2,FALSE))
   *(1+VLOOKUP($C$2,LISTAS[],3,FALSE))
)
/5,0)*5,0)</f>
        <v>88590</v>
      </c>
      <c r="M65" s="42">
        <f>IFERROR(
ROUND(
IF($A$2="COSTO",
   ((B65*(1+IFERROR(VLOOKUP($D$2,COLORES[],2,FALSE),0)))+D65)
   *(1-SUMPRODUCT(
        (DESC_PROV[LINEA]=$B$2)*
        (DESC_PROV[LISTA]=$C$2)*
        (DESC_PROV[DESCUENTO])
   )),
   ((B65*(1+IFERROR(VLOOKUP($D$2,COLORES[],2,FALSE),0)))+D65)
   *(1-SUMPRODUCT(
        (DESC_PROV[LINEA]=$B$2)*
        (DESC_PROV[LISTA]=$C$2)*
        (DESC_PROV[DESCUENTO])
   ))
   *(1+VLOOKUP($C$2,LISTAS[],2,FALSE))
   *(1+VLOOKUP($C$2,LISTAS[],3,FALSE))
)
/5,0)*5,0)</f>
        <v>93290</v>
      </c>
      <c r="N65" s="42">
        <f>IFERROR(
ROUND(
IF($A$2="COSTO",
   ((B65*(1+IFERROR(VLOOKUP($D$2,COLORES[],2,FALSE),0)))+E65)
   *(1-SUMPRODUCT(
        (DESC_PROV[LINEA]=$B$2)*
        (DESC_PROV[LISTA]=$C$2)*
        (DESC_PROV[DESCUENTO])
   )),
   ((B65*(1+IFERROR(VLOOKUP($D$2,COLORES[],2,FALSE),0)))+E65)
   *(1-SUMPRODUCT(
        (DESC_PROV[LINEA]=$B$2)*
        (DESC_PROV[LISTA]=$C$2)*
        (DESC_PROV[DESCUENTO])
   ))
   *(1+VLOOKUP($C$2,LISTAS[],2,FALSE))
   *(1+VLOOKUP($C$2,LISTAS[],3,FALSE))
)
/5,0)*5,0)</f>
        <v>101935</v>
      </c>
      <c r="O65" s="42">
        <f>IFERROR(
ROUND(
IF($A$2="COSTO",
   ((B65*(1+IFERROR(VLOOKUP($D$2,COLORES[],2,FALSE),0)))+F65)
   *(1-SUMPRODUCT(
        (DESC_PROV[LINEA]=$B$2)*
        (DESC_PROV[LISTA]=$C$2)*
        (DESC_PROV[DESCUENTO])
   )),
   ((B65*(1+IFERROR(VLOOKUP($D$2,COLORES[],2,FALSE),0)))+F65)
   *(1-SUMPRODUCT(
        (DESC_PROV[LINEA]=$B$2)*
        (DESC_PROV[LISTA]=$C$2)*
        (DESC_PROV[DESCUENTO])
   ))
   *(1+VLOOKUP($C$2,LISTAS[],2,FALSE))
   *(1+VLOOKUP($C$2,LISTAS[],3,FALSE))
)
/5,0)*5,0)</f>
        <v>143225</v>
      </c>
      <c r="P65" s="42">
        <f>IFERROR(
ROUND(
IF($A$2="COSTO",
   ((B65*(1+IFERROR(VLOOKUP($D$2,COLORES[],2,FALSE),0)))+G65)
   *(1-SUMPRODUCT(
        (DESC_PROV[LINEA]=$B$2)*
        (DESC_PROV[LISTA]=$C$2)*
        (DESC_PROV[DESCUENTO])
   )),
   ((B65*(1+IFERROR(VLOOKUP($D$2,COLORES[],2,FALSE),0)))+G65)
   *(1-SUMPRODUCT(
        (DESC_PROV[LINEA]=$B$2)*
        (DESC_PROV[LISTA]=$C$2)*
        (DESC_PROV[DESCUENTO])
   ))
   *(1+VLOOKUP($C$2,LISTAS[],2,FALSE))
   *(1+VLOOKUP($C$2,LISTAS[],3,FALSE))
)
/5,0)*5,0)</f>
        <v>96005</v>
      </c>
      <c r="Q65" s="43">
        <f>IFERROR(
ROUND(
IF($A$2="COSTO",
   ((B65*(1+IFERROR(VLOOKUP($D$2,COLORES[],2,FALSE),0)))+H65)
   *(1-SUMPRODUCT(
        (DESC_PROV[LINEA]=$B$2)*
        (DESC_PROV[LISTA]=$C$2)*
        (DESC_PROV[DESCUENTO])
   )),
   ((B65*(1+IFERROR(VLOOKUP($D$2,COLORES[],2,FALSE),0)))+H65)
   *(1-SUMPRODUCT(
        (DESC_PROV[LINEA]=$B$2)*
        (DESC_PROV[LISTA]=$C$2)*
        (DESC_PROV[DESCUENTO])
   ))
   *(1+VLOOKUP($C$2,LISTAS[],2,FALSE))
   *(1+VLOOKUP($C$2,LISTAS[],3,FALSE))
)
/5,0)*5,0)</f>
        <v>181400</v>
      </c>
    </row>
    <row r="66" spans="1:17">
      <c r="A66" s="47" t="s">
        <v>146</v>
      </c>
      <c r="B66" s="42">
        <v>55555</v>
      </c>
      <c r="C66" s="42">
        <v>20966</v>
      </c>
      <c r="D66" s="42">
        <v>25392</v>
      </c>
      <c r="E66" s="42">
        <v>33523</v>
      </c>
      <c r="F66" s="42">
        <v>72365</v>
      </c>
      <c r="G66" s="42">
        <v>27946</v>
      </c>
      <c r="H66" s="42">
        <v>108276</v>
      </c>
      <c r="I66" s="2"/>
      <c r="J66" s="2"/>
      <c r="K66" s="47" t="s">
        <v>146</v>
      </c>
      <c r="L66" s="42">
        <f>IFERROR(
ROUND(
IF($A$2="COSTO",
   ((B66*(1+IFERROR(VLOOKUP($D$2,COLORES[],2,FALSE),0)))+C66)
   *(1-SUMPRODUCT(
        (DESC_PROV[LINEA]=$B$2)*
        (DESC_PROV[LISTA]=$C$2)*
        (DESC_PROV[DESCUENTO])
   )),
   ((B66*(1+IFERROR(VLOOKUP($D$2,COLORES[],2,FALSE),0)))+C66)
   *(1-SUMPRODUCT(
        (DESC_PROV[LINEA]=$B$2)*
        (DESC_PROV[LISTA]=$C$2)*
        (DESC_PROV[DESCUENTO])
   ))
   *(1+VLOOKUP($C$2,LISTAS[],2,FALSE))
   *(1+VLOOKUP($C$2,LISTAS[],3,FALSE))
)
/5,0)*5,0)</f>
        <v>94900</v>
      </c>
      <c r="M66" s="42">
        <f>IFERROR(
ROUND(
IF($A$2="COSTO",
   ((B66*(1+IFERROR(VLOOKUP($D$2,COLORES[],2,FALSE),0)))+D66)
   *(1-SUMPRODUCT(
        (DESC_PROV[LINEA]=$B$2)*
        (DESC_PROV[LISTA]=$C$2)*
        (DESC_PROV[DESCUENTO])
   )),
   ((B66*(1+IFERROR(VLOOKUP($D$2,COLORES[],2,FALSE),0)))+D66)
   *(1-SUMPRODUCT(
        (DESC_PROV[LINEA]=$B$2)*
        (DESC_PROV[LISTA]=$C$2)*
        (DESC_PROV[DESCUENTO])
   ))
   *(1+VLOOKUP($C$2,LISTAS[],2,FALSE))
   *(1+VLOOKUP($C$2,LISTAS[],3,FALSE))
)
/5,0)*5,0)</f>
        <v>100390</v>
      </c>
      <c r="N66" s="42">
        <f>IFERROR(
ROUND(
IF($A$2="COSTO",
   ((B66*(1+IFERROR(VLOOKUP($D$2,COLORES[],2,FALSE),0)))+E66)
   *(1-SUMPRODUCT(
        (DESC_PROV[LINEA]=$B$2)*
        (DESC_PROV[LISTA]=$C$2)*
        (DESC_PROV[DESCUENTO])
   )),
   ((B66*(1+IFERROR(VLOOKUP($D$2,COLORES[],2,FALSE),0)))+E66)
   *(1-SUMPRODUCT(
        (DESC_PROV[LINEA]=$B$2)*
        (DESC_PROV[LISTA]=$C$2)*
        (DESC_PROV[DESCUENTO])
   ))
   *(1+VLOOKUP($C$2,LISTAS[],2,FALSE))
   *(1+VLOOKUP($C$2,LISTAS[],3,FALSE))
)
/5,0)*5,0)</f>
        <v>110475</v>
      </c>
      <c r="O66" s="42">
        <f>IFERROR(
ROUND(
IF($A$2="COSTO",
   ((B66*(1+IFERROR(VLOOKUP($D$2,COLORES[],2,FALSE),0)))+F66)
   *(1-SUMPRODUCT(
        (DESC_PROV[LINEA]=$B$2)*
        (DESC_PROV[LISTA]=$C$2)*
        (DESC_PROV[DESCUENTO])
   )),
   ((B66*(1+IFERROR(VLOOKUP($D$2,COLORES[],2,FALSE),0)))+F66)
   *(1-SUMPRODUCT(
        (DESC_PROV[LINEA]=$B$2)*
        (DESC_PROV[LISTA]=$C$2)*
        (DESC_PROV[DESCUENTO])
   ))
   *(1+VLOOKUP($C$2,LISTAS[],2,FALSE))
   *(1+VLOOKUP($C$2,LISTAS[],3,FALSE))
)
/5,0)*5,0)</f>
        <v>158645</v>
      </c>
      <c r="P66" s="42">
        <f>IFERROR(
ROUND(
IF($A$2="COSTO",
   ((B66*(1+IFERROR(VLOOKUP($D$2,COLORES[],2,FALSE),0)))+G66)
   *(1-SUMPRODUCT(
        (DESC_PROV[LINEA]=$B$2)*
        (DESC_PROV[LISTA]=$C$2)*
        (DESC_PROV[DESCUENTO])
   )),
   ((B66*(1+IFERROR(VLOOKUP($D$2,COLORES[],2,FALSE),0)))+G66)
   *(1-SUMPRODUCT(
        (DESC_PROV[LINEA]=$B$2)*
        (DESC_PROV[LISTA]=$C$2)*
        (DESC_PROV[DESCUENTO])
   ))
   *(1+VLOOKUP($C$2,LISTAS[],2,FALSE))
   *(1+VLOOKUP($C$2,LISTAS[],3,FALSE))
)
/5,0)*5,0)</f>
        <v>103560</v>
      </c>
      <c r="Q66" s="43">
        <f>IFERROR(
ROUND(
IF($A$2="COSTO",
   ((B66*(1+IFERROR(VLOOKUP($D$2,COLORES[],2,FALSE),0)))+H66)
   *(1-SUMPRODUCT(
        (DESC_PROV[LINEA]=$B$2)*
        (DESC_PROV[LISTA]=$C$2)*
        (DESC_PROV[DESCUENTO])
   )),
   ((B66*(1+IFERROR(VLOOKUP($D$2,COLORES[],2,FALSE),0)))+H66)
   *(1-SUMPRODUCT(
        (DESC_PROV[LINEA]=$B$2)*
        (DESC_PROV[LISTA]=$C$2)*
        (DESC_PROV[DESCUENTO])
   ))
   *(1+VLOOKUP($C$2,LISTAS[],2,FALSE))
   *(1+VLOOKUP($C$2,LISTAS[],3,FALSE))
)
/5,0)*5,0)</f>
        <v>203185</v>
      </c>
    </row>
    <row r="67" spans="1:17">
      <c r="A67" s="47" t="s">
        <v>147</v>
      </c>
      <c r="B67" s="42">
        <v>57649</v>
      </c>
      <c r="C67" s="42">
        <v>23962</v>
      </c>
      <c r="D67" s="42">
        <v>29021</v>
      </c>
      <c r="E67" s="42">
        <v>38314</v>
      </c>
      <c r="F67" s="42">
        <v>82704</v>
      </c>
      <c r="G67" s="42">
        <v>31939</v>
      </c>
      <c r="H67" s="42">
        <v>123748</v>
      </c>
      <c r="I67" s="2"/>
      <c r="J67" s="2"/>
      <c r="K67" s="47" t="s">
        <v>147</v>
      </c>
      <c r="L67" s="42">
        <f>IFERROR(
ROUND(
IF($A$2="COSTO",
   ((B67*(1+IFERROR(VLOOKUP($D$2,COLORES[],2,FALSE),0)))+C67)
   *(1-SUMPRODUCT(
        (DESC_PROV[LINEA]=$B$2)*
        (DESC_PROV[LISTA]=$C$2)*
        (DESC_PROV[DESCUENTO])
   )),
   ((B67*(1+IFERROR(VLOOKUP($D$2,COLORES[],2,FALSE),0)))+C67)
   *(1-SUMPRODUCT(
        (DESC_PROV[LINEA]=$B$2)*
        (DESC_PROV[LISTA]=$C$2)*
        (DESC_PROV[DESCUENTO])
   ))
   *(1+VLOOKUP($C$2,LISTAS[],2,FALSE))
   *(1+VLOOKUP($C$2,LISTAS[],3,FALSE))
)
/5,0)*5,0)</f>
        <v>101215</v>
      </c>
      <c r="M67" s="42">
        <f>IFERROR(
ROUND(
IF($A$2="COSTO",
   ((B67*(1+IFERROR(VLOOKUP($D$2,COLORES[],2,FALSE),0)))+D67)
   *(1-SUMPRODUCT(
        (DESC_PROV[LINEA]=$B$2)*
        (DESC_PROV[LISTA]=$C$2)*
        (DESC_PROV[DESCUENTO])
   )),
   ((B67*(1+IFERROR(VLOOKUP($D$2,COLORES[],2,FALSE),0)))+D67)
   *(1-SUMPRODUCT(
        (DESC_PROV[LINEA]=$B$2)*
        (DESC_PROV[LISTA]=$C$2)*
        (DESC_PROV[DESCUENTO])
   ))
   *(1+VLOOKUP($C$2,LISTAS[],2,FALSE))
   *(1+VLOOKUP($C$2,LISTAS[],3,FALSE))
)
/5,0)*5,0)</f>
        <v>107490</v>
      </c>
      <c r="N67" s="42">
        <f>IFERROR(
ROUND(
IF($A$2="COSTO",
   ((B67*(1+IFERROR(VLOOKUP($D$2,COLORES[],2,FALSE),0)))+E67)
   *(1-SUMPRODUCT(
        (DESC_PROV[LINEA]=$B$2)*
        (DESC_PROV[LISTA]=$C$2)*
        (DESC_PROV[DESCUENTO])
   )),
   ((B67*(1+IFERROR(VLOOKUP($D$2,COLORES[],2,FALSE),0)))+E67)
   *(1-SUMPRODUCT(
        (DESC_PROV[LINEA]=$B$2)*
        (DESC_PROV[LISTA]=$C$2)*
        (DESC_PROV[DESCUENTO])
   ))
   *(1+VLOOKUP($C$2,LISTAS[],2,FALSE))
   *(1+VLOOKUP($C$2,LISTAS[],3,FALSE))
)
/5,0)*5,0)</f>
        <v>119015</v>
      </c>
      <c r="O67" s="42">
        <f>IFERROR(
ROUND(
IF($A$2="COSTO",
   ((B67*(1+IFERROR(VLOOKUP($D$2,COLORES[],2,FALSE),0)))+F67)
   *(1-SUMPRODUCT(
        (DESC_PROV[LINEA]=$B$2)*
        (DESC_PROV[LISTA]=$C$2)*
        (DESC_PROV[DESCUENTO])
   )),
   ((B67*(1+IFERROR(VLOOKUP($D$2,COLORES[],2,FALSE),0)))+F67)
   *(1-SUMPRODUCT(
        (DESC_PROV[LINEA]=$B$2)*
        (DESC_PROV[LISTA]=$C$2)*
        (DESC_PROV[DESCUENTO])
   ))
   *(1+VLOOKUP($C$2,LISTAS[],2,FALSE))
   *(1+VLOOKUP($C$2,LISTAS[],3,FALSE))
)
/5,0)*5,0)</f>
        <v>174065</v>
      </c>
      <c r="P67" s="42">
        <f>IFERROR(
ROUND(
IF($A$2="COSTO",
   ((B67*(1+IFERROR(VLOOKUP($D$2,COLORES[],2,FALSE),0)))+G67)
   *(1-SUMPRODUCT(
        (DESC_PROV[LINEA]=$B$2)*
        (DESC_PROV[LISTA]=$C$2)*
        (DESC_PROV[DESCUENTO])
   )),
   ((B67*(1+IFERROR(VLOOKUP($D$2,COLORES[],2,FALSE),0)))+G67)
   *(1-SUMPRODUCT(
        (DESC_PROV[LINEA]=$B$2)*
        (DESC_PROV[LISTA]=$C$2)*
        (DESC_PROV[DESCUENTO])
   ))
   *(1+VLOOKUP($C$2,LISTAS[],2,FALSE))
   *(1+VLOOKUP($C$2,LISTAS[],3,FALSE))
)
/5,0)*5,0)</f>
        <v>111105</v>
      </c>
      <c r="Q67" s="43">
        <f>IFERROR(
ROUND(
IF($A$2="COSTO",
   ((B67*(1+IFERROR(VLOOKUP($D$2,COLORES[],2,FALSE),0)))+H67)
   *(1-SUMPRODUCT(
        (DESC_PROV[LINEA]=$B$2)*
        (DESC_PROV[LISTA]=$C$2)*
        (DESC_PROV[DESCUENTO])
   )),
   ((B67*(1+IFERROR(VLOOKUP($D$2,COLORES[],2,FALSE),0)))+H67)
   *(1-SUMPRODUCT(
        (DESC_PROV[LINEA]=$B$2)*
        (DESC_PROV[LISTA]=$C$2)*
        (DESC_PROV[DESCUENTO])
   ))
   *(1+VLOOKUP($C$2,LISTAS[],2,FALSE))
   *(1+VLOOKUP($C$2,LISTAS[],3,FALSE))
)
/5,0)*5,0)</f>
        <v>224970</v>
      </c>
    </row>
    <row r="68" spans="1:17">
      <c r="A68" s="47" t="s">
        <v>107</v>
      </c>
      <c r="B68" s="42">
        <v>59744</v>
      </c>
      <c r="C68" s="42">
        <v>26957</v>
      </c>
      <c r="D68" s="42">
        <v>32650</v>
      </c>
      <c r="E68" s="42">
        <v>43104</v>
      </c>
      <c r="F68" s="42">
        <v>93043</v>
      </c>
      <c r="G68" s="42">
        <v>35933</v>
      </c>
      <c r="H68" s="42">
        <v>139219</v>
      </c>
      <c r="I68" s="2"/>
      <c r="J68" s="2"/>
      <c r="K68" s="47" t="s">
        <v>107</v>
      </c>
      <c r="L68" s="42">
        <f>IFERROR(
ROUND(
IF($A$2="COSTO",
   ((B68*(1+IFERROR(VLOOKUP($D$2,COLORES[],2,FALSE),0)))+C68)
   *(1-SUMPRODUCT(
        (DESC_PROV[LINEA]=$B$2)*
        (DESC_PROV[LISTA]=$C$2)*
        (DESC_PROV[DESCUENTO])
   )),
   ((B68*(1+IFERROR(VLOOKUP($D$2,COLORES[],2,FALSE),0)))+C68)
   *(1-SUMPRODUCT(
        (DESC_PROV[LINEA]=$B$2)*
        (DESC_PROV[LISTA]=$C$2)*
        (DESC_PROV[DESCUENTO])
   ))
   *(1+VLOOKUP($C$2,LISTAS[],2,FALSE))
   *(1+VLOOKUP($C$2,LISTAS[],3,FALSE))
)
/5,0)*5,0)</f>
        <v>107525</v>
      </c>
      <c r="M68" s="42">
        <f>IFERROR(
ROUND(
IF($A$2="COSTO",
   ((B68*(1+IFERROR(VLOOKUP($D$2,COLORES[],2,FALSE),0)))+D68)
   *(1-SUMPRODUCT(
        (DESC_PROV[LINEA]=$B$2)*
        (DESC_PROV[LISTA]=$C$2)*
        (DESC_PROV[DESCUENTO])
   )),
   ((B68*(1+IFERROR(VLOOKUP($D$2,COLORES[],2,FALSE),0)))+D68)
   *(1-SUMPRODUCT(
        (DESC_PROV[LINEA]=$B$2)*
        (DESC_PROV[LISTA]=$C$2)*
        (DESC_PROV[DESCUENTO])
   ))
   *(1+VLOOKUP($C$2,LISTAS[],2,FALSE))
   *(1+VLOOKUP($C$2,LISTAS[],3,FALSE))
)
/5,0)*5,0)</f>
        <v>114585</v>
      </c>
      <c r="N68" s="42">
        <f>IFERROR(
ROUND(
IF($A$2="COSTO",
   ((B68*(1+IFERROR(VLOOKUP($D$2,COLORES[],2,FALSE),0)))+E68)
   *(1-SUMPRODUCT(
        (DESC_PROV[LINEA]=$B$2)*
        (DESC_PROV[LISTA]=$C$2)*
        (DESC_PROV[DESCUENTO])
   )),
   ((B68*(1+IFERROR(VLOOKUP($D$2,COLORES[],2,FALSE),0)))+E68)
   *(1-SUMPRODUCT(
        (DESC_PROV[LINEA]=$B$2)*
        (DESC_PROV[LISTA]=$C$2)*
        (DESC_PROV[DESCUENTO])
   ))
   *(1+VLOOKUP($C$2,LISTAS[],2,FALSE))
   *(1+VLOOKUP($C$2,LISTAS[],3,FALSE))
)
/5,0)*5,0)</f>
        <v>127550</v>
      </c>
      <c r="O68" s="42">
        <f>IFERROR(
ROUND(
IF($A$2="COSTO",
   ((B68*(1+IFERROR(VLOOKUP($D$2,COLORES[],2,FALSE),0)))+F68)
   *(1-SUMPRODUCT(
        (DESC_PROV[LINEA]=$B$2)*
        (DESC_PROV[LISTA]=$C$2)*
        (DESC_PROV[DESCUENTO])
   )),
   ((B68*(1+IFERROR(VLOOKUP($D$2,COLORES[],2,FALSE),0)))+F68)
   *(1-SUMPRODUCT(
        (DESC_PROV[LINEA]=$B$2)*
        (DESC_PROV[LISTA]=$C$2)*
        (DESC_PROV[DESCUENTO])
   ))
   *(1+VLOOKUP($C$2,LISTAS[],2,FALSE))
   *(1+VLOOKUP($C$2,LISTAS[],3,FALSE))
)
/5,0)*5,0)</f>
        <v>189485</v>
      </c>
      <c r="P68" s="42">
        <f>IFERROR(
ROUND(
IF($A$2="COSTO",
   ((B68*(1+IFERROR(VLOOKUP($D$2,COLORES[],2,FALSE),0)))+G68)
   *(1-SUMPRODUCT(
        (DESC_PROV[LINEA]=$B$2)*
        (DESC_PROV[LISTA]=$C$2)*
        (DESC_PROV[DESCUENTO])
   )),
   ((B68*(1+IFERROR(VLOOKUP($D$2,COLORES[],2,FALSE),0)))+G68)
   *(1-SUMPRODUCT(
        (DESC_PROV[LINEA]=$B$2)*
        (DESC_PROV[LISTA]=$C$2)*
        (DESC_PROV[DESCUENTO])
   ))
   *(1+VLOOKUP($C$2,LISTAS[],2,FALSE))
   *(1+VLOOKUP($C$2,LISTAS[],3,FALSE))
)
/5,0)*5,0)</f>
        <v>118660</v>
      </c>
      <c r="Q68" s="43">
        <f>IFERROR(
ROUND(
IF($A$2="COSTO",
   ((B68*(1+IFERROR(VLOOKUP($D$2,COLORES[],2,FALSE),0)))+H68)
   *(1-SUMPRODUCT(
        (DESC_PROV[LINEA]=$B$2)*
        (DESC_PROV[LISTA]=$C$2)*
        (DESC_PROV[DESCUENTO])
   )),
   ((B68*(1+IFERROR(VLOOKUP($D$2,COLORES[],2,FALSE),0)))+H68)
   *(1-SUMPRODUCT(
        (DESC_PROV[LINEA]=$B$2)*
        (DESC_PROV[LISTA]=$C$2)*
        (DESC_PROV[DESCUENTO])
   ))
   *(1+VLOOKUP($C$2,LISTAS[],2,FALSE))
   *(1+VLOOKUP($C$2,LISTAS[],3,FALSE))
)
/5,0)*5,0)</f>
        <v>246755</v>
      </c>
    </row>
    <row r="69" spans="1:17">
      <c r="A69" s="47" t="s">
        <v>148</v>
      </c>
      <c r="B69" s="42">
        <v>53460</v>
      </c>
      <c r="C69" s="42">
        <v>11434</v>
      </c>
      <c r="D69" s="42">
        <v>13843</v>
      </c>
      <c r="E69" s="42">
        <v>18278</v>
      </c>
      <c r="F69" s="42">
        <v>39466</v>
      </c>
      <c r="G69" s="42">
        <v>15245</v>
      </c>
      <c r="H69" s="42">
        <v>59052</v>
      </c>
      <c r="I69" s="2"/>
      <c r="J69" s="2"/>
      <c r="K69" s="47" t="s">
        <v>148</v>
      </c>
      <c r="L69" s="42">
        <f>IFERROR(
ROUND(
IF($A$2="COSTO",
   ((B69*(1+IFERROR(VLOOKUP($D$2,COLORES[],2,FALSE),0)))+C69)
   *(1-SUMPRODUCT(
        (DESC_PROV[LINEA]=$B$2)*
        (DESC_PROV[LISTA]=$C$2)*
        (DESC_PROV[DESCUENTO])
   )),
   ((B69*(1+IFERROR(VLOOKUP($D$2,COLORES[],2,FALSE),0)))+C69)
   *(1-SUMPRODUCT(
        (DESC_PROV[LINEA]=$B$2)*
        (DESC_PROV[LISTA]=$C$2)*
        (DESC_PROV[DESCUENTO])
   ))
   *(1+VLOOKUP($C$2,LISTAS[],2,FALSE))
   *(1+VLOOKUP($C$2,LISTAS[],3,FALSE))
)
/5,0)*5,0)</f>
        <v>80480</v>
      </c>
      <c r="M69" s="42">
        <f>IFERROR(
ROUND(
IF($A$2="COSTO",
   ((B69*(1+IFERROR(VLOOKUP($D$2,COLORES[],2,FALSE),0)))+D69)
   *(1-SUMPRODUCT(
        (DESC_PROV[LINEA]=$B$2)*
        (DESC_PROV[LISTA]=$C$2)*
        (DESC_PROV[DESCUENTO])
   )),
   ((B69*(1+IFERROR(VLOOKUP($D$2,COLORES[],2,FALSE),0)))+D69)
   *(1-SUMPRODUCT(
        (DESC_PROV[LINEA]=$B$2)*
        (DESC_PROV[LISTA]=$C$2)*
        (DESC_PROV[DESCUENTO])
   ))
   *(1+VLOOKUP($C$2,LISTAS[],2,FALSE))
   *(1+VLOOKUP($C$2,LISTAS[],3,FALSE))
)
/5,0)*5,0)</f>
        <v>83470</v>
      </c>
      <c r="N69" s="42">
        <f>IFERROR(
ROUND(
IF($A$2="COSTO",
   ((B69*(1+IFERROR(VLOOKUP($D$2,COLORES[],2,FALSE),0)))+E69)
   *(1-SUMPRODUCT(
        (DESC_PROV[LINEA]=$B$2)*
        (DESC_PROV[LISTA]=$C$2)*
        (DESC_PROV[DESCUENTO])
   )),
   ((B69*(1+IFERROR(VLOOKUP($D$2,COLORES[],2,FALSE),0)))+E69)
   *(1-SUMPRODUCT(
        (DESC_PROV[LINEA]=$B$2)*
        (DESC_PROV[LISTA]=$C$2)*
        (DESC_PROV[DESCUENTO])
   ))
   *(1+VLOOKUP($C$2,LISTAS[],2,FALSE))
   *(1+VLOOKUP($C$2,LISTAS[],3,FALSE))
)
/5,0)*5,0)</f>
        <v>88970</v>
      </c>
      <c r="O69" s="42">
        <f>IFERROR(
ROUND(
IF($A$2="COSTO",
   ((B69*(1+IFERROR(VLOOKUP($D$2,COLORES[],2,FALSE),0)))+F69)
   *(1-SUMPRODUCT(
        (DESC_PROV[LINEA]=$B$2)*
        (DESC_PROV[LISTA]=$C$2)*
        (DESC_PROV[DESCUENTO])
   )),
   ((B69*(1+IFERROR(VLOOKUP($D$2,COLORES[],2,FALSE),0)))+F69)
   *(1-SUMPRODUCT(
        (DESC_PROV[LINEA]=$B$2)*
        (DESC_PROV[LISTA]=$C$2)*
        (DESC_PROV[DESCUENTO])
   ))
   *(1+VLOOKUP($C$2,LISTAS[],2,FALSE))
   *(1+VLOOKUP($C$2,LISTAS[],3,FALSE))
)
/5,0)*5,0)</f>
        <v>115245</v>
      </c>
      <c r="P69" s="42">
        <f>IFERROR(
ROUND(
IF($A$2="COSTO",
   ((B69*(1+IFERROR(VLOOKUP($D$2,COLORES[],2,FALSE),0)))+G69)
   *(1-SUMPRODUCT(
        (DESC_PROV[LINEA]=$B$2)*
        (DESC_PROV[LISTA]=$C$2)*
        (DESC_PROV[DESCUENTO])
   )),
   ((B69*(1+IFERROR(VLOOKUP($D$2,COLORES[],2,FALSE),0)))+G69)
   *(1-SUMPRODUCT(
        (DESC_PROV[LINEA]=$B$2)*
        (DESC_PROV[LISTA]=$C$2)*
        (DESC_PROV[DESCUENTO])
   ))
   *(1+VLOOKUP($C$2,LISTAS[],2,FALSE))
   *(1+VLOOKUP($C$2,LISTAS[],3,FALSE))
)
/5,0)*5,0)</f>
        <v>85210</v>
      </c>
      <c r="Q69" s="43">
        <f>IFERROR(
ROUND(
IF($A$2="COSTO",
   ((B69*(1+IFERROR(VLOOKUP($D$2,COLORES[],2,FALSE),0)))+H69)
   *(1-SUMPRODUCT(
        (DESC_PROV[LINEA]=$B$2)*
        (DESC_PROV[LISTA]=$C$2)*
        (DESC_PROV[DESCUENTO])
   )),
   ((B69*(1+IFERROR(VLOOKUP($D$2,COLORES[],2,FALSE),0)))+H69)
   *(1-SUMPRODUCT(
        (DESC_PROV[LINEA]=$B$2)*
        (DESC_PROV[LISTA]=$C$2)*
        (DESC_PROV[DESCUENTO])
   ))
   *(1+VLOOKUP($C$2,LISTAS[],2,FALSE))
   *(1+VLOOKUP($C$2,LISTAS[],3,FALSE))
)
/5,0)*5,0)</f>
        <v>139535</v>
      </c>
    </row>
    <row r="70" spans="1:17">
      <c r="A70" s="47" t="s">
        <v>149</v>
      </c>
      <c r="B70" s="42">
        <v>55555</v>
      </c>
      <c r="C70" s="42">
        <v>15245</v>
      </c>
      <c r="D70" s="42">
        <v>18461</v>
      </c>
      <c r="E70" s="42">
        <v>24374</v>
      </c>
      <c r="F70" s="42">
        <v>52618</v>
      </c>
      <c r="G70" s="42">
        <v>20323</v>
      </c>
      <c r="H70" s="42">
        <v>78728</v>
      </c>
      <c r="I70" s="2"/>
      <c r="J70" s="2"/>
      <c r="K70" s="47" t="s">
        <v>149</v>
      </c>
      <c r="L70" s="42">
        <f>IFERROR(
ROUND(
IF($A$2="COSTO",
   ((B70*(1+IFERROR(VLOOKUP($D$2,COLORES[],2,FALSE),0)))+C70)
   *(1-SUMPRODUCT(
        (DESC_PROV[LINEA]=$B$2)*
        (DESC_PROV[LISTA]=$C$2)*
        (DESC_PROV[DESCUENTO])
   )),
   ((B70*(1+IFERROR(VLOOKUP($D$2,COLORES[],2,FALSE),0)))+C70)
   *(1-SUMPRODUCT(
        (DESC_PROV[LINEA]=$B$2)*
        (DESC_PROV[LISTA]=$C$2)*
        (DESC_PROV[DESCUENTO])
   ))
   *(1+VLOOKUP($C$2,LISTAS[],2,FALSE))
   *(1+VLOOKUP($C$2,LISTAS[],3,FALSE))
)
/5,0)*5,0)</f>
        <v>87805</v>
      </c>
      <c r="M70" s="42">
        <f>IFERROR(
ROUND(
IF($A$2="COSTO",
   ((B70*(1+IFERROR(VLOOKUP($D$2,COLORES[],2,FALSE),0)))+D70)
   *(1-SUMPRODUCT(
        (DESC_PROV[LINEA]=$B$2)*
        (DESC_PROV[LISTA]=$C$2)*
        (DESC_PROV[DESCUENTO])
   )),
   ((B70*(1+IFERROR(VLOOKUP($D$2,COLORES[],2,FALSE),0)))+D70)
   *(1-SUMPRODUCT(
        (DESC_PROV[LINEA]=$B$2)*
        (DESC_PROV[LISTA]=$C$2)*
        (DESC_PROV[DESCUENTO])
   ))
   *(1+VLOOKUP($C$2,LISTAS[],2,FALSE))
   *(1+VLOOKUP($C$2,LISTAS[],3,FALSE))
)
/5,0)*5,0)</f>
        <v>91795</v>
      </c>
      <c r="N70" s="42">
        <f>IFERROR(
ROUND(
IF($A$2="COSTO",
   ((B70*(1+IFERROR(VLOOKUP($D$2,COLORES[],2,FALSE),0)))+E70)
   *(1-SUMPRODUCT(
        (DESC_PROV[LINEA]=$B$2)*
        (DESC_PROV[LISTA]=$C$2)*
        (DESC_PROV[DESCUENTO])
   )),
   ((B70*(1+IFERROR(VLOOKUP($D$2,COLORES[],2,FALSE),0)))+E70)
   *(1-SUMPRODUCT(
        (DESC_PROV[LINEA]=$B$2)*
        (DESC_PROV[LISTA]=$C$2)*
        (DESC_PROV[DESCUENTO])
   ))
   *(1+VLOOKUP($C$2,LISTAS[],2,FALSE))
   *(1+VLOOKUP($C$2,LISTAS[],3,FALSE))
)
/5,0)*5,0)</f>
        <v>99130</v>
      </c>
      <c r="O70" s="42">
        <f>IFERROR(
ROUND(
IF($A$2="COSTO",
   ((B70*(1+IFERROR(VLOOKUP($D$2,COLORES[],2,FALSE),0)))+F70)
   *(1-SUMPRODUCT(
        (DESC_PROV[LINEA]=$B$2)*
        (DESC_PROV[LISTA]=$C$2)*
        (DESC_PROV[DESCUENTO])
   )),
   ((B70*(1+IFERROR(VLOOKUP($D$2,COLORES[],2,FALSE),0)))+F70)
   *(1-SUMPRODUCT(
        (DESC_PROV[LINEA]=$B$2)*
        (DESC_PROV[LISTA]=$C$2)*
        (DESC_PROV[DESCUENTO])
   ))
   *(1+VLOOKUP($C$2,LISTAS[],2,FALSE))
   *(1+VLOOKUP($C$2,LISTAS[],3,FALSE))
)
/5,0)*5,0)</f>
        <v>134155</v>
      </c>
      <c r="P70" s="42">
        <f>IFERROR(
ROUND(
IF($A$2="COSTO",
   ((B70*(1+IFERROR(VLOOKUP($D$2,COLORES[],2,FALSE),0)))+G70)
   *(1-SUMPRODUCT(
        (DESC_PROV[LINEA]=$B$2)*
        (DESC_PROV[LISTA]=$C$2)*
        (DESC_PROV[DESCUENTO])
   )),
   ((B70*(1+IFERROR(VLOOKUP($D$2,COLORES[],2,FALSE),0)))+G70)
   *(1-SUMPRODUCT(
        (DESC_PROV[LINEA]=$B$2)*
        (DESC_PROV[LISTA]=$C$2)*
        (DESC_PROV[DESCUENTO])
   ))
   *(1+VLOOKUP($C$2,LISTAS[],2,FALSE))
   *(1+VLOOKUP($C$2,LISTAS[],3,FALSE))
)
/5,0)*5,0)</f>
        <v>94105</v>
      </c>
      <c r="Q70" s="43">
        <f>IFERROR(
ROUND(
IF($A$2="COSTO",
   ((B70*(1+IFERROR(VLOOKUP($D$2,COLORES[],2,FALSE),0)))+H70)
   *(1-SUMPRODUCT(
        (DESC_PROV[LINEA]=$B$2)*
        (DESC_PROV[LISTA]=$C$2)*
        (DESC_PROV[DESCUENTO])
   )),
   ((B70*(1+IFERROR(VLOOKUP($D$2,COLORES[],2,FALSE),0)))+H70)
   *(1-SUMPRODUCT(
        (DESC_PROV[LINEA]=$B$2)*
        (DESC_PROV[LISTA]=$C$2)*
        (DESC_PROV[DESCUENTO])
   ))
   *(1+VLOOKUP($C$2,LISTAS[],2,FALSE))
   *(1+VLOOKUP($C$2,LISTAS[],3,FALSE))
)
/5,0)*5,0)</f>
        <v>166540</v>
      </c>
    </row>
    <row r="71" spans="1:17">
      <c r="A71" s="47" t="s">
        <v>150</v>
      </c>
      <c r="B71" s="42">
        <v>57649</v>
      </c>
      <c r="C71" s="42">
        <v>19056</v>
      </c>
      <c r="D71" s="42">
        <v>23078</v>
      </c>
      <c r="E71" s="42">
        <v>30470</v>
      </c>
      <c r="F71" s="42">
        <v>65770</v>
      </c>
      <c r="G71" s="42">
        <v>25402</v>
      </c>
      <c r="H71" s="42">
        <v>98404</v>
      </c>
      <c r="I71" s="2"/>
      <c r="J71" s="2"/>
      <c r="K71" s="47" t="s">
        <v>150</v>
      </c>
      <c r="L71" s="42">
        <f>IFERROR(
ROUND(
IF($A$2="COSTO",
   ((B71*(1+IFERROR(VLOOKUP($D$2,COLORES[],2,FALSE),0)))+C71)
   *(1-SUMPRODUCT(
        (DESC_PROV[LINEA]=$B$2)*
        (DESC_PROV[LISTA]=$C$2)*
        (DESC_PROV[DESCUENTO])
   )),
   ((B71*(1+IFERROR(VLOOKUP($D$2,COLORES[],2,FALSE),0)))+C71)
   *(1-SUMPRODUCT(
        (DESC_PROV[LINEA]=$B$2)*
        (DESC_PROV[LISTA]=$C$2)*
        (DESC_PROV[DESCUENTO])
   ))
   *(1+VLOOKUP($C$2,LISTAS[],2,FALSE))
   *(1+VLOOKUP($C$2,LISTAS[],3,FALSE))
)
/5,0)*5,0)</f>
        <v>95130</v>
      </c>
      <c r="M71" s="42">
        <f>IFERROR(
ROUND(
IF($A$2="COSTO",
   ((B71*(1+IFERROR(VLOOKUP($D$2,COLORES[],2,FALSE),0)))+D71)
   *(1-SUMPRODUCT(
        (DESC_PROV[LINEA]=$B$2)*
        (DESC_PROV[LISTA]=$C$2)*
        (DESC_PROV[DESCUENTO])
   )),
   ((B71*(1+IFERROR(VLOOKUP($D$2,COLORES[],2,FALSE),0)))+D71)
   *(1-SUMPRODUCT(
        (DESC_PROV[LINEA]=$B$2)*
        (DESC_PROV[LISTA]=$C$2)*
        (DESC_PROV[DESCUENTO])
   ))
   *(1+VLOOKUP($C$2,LISTAS[],2,FALSE))
   *(1+VLOOKUP($C$2,LISTAS[],3,FALSE))
)
/5,0)*5,0)</f>
        <v>100120</v>
      </c>
      <c r="N71" s="42">
        <f>IFERROR(
ROUND(
IF($A$2="COSTO",
   ((B71*(1+IFERROR(VLOOKUP($D$2,COLORES[],2,FALSE),0)))+E71)
   *(1-SUMPRODUCT(
        (DESC_PROV[LINEA]=$B$2)*
        (DESC_PROV[LISTA]=$C$2)*
        (DESC_PROV[DESCUENTO])
   )),
   ((B71*(1+IFERROR(VLOOKUP($D$2,COLORES[],2,FALSE),0)))+E71)
   *(1-SUMPRODUCT(
        (DESC_PROV[LINEA]=$B$2)*
        (DESC_PROV[LISTA]=$C$2)*
        (DESC_PROV[DESCUENTO])
   ))
   *(1+VLOOKUP($C$2,LISTAS[],2,FALSE))
   *(1+VLOOKUP($C$2,LISTAS[],3,FALSE))
)
/5,0)*5,0)</f>
        <v>109285</v>
      </c>
      <c r="O71" s="42">
        <f>IFERROR(
ROUND(
IF($A$2="COSTO",
   ((B71*(1+IFERROR(VLOOKUP($D$2,COLORES[],2,FALSE),0)))+F71)
   *(1-SUMPRODUCT(
        (DESC_PROV[LINEA]=$B$2)*
        (DESC_PROV[LISTA]=$C$2)*
        (DESC_PROV[DESCUENTO])
   )),
   ((B71*(1+IFERROR(VLOOKUP($D$2,COLORES[],2,FALSE),0)))+F71)
   *(1-SUMPRODUCT(
        (DESC_PROV[LINEA]=$B$2)*
        (DESC_PROV[LISTA]=$C$2)*
        (DESC_PROV[DESCUENTO])
   ))
   *(1+VLOOKUP($C$2,LISTAS[],2,FALSE))
   *(1+VLOOKUP($C$2,LISTAS[],3,FALSE))
)
/5,0)*5,0)</f>
        <v>153065</v>
      </c>
      <c r="P71" s="42">
        <f>IFERROR(
ROUND(
IF($A$2="COSTO",
   ((B71*(1+IFERROR(VLOOKUP($D$2,COLORES[],2,FALSE),0)))+G71)
   *(1-SUMPRODUCT(
        (DESC_PROV[LINEA]=$B$2)*
        (DESC_PROV[LISTA]=$C$2)*
        (DESC_PROV[DESCUENTO])
   )),
   ((B71*(1+IFERROR(VLOOKUP($D$2,COLORES[],2,FALSE),0)))+G71)
   *(1-SUMPRODUCT(
        (DESC_PROV[LINEA]=$B$2)*
        (DESC_PROV[LISTA]=$C$2)*
        (DESC_PROV[DESCUENTO])
   ))
   *(1+VLOOKUP($C$2,LISTAS[],2,FALSE))
   *(1+VLOOKUP($C$2,LISTAS[],3,FALSE))
)
/5,0)*5,0)</f>
        <v>103000</v>
      </c>
      <c r="Q71" s="43">
        <f>IFERROR(
ROUND(
IF($A$2="COSTO",
   ((B71*(1+IFERROR(VLOOKUP($D$2,COLORES[],2,FALSE),0)))+H71)
   *(1-SUMPRODUCT(
        (DESC_PROV[LINEA]=$B$2)*
        (DESC_PROV[LISTA]=$C$2)*
        (DESC_PROV[DESCUENTO])
   )),
   ((B71*(1+IFERROR(VLOOKUP($D$2,COLORES[],2,FALSE),0)))+H71)
   *(1-SUMPRODUCT(
        (DESC_PROV[LINEA]=$B$2)*
        (DESC_PROV[LISTA]=$C$2)*
        (DESC_PROV[DESCUENTO])
   ))
   *(1+VLOOKUP($C$2,LISTAS[],2,FALSE))
   *(1+VLOOKUP($C$2,LISTAS[],3,FALSE))
)
/5,0)*5,0)</f>
        <v>193535</v>
      </c>
    </row>
    <row r="72" spans="1:17">
      <c r="A72" s="47" t="s">
        <v>151</v>
      </c>
      <c r="B72" s="42">
        <v>59744</v>
      </c>
      <c r="C72" s="42">
        <v>22867</v>
      </c>
      <c r="D72" s="42">
        <v>27696</v>
      </c>
      <c r="E72" s="42">
        <v>36566</v>
      </c>
      <c r="F72" s="42">
        <v>78922</v>
      </c>
      <c r="G72" s="42">
        <v>30480</v>
      </c>
      <c r="H72" s="42">
        <v>118080</v>
      </c>
      <c r="I72" s="2"/>
      <c r="J72" s="2"/>
      <c r="K72" s="47" t="s">
        <v>151</v>
      </c>
      <c r="L72" s="42">
        <f>IFERROR(
ROUND(
IF($A$2="COSTO",
   ((B72*(1+IFERROR(VLOOKUP($D$2,COLORES[],2,FALSE),0)))+C72)
   *(1-SUMPRODUCT(
        (DESC_PROV[LINEA]=$B$2)*
        (DESC_PROV[LISTA]=$C$2)*
        (DESC_PROV[DESCUENTO])
   )),
   ((B72*(1+IFERROR(VLOOKUP($D$2,COLORES[],2,FALSE),0)))+C72)
   *(1-SUMPRODUCT(
        (DESC_PROV[LINEA]=$B$2)*
        (DESC_PROV[LISTA]=$C$2)*
        (DESC_PROV[DESCUENTO])
   ))
   *(1+VLOOKUP($C$2,LISTAS[],2,FALSE))
   *(1+VLOOKUP($C$2,LISTAS[],3,FALSE))
)
/5,0)*5,0)</f>
        <v>102455</v>
      </c>
      <c r="M72" s="42">
        <f>IFERROR(
ROUND(
IF($A$2="COSTO",
   ((B72*(1+IFERROR(VLOOKUP($D$2,COLORES[],2,FALSE),0)))+D72)
   *(1-SUMPRODUCT(
        (DESC_PROV[LINEA]=$B$2)*
        (DESC_PROV[LISTA]=$C$2)*
        (DESC_PROV[DESCUENTO])
   )),
   ((B72*(1+IFERROR(VLOOKUP($D$2,COLORES[],2,FALSE),0)))+D72)
   *(1-SUMPRODUCT(
        (DESC_PROV[LINEA]=$B$2)*
        (DESC_PROV[LISTA]=$C$2)*
        (DESC_PROV[DESCUENTO])
   ))
   *(1+VLOOKUP($C$2,LISTAS[],2,FALSE))
   *(1+VLOOKUP($C$2,LISTAS[],3,FALSE))
)
/5,0)*5,0)</f>
        <v>108445</v>
      </c>
      <c r="N72" s="42">
        <f>IFERROR(
ROUND(
IF($A$2="COSTO",
   ((B72*(1+IFERROR(VLOOKUP($D$2,COLORES[],2,FALSE),0)))+E72)
   *(1-SUMPRODUCT(
        (DESC_PROV[LINEA]=$B$2)*
        (DESC_PROV[LISTA]=$C$2)*
        (DESC_PROV[DESCUENTO])
   )),
   ((B72*(1+IFERROR(VLOOKUP($D$2,COLORES[],2,FALSE),0)))+E72)
   *(1-SUMPRODUCT(
        (DESC_PROV[LINEA]=$B$2)*
        (DESC_PROV[LISTA]=$C$2)*
        (DESC_PROV[DESCUENTO])
   ))
   *(1+VLOOKUP($C$2,LISTAS[],2,FALSE))
   *(1+VLOOKUP($C$2,LISTAS[],3,FALSE))
)
/5,0)*5,0)</f>
        <v>119445</v>
      </c>
      <c r="O72" s="42">
        <f>IFERROR(
ROUND(
IF($A$2="COSTO",
   ((B72*(1+IFERROR(VLOOKUP($D$2,COLORES[],2,FALSE),0)))+F72)
   *(1-SUMPRODUCT(
        (DESC_PROV[LINEA]=$B$2)*
        (DESC_PROV[LISTA]=$C$2)*
        (DESC_PROV[DESCUENTO])
   )),
   ((B72*(1+IFERROR(VLOOKUP($D$2,COLORES[],2,FALSE),0)))+F72)
   *(1-SUMPRODUCT(
        (DESC_PROV[LINEA]=$B$2)*
        (DESC_PROV[LISTA]=$C$2)*
        (DESC_PROV[DESCUENTO])
   ))
   *(1+VLOOKUP($C$2,LISTAS[],2,FALSE))
   *(1+VLOOKUP($C$2,LISTAS[],3,FALSE))
)
/5,0)*5,0)</f>
        <v>171975</v>
      </c>
      <c r="P72" s="42">
        <f>IFERROR(
ROUND(
IF($A$2="COSTO",
   ((B72*(1+IFERROR(VLOOKUP($D$2,COLORES[],2,FALSE),0)))+G72)
   *(1-SUMPRODUCT(
        (DESC_PROV[LINEA]=$B$2)*
        (DESC_PROV[LISTA]=$C$2)*
        (DESC_PROV[DESCUENTO])
   )),
   ((B72*(1+IFERROR(VLOOKUP($D$2,COLORES[],2,FALSE),0)))+G72)
   *(1-SUMPRODUCT(
        (DESC_PROV[LINEA]=$B$2)*
        (DESC_PROV[LISTA]=$C$2)*
        (DESC_PROV[DESCUENTO])
   ))
   *(1+VLOOKUP($C$2,LISTAS[],2,FALSE))
   *(1+VLOOKUP($C$2,LISTAS[],3,FALSE))
)
/5,0)*5,0)</f>
        <v>111895</v>
      </c>
      <c r="Q72" s="43">
        <f>IFERROR(
ROUND(
IF($A$2="COSTO",
   ((B72*(1+IFERROR(VLOOKUP($D$2,COLORES[],2,FALSE),0)))+H72)
   *(1-SUMPRODUCT(
        (DESC_PROV[LINEA]=$B$2)*
        (DESC_PROV[LISTA]=$C$2)*
        (DESC_PROV[DESCUENTO])
   )),
   ((B72*(1+IFERROR(VLOOKUP($D$2,COLORES[],2,FALSE),0)))+H72)
   *(1-SUMPRODUCT(
        (DESC_PROV[LINEA]=$B$2)*
        (DESC_PROV[LISTA]=$C$2)*
        (DESC_PROV[DESCUENTO])
   ))
   *(1+VLOOKUP($C$2,LISTAS[],2,FALSE))
   *(1+VLOOKUP($C$2,LISTAS[],3,FALSE))
)
/5,0)*5,0)</f>
        <v>220535</v>
      </c>
    </row>
    <row r="73" spans="1:17">
      <c r="A73" s="47" t="s">
        <v>152</v>
      </c>
      <c r="B73" s="42">
        <v>61838</v>
      </c>
      <c r="C73" s="42">
        <v>26678</v>
      </c>
      <c r="D73" s="42">
        <v>32314</v>
      </c>
      <c r="E73" s="42">
        <v>42662</v>
      </c>
      <c r="F73" s="42">
        <v>92074</v>
      </c>
      <c r="G73" s="42">
        <v>35558</v>
      </c>
      <c r="H73" s="42">
        <v>130499</v>
      </c>
      <c r="I73" s="2"/>
      <c r="J73" s="2"/>
      <c r="K73" s="47" t="s">
        <v>152</v>
      </c>
      <c r="L73" s="42">
        <f>IFERROR(
ROUND(
IF($A$2="COSTO",
   ((B73*(1+IFERROR(VLOOKUP($D$2,COLORES[],2,FALSE),0)))+C73)
   *(1-SUMPRODUCT(
        (DESC_PROV[LINEA]=$B$2)*
        (DESC_PROV[LISTA]=$C$2)*
        (DESC_PROV[DESCUENTO])
   )),
   ((B73*(1+IFERROR(VLOOKUP($D$2,COLORES[],2,FALSE),0)))+C73)
   *(1-SUMPRODUCT(
        (DESC_PROV[LINEA]=$B$2)*
        (DESC_PROV[LISTA]=$C$2)*
        (DESC_PROV[DESCUENTO])
   ))
   *(1+VLOOKUP($C$2,LISTAS[],2,FALSE))
   *(1+VLOOKUP($C$2,LISTAS[],3,FALSE))
)
/5,0)*5,0)</f>
        <v>109780</v>
      </c>
      <c r="M73" s="42">
        <f>IFERROR(
ROUND(
IF($A$2="COSTO",
   ((B73*(1+IFERROR(VLOOKUP($D$2,COLORES[],2,FALSE),0)))+D73)
   *(1-SUMPRODUCT(
        (DESC_PROV[LINEA]=$B$2)*
        (DESC_PROV[LISTA]=$C$2)*
        (DESC_PROV[DESCUENTO])
   )),
   ((B73*(1+IFERROR(VLOOKUP($D$2,COLORES[],2,FALSE),0)))+D73)
   *(1-SUMPRODUCT(
        (DESC_PROV[LINEA]=$B$2)*
        (DESC_PROV[LISTA]=$C$2)*
        (DESC_PROV[DESCUENTO])
   ))
   *(1+VLOOKUP($C$2,LISTAS[],2,FALSE))
   *(1+VLOOKUP($C$2,LISTAS[],3,FALSE))
)
/5,0)*5,0)</f>
        <v>116765</v>
      </c>
      <c r="N73" s="42">
        <f>IFERROR(
ROUND(
IF($A$2="COSTO",
   ((B73*(1+IFERROR(VLOOKUP($D$2,COLORES[],2,FALSE),0)))+E73)
   *(1-SUMPRODUCT(
        (DESC_PROV[LINEA]=$B$2)*
        (DESC_PROV[LISTA]=$C$2)*
        (DESC_PROV[DESCUENTO])
   )),
   ((B73*(1+IFERROR(VLOOKUP($D$2,COLORES[],2,FALSE),0)))+E73)
   *(1-SUMPRODUCT(
        (DESC_PROV[LINEA]=$B$2)*
        (DESC_PROV[LISTA]=$C$2)*
        (DESC_PROV[DESCUENTO])
   ))
   *(1+VLOOKUP($C$2,LISTAS[],2,FALSE))
   *(1+VLOOKUP($C$2,LISTAS[],3,FALSE))
)
/5,0)*5,0)</f>
        <v>129600</v>
      </c>
      <c r="O73" s="42">
        <f>IFERROR(
ROUND(
IF($A$2="COSTO",
   ((B73*(1+IFERROR(VLOOKUP($D$2,COLORES[],2,FALSE),0)))+F73)
   *(1-SUMPRODUCT(
        (DESC_PROV[LINEA]=$B$2)*
        (DESC_PROV[LISTA]=$C$2)*
        (DESC_PROV[DESCUENTO])
   )),
   ((B73*(1+IFERROR(VLOOKUP($D$2,COLORES[],2,FALSE),0)))+F73)
   *(1-SUMPRODUCT(
        (DESC_PROV[LINEA]=$B$2)*
        (DESC_PROV[LISTA]=$C$2)*
        (DESC_PROV[DESCUENTO])
   ))
   *(1+VLOOKUP($C$2,LISTAS[],2,FALSE))
   *(1+VLOOKUP($C$2,LISTAS[],3,FALSE))
)
/5,0)*5,0)</f>
        <v>190880</v>
      </c>
      <c r="P73" s="42">
        <f>IFERROR(
ROUND(
IF($A$2="COSTO",
   ((B73*(1+IFERROR(VLOOKUP($D$2,COLORES[],2,FALSE),0)))+G73)
   *(1-SUMPRODUCT(
        (DESC_PROV[LINEA]=$B$2)*
        (DESC_PROV[LISTA]=$C$2)*
        (DESC_PROV[DESCUENTO])
   )),
   ((B73*(1+IFERROR(VLOOKUP($D$2,COLORES[],2,FALSE),0)))+G73)
   *(1-SUMPRODUCT(
        (DESC_PROV[LINEA]=$B$2)*
        (DESC_PROV[LISTA]=$C$2)*
        (DESC_PROV[DESCUENTO])
   ))
   *(1+VLOOKUP($C$2,LISTAS[],2,FALSE))
   *(1+VLOOKUP($C$2,LISTAS[],3,FALSE))
)
/5,0)*5,0)</f>
        <v>120790</v>
      </c>
      <c r="Q73" s="43">
        <f>IFERROR(
ROUND(
IF($A$2="COSTO",
   ((B73*(1+IFERROR(VLOOKUP($D$2,COLORES[],2,FALSE),0)))+H73)
   *(1-SUMPRODUCT(
        (DESC_PROV[LINEA]=$B$2)*
        (DESC_PROV[LISTA]=$C$2)*
        (DESC_PROV[DESCUENTO])
   )),
   ((B73*(1+IFERROR(VLOOKUP($D$2,COLORES[],2,FALSE),0)))+H73)
   *(1-SUMPRODUCT(
        (DESC_PROV[LINEA]=$B$2)*
        (DESC_PROV[LISTA]=$C$2)*
        (DESC_PROV[DESCUENTO])
   ))
   *(1+VLOOKUP($C$2,LISTAS[],2,FALSE))
   *(1+VLOOKUP($C$2,LISTAS[],3,FALSE))
)
/5,0)*5,0)</f>
        <v>238535</v>
      </c>
    </row>
    <row r="74" spans="1:17">
      <c r="A74" s="47" t="s">
        <v>153</v>
      </c>
      <c r="B74" s="42">
        <v>63932</v>
      </c>
      <c r="C74" s="42">
        <v>30490</v>
      </c>
      <c r="D74" s="42">
        <v>36931</v>
      </c>
      <c r="E74" s="42">
        <v>48758</v>
      </c>
      <c r="F74" s="42">
        <v>105226</v>
      </c>
      <c r="G74" s="42">
        <v>40637</v>
      </c>
      <c r="H74" s="42">
        <v>142917</v>
      </c>
      <c r="I74" s="2"/>
      <c r="J74" s="2"/>
      <c r="K74" s="47" t="s">
        <v>153</v>
      </c>
      <c r="L74" s="42">
        <f>IFERROR(
ROUND(
IF($A$2="COSTO",
   ((B74*(1+IFERROR(VLOOKUP($D$2,COLORES[],2,FALSE),0)))+C74)
   *(1-SUMPRODUCT(
        (DESC_PROV[LINEA]=$B$2)*
        (DESC_PROV[LISTA]=$C$2)*
        (DESC_PROV[DESCUENTO])
   )),
   ((B74*(1+IFERROR(VLOOKUP($D$2,COLORES[],2,FALSE),0)))+C74)
   *(1-SUMPRODUCT(
        (DESC_PROV[LINEA]=$B$2)*
        (DESC_PROV[LISTA]=$C$2)*
        (DESC_PROV[DESCUENTO])
   ))
   *(1+VLOOKUP($C$2,LISTAS[],2,FALSE))
   *(1+VLOOKUP($C$2,LISTAS[],3,FALSE))
)
/5,0)*5,0)</f>
        <v>117100</v>
      </c>
      <c r="M74" s="42">
        <f>IFERROR(
ROUND(
IF($A$2="COSTO",
   ((B74*(1+IFERROR(VLOOKUP($D$2,COLORES[],2,FALSE),0)))+D74)
   *(1-SUMPRODUCT(
        (DESC_PROV[LINEA]=$B$2)*
        (DESC_PROV[LISTA]=$C$2)*
        (DESC_PROV[DESCUENTO])
   )),
   ((B74*(1+IFERROR(VLOOKUP($D$2,COLORES[],2,FALSE),0)))+D74)
   *(1-SUMPRODUCT(
        (DESC_PROV[LINEA]=$B$2)*
        (DESC_PROV[LISTA]=$C$2)*
        (DESC_PROV[DESCUENTO])
   ))
   *(1+VLOOKUP($C$2,LISTAS[],2,FALSE))
   *(1+VLOOKUP($C$2,LISTAS[],3,FALSE))
)
/5,0)*5,0)</f>
        <v>125090</v>
      </c>
      <c r="N74" s="42">
        <f>IFERROR(
ROUND(
IF($A$2="COSTO",
   ((B74*(1+IFERROR(VLOOKUP($D$2,COLORES[],2,FALSE),0)))+E74)
   *(1-SUMPRODUCT(
        (DESC_PROV[LINEA]=$B$2)*
        (DESC_PROV[LISTA]=$C$2)*
        (DESC_PROV[DESCUENTO])
   )),
   ((B74*(1+IFERROR(VLOOKUP($D$2,COLORES[],2,FALSE),0)))+E74)
   *(1-SUMPRODUCT(
        (DESC_PROV[LINEA]=$B$2)*
        (DESC_PROV[LISTA]=$C$2)*
        (DESC_PROV[DESCUENTO])
   ))
   *(1+VLOOKUP($C$2,LISTAS[],2,FALSE))
   *(1+VLOOKUP($C$2,LISTAS[],3,FALSE))
)
/5,0)*5,0)</f>
        <v>139760</v>
      </c>
      <c r="O74" s="42">
        <f>IFERROR(
ROUND(
IF($A$2="COSTO",
   ((B74*(1+IFERROR(VLOOKUP($D$2,COLORES[],2,FALSE),0)))+F74)
   *(1-SUMPRODUCT(
        (DESC_PROV[LINEA]=$B$2)*
        (DESC_PROV[LISTA]=$C$2)*
        (DESC_PROV[DESCUENTO])
   )),
   ((B74*(1+IFERROR(VLOOKUP($D$2,COLORES[],2,FALSE),0)))+F74)
   *(1-SUMPRODUCT(
        (DESC_PROV[LINEA]=$B$2)*
        (DESC_PROV[LISTA]=$C$2)*
        (DESC_PROV[DESCUENTO])
   ))
   *(1+VLOOKUP($C$2,LISTAS[],2,FALSE))
   *(1+VLOOKUP($C$2,LISTAS[],3,FALSE))
)
/5,0)*5,0)</f>
        <v>209790</v>
      </c>
      <c r="P74" s="42">
        <f>IFERROR(
ROUND(
IF($A$2="COSTO",
   ((B74*(1+IFERROR(VLOOKUP($D$2,COLORES[],2,FALSE),0)))+G74)
   *(1-SUMPRODUCT(
        (DESC_PROV[LINEA]=$B$2)*
        (DESC_PROV[LISTA]=$C$2)*
        (DESC_PROV[DESCUENTO])
   )),
   ((B74*(1+IFERROR(VLOOKUP($D$2,COLORES[],2,FALSE),0)))+G74)
   *(1-SUMPRODUCT(
        (DESC_PROV[LINEA]=$B$2)*
        (DESC_PROV[LISTA]=$C$2)*
        (DESC_PROV[DESCUENTO])
   ))
   *(1+VLOOKUP($C$2,LISTAS[],2,FALSE))
   *(1+VLOOKUP($C$2,LISTAS[],3,FALSE))
)
/5,0)*5,0)</f>
        <v>129685</v>
      </c>
      <c r="Q74" s="43">
        <f>IFERROR(
ROUND(
IF($A$2="COSTO",
   ((B74*(1+IFERROR(VLOOKUP($D$2,COLORES[],2,FALSE),0)))+H74)
   *(1-SUMPRODUCT(
        (DESC_PROV[LINEA]=$B$2)*
        (DESC_PROV[LISTA]=$C$2)*
        (DESC_PROV[DESCUENTO])
   )),
   ((B74*(1+IFERROR(VLOOKUP($D$2,COLORES[],2,FALSE),0)))+H74)
   *(1-SUMPRODUCT(
        (DESC_PROV[LINEA]=$B$2)*
        (DESC_PROV[LISTA]=$C$2)*
        (DESC_PROV[DESCUENTO])
   ))
   *(1+VLOOKUP($C$2,LISTAS[],2,FALSE))
   *(1+VLOOKUP($C$2,LISTAS[],3,FALSE))
)
/5,0)*5,0)</f>
        <v>256535</v>
      </c>
    </row>
    <row r="75" spans="1:17" ht="14.65" thickBot="1">
      <c r="A75" s="48" t="s">
        <v>114</v>
      </c>
      <c r="B75" s="42">
        <v>66027</v>
      </c>
      <c r="C75" s="42">
        <v>34301</v>
      </c>
      <c r="D75" s="42">
        <v>41549</v>
      </c>
      <c r="E75" s="42">
        <v>54854</v>
      </c>
      <c r="F75" s="42">
        <v>118378</v>
      </c>
      <c r="G75" s="42">
        <v>45715</v>
      </c>
      <c r="H75" s="42">
        <v>162593</v>
      </c>
      <c r="I75" s="2"/>
      <c r="J75" s="2"/>
      <c r="K75" s="48" t="s">
        <v>114</v>
      </c>
      <c r="L75" s="42">
        <f>IFERROR(
ROUND(
IF($A$2="COSTO",
   ((B75*(1+IFERROR(VLOOKUP($D$2,COLORES[],2,FALSE),0)))+C75)
   *(1-SUMPRODUCT(
        (DESC_PROV[LINEA]=$B$2)*
        (DESC_PROV[LISTA]=$C$2)*
        (DESC_PROV[DESCUENTO])
   )),
   ((B75*(1+IFERROR(VLOOKUP($D$2,COLORES[],2,FALSE),0)))+C75)
   *(1-SUMPRODUCT(
        (DESC_PROV[LINEA]=$B$2)*
        (DESC_PROV[LISTA]=$C$2)*
        (DESC_PROV[DESCUENTO])
   ))
   *(1+VLOOKUP($C$2,LISTAS[],2,FALSE))
   *(1+VLOOKUP($C$2,LISTAS[],3,FALSE))
)
/5,0)*5,0)</f>
        <v>124425</v>
      </c>
      <c r="M75" s="42">
        <f>IFERROR(
ROUND(
IF($A$2="COSTO",
   ((B75*(1+IFERROR(VLOOKUP($D$2,COLORES[],2,FALSE),0)))+D75)
   *(1-SUMPRODUCT(
        (DESC_PROV[LINEA]=$B$2)*
        (DESC_PROV[LISTA]=$C$2)*
        (DESC_PROV[DESCUENTO])
   )),
   ((B75*(1+IFERROR(VLOOKUP($D$2,COLORES[],2,FALSE),0)))+D75)
   *(1-SUMPRODUCT(
        (DESC_PROV[LINEA]=$B$2)*
        (DESC_PROV[LISTA]=$C$2)*
        (DESC_PROV[DESCUENTO])
   ))
   *(1+VLOOKUP($C$2,LISTAS[],2,FALSE))
   *(1+VLOOKUP($C$2,LISTAS[],3,FALSE))
)
/5,0)*5,0)</f>
        <v>133415</v>
      </c>
      <c r="N75" s="42">
        <f>IFERROR(
ROUND(
IF($A$2="COSTO",
   ((B75*(1+IFERROR(VLOOKUP($D$2,COLORES[],2,FALSE),0)))+E75)
   *(1-SUMPRODUCT(
        (DESC_PROV[LINEA]=$B$2)*
        (DESC_PROV[LISTA]=$C$2)*
        (DESC_PROV[DESCUENTO])
   )),
   ((B75*(1+IFERROR(VLOOKUP($D$2,COLORES[],2,FALSE),0)))+E75)
   *(1-SUMPRODUCT(
        (DESC_PROV[LINEA]=$B$2)*
        (DESC_PROV[LISTA]=$C$2)*
        (DESC_PROV[DESCUENTO])
   ))
   *(1+VLOOKUP($C$2,LISTAS[],2,FALSE))
   *(1+VLOOKUP($C$2,LISTAS[],3,FALSE))
)
/5,0)*5,0)</f>
        <v>149915</v>
      </c>
      <c r="O75" s="42">
        <f>IFERROR(
ROUND(
IF($A$2="COSTO",
   ((B75*(1+IFERROR(VLOOKUP($D$2,COLORES[],2,FALSE),0)))+F75)
   *(1-SUMPRODUCT(
        (DESC_PROV[LINEA]=$B$2)*
        (DESC_PROV[LISTA]=$C$2)*
        (DESC_PROV[DESCUENTO])
   )),
   ((B75*(1+IFERROR(VLOOKUP($D$2,COLORES[],2,FALSE),0)))+F75)
   *(1-SUMPRODUCT(
        (DESC_PROV[LINEA]=$B$2)*
        (DESC_PROV[LISTA]=$C$2)*
        (DESC_PROV[DESCUENTO])
   ))
   *(1+VLOOKUP($C$2,LISTAS[],2,FALSE))
   *(1+VLOOKUP($C$2,LISTAS[],3,FALSE))
)
/5,0)*5,0)</f>
        <v>228700</v>
      </c>
      <c r="P75" s="42">
        <f>IFERROR(
ROUND(
IF($A$2="COSTO",
   ((B75*(1+IFERROR(VLOOKUP($D$2,COLORES[],2,FALSE),0)))+G75)
   *(1-SUMPRODUCT(
        (DESC_PROV[LINEA]=$B$2)*
        (DESC_PROV[LISTA]=$C$2)*
        (DESC_PROV[DESCUENTO])
   )),
   ((B75*(1+IFERROR(VLOOKUP($D$2,COLORES[],2,FALSE),0)))+G75)
   *(1-SUMPRODUCT(
        (DESC_PROV[LINEA]=$B$2)*
        (DESC_PROV[LISTA]=$C$2)*
        (DESC_PROV[DESCUENTO])
   ))
   *(1+VLOOKUP($C$2,LISTAS[],2,FALSE))
   *(1+VLOOKUP($C$2,LISTAS[],3,FALSE))
)
/5,0)*5,0)</f>
        <v>138580</v>
      </c>
      <c r="Q75" s="43">
        <f>IFERROR(
ROUND(
IF($A$2="COSTO",
   ((B75*(1+IFERROR(VLOOKUP($D$2,COLORES[],2,FALSE),0)))+H75)
   *(1-SUMPRODUCT(
        (DESC_PROV[LINEA]=$B$2)*
        (DESC_PROV[LISTA]=$C$2)*
        (DESC_PROV[DESCUENTO])
   )),
   ((B75*(1+IFERROR(VLOOKUP($D$2,COLORES[],2,FALSE),0)))+H75)
   *(1-SUMPRODUCT(
        (DESC_PROV[LINEA]=$B$2)*
        (DESC_PROV[LISTA]=$C$2)*
        (DESC_PROV[DESCUENTO])
   ))
   *(1+VLOOKUP($C$2,LISTAS[],2,FALSE))
   *(1+VLOOKUP($C$2,LISTAS[],3,FALSE))
)
/5,0)*5,0)</f>
        <v>283535</v>
      </c>
    </row>
  </sheetData>
  <mergeCells count="2">
    <mergeCell ref="A5:H5"/>
    <mergeCell ref="K5:Q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F0000"/>
  </sheetPr>
  <dimension ref="A1:P26"/>
  <sheetViews>
    <sheetView zoomScale="70" zoomScaleNormal="70" workbookViewId="0">
      <selection activeCell="K25" sqref="K25:K26"/>
    </sheetView>
  </sheetViews>
  <sheetFormatPr baseColWidth="10" defaultColWidth="10.73046875" defaultRowHeight="14.25"/>
  <cols>
    <col min="1" max="1" width="17.265625" style="4" customWidth="1"/>
    <col min="2" max="2" width="10.73046875" style="4" customWidth="1"/>
    <col min="3" max="3" width="10.3984375" style="4" customWidth="1"/>
    <col min="4" max="4" width="8.73046875" style="4"/>
    <col min="5" max="5" width="8.73046875" style="4" customWidth="1"/>
    <col min="6" max="6" width="12" style="4" customWidth="1"/>
    <col min="7" max="7" width="14.59765625" style="4" customWidth="1"/>
    <col min="8" max="8" width="10.73046875" style="4" customWidth="1"/>
    <col min="9" max="9" width="8.73046875" style="4"/>
    <col min="10" max="10" width="17.265625" style="4" customWidth="1"/>
    <col min="11" max="11" width="10.3984375" style="4" customWidth="1"/>
    <col min="12" max="13" width="8.73046875" style="4"/>
    <col min="14" max="14" width="12" style="4" customWidth="1"/>
    <col min="15" max="15" width="14.59765625" style="4" customWidth="1"/>
    <col min="16" max="16" width="10.73046875" style="4" customWidth="1"/>
    <col min="17" max="16384" width="10.73046875" style="4"/>
  </cols>
  <sheetData>
    <row r="1" spans="1:16">
      <c r="A1" s="254" t="s">
        <v>34</v>
      </c>
      <c r="B1" s="255" t="s">
        <v>395</v>
      </c>
      <c r="C1" s="255" t="s">
        <v>396</v>
      </c>
      <c r="D1" s="256" t="s">
        <v>28</v>
      </c>
      <c r="E1" s="256" t="s">
        <v>403</v>
      </c>
    </row>
    <row r="2" spans="1:16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  <c r="E2" s="253">
        <v>0.8</v>
      </c>
    </row>
    <row r="3" spans="1:16" ht="14.65" thickBot="1"/>
    <row r="4" spans="1:16" ht="25.9" thickBot="1">
      <c r="A4" s="287" t="s">
        <v>195</v>
      </c>
      <c r="B4" s="288"/>
      <c r="C4" s="288"/>
      <c r="D4" s="288"/>
      <c r="E4" s="288"/>
      <c r="F4" s="288"/>
      <c r="G4" s="288"/>
      <c r="H4" s="289"/>
      <c r="I4" s="2"/>
      <c r="J4" s="287" t="s">
        <v>195</v>
      </c>
      <c r="K4" s="288"/>
      <c r="L4" s="288"/>
      <c r="M4" s="288"/>
      <c r="N4" s="288"/>
      <c r="O4" s="288"/>
      <c r="P4" s="289"/>
    </row>
    <row r="5" spans="1:16" ht="16.899999999999999">
      <c r="A5" s="71"/>
      <c r="B5" s="72" t="s">
        <v>196</v>
      </c>
      <c r="C5" s="72" t="s">
        <v>197</v>
      </c>
      <c r="D5" s="72" t="s">
        <v>198</v>
      </c>
      <c r="E5" s="72" t="s">
        <v>199</v>
      </c>
      <c r="F5" s="72" t="s">
        <v>200</v>
      </c>
      <c r="G5" s="72" t="s">
        <v>201</v>
      </c>
      <c r="H5" s="73" t="s">
        <v>202</v>
      </c>
      <c r="I5" s="2"/>
      <c r="J5" s="71"/>
      <c r="K5" s="72" t="s">
        <v>197</v>
      </c>
      <c r="L5" s="72" t="s">
        <v>198</v>
      </c>
      <c r="M5" s="72" t="s">
        <v>199</v>
      </c>
      <c r="N5" s="72" t="s">
        <v>200</v>
      </c>
      <c r="O5" s="72" t="s">
        <v>201</v>
      </c>
      <c r="P5" s="73" t="s">
        <v>202</v>
      </c>
    </row>
    <row r="6" spans="1:16" ht="16.899999999999999">
      <c r="A6" s="74" t="s">
        <v>203</v>
      </c>
      <c r="B6" s="64">
        <v>122701</v>
      </c>
      <c r="C6" s="64">
        <v>0</v>
      </c>
      <c r="D6" s="64">
        <v>25448</v>
      </c>
      <c r="E6" s="64">
        <v>0</v>
      </c>
      <c r="F6" s="64">
        <v>28009</v>
      </c>
      <c r="G6" s="64">
        <v>72521</v>
      </c>
      <c r="H6" s="64">
        <v>108521</v>
      </c>
      <c r="I6" s="2"/>
      <c r="J6" s="74" t="s">
        <v>203</v>
      </c>
      <c r="K6" s="65" t="s">
        <v>204</v>
      </c>
      <c r="L6" s="65">
        <f>IFERROR(
ROUND(
IF($A$2="COSTO",
   ((B6*(1+IFERROR(VLOOKUP($D$2,COLORES[],2,FALSE),0)) + D6)
   *(1+($E$2-0.8)))
   *(1-SUMPRODUCT(
        (DESC_PROV[LINEA]=$B$2)*
        (DESC_PROV[LISTA]=$C$2)*
        (DESC_PROV[DESCUENTO])
   )),
   ((B6*(1+IFERROR(VLOOKUP($D$2,COLORES[],2,FALSE),0)) + D6)
   *(1+($E$2-0.8)))
   *(1-SUMPRODUCT(
        (DESC_PROV[LINEA]=$B$2)*
        (DESC_PROV[LISTA]=$C$2)*
        (DESC_PROV[DESCUENTO])
   ))
   *(1+VLOOKUP($C$2,LISTAS[],2,FALSE))
   *(1+VLOOKUP($C$2,LISTAS[],3,FALSE))
)
/5,0)*5,0)</f>
        <v>183735</v>
      </c>
      <c r="M6" s="65" t="s">
        <v>204</v>
      </c>
      <c r="N6" s="65">
        <f>IFERROR(
ROUND(
IF($A$2="COSTO",
   ((B6*(1+IFERROR(VLOOKUP($D$2,COLORES[],2,FALSE),0)) + F6)
   *IF($E$2=0.8,1,IF($E$2=0.7,1-7%,1+10%)))
   *(1-SUMPRODUCT(
        (DESC_PROV[LINEA]=$B$2)*
        (DESC_PROV[LISTA]=$C$2)*
        (DESC_PROV[DESCUENTO])
   )),
   ((B6*(1+IFERROR(VLOOKUP($D$2,COLORES[],2,FALSE),0)) + F6)
   *IF($E$2=0.8,1,IF($E$2=0.7,1-7%,1+10%)))
   *(1-SUMPRODUCT(
        (DESC_PROV[LINEA]=$B$2)*
        (DESC_PROV[LISTA]=$C$2)*
        (DESC_PROV[DESCUENTO])
   ))
   *(1+VLOOKUP($C$2,LISTAS[],2,FALSE))
   *(1+VLOOKUP($C$2,LISTAS[],3,FALSE))
)
/5,0)*5,0)</f>
        <v>186910</v>
      </c>
      <c r="O6" s="65">
        <f>IFERROR(
ROUND(
IF($A$2="COSTO",
   ((B6*(1+IFERROR(VLOOKUP($D$2,COLORES[],2,FALSE),0)) + G6)
   *IF($E$2=0.8,1,IF($E$2=0.7,1-7%,1+10%)))
   *(1-SUMPRODUCT(
        (DESC_PROV[LINEA]=$B$2)*
        (DESC_PROV[LISTA]=$C$2)*
        (DESC_PROV[DESCUENTO])
   )),
   ((B6*(1+IFERROR(VLOOKUP($D$2,COLORES[],2,FALSE),0)) + G6)
   *IF($E$2=0.8,1,IF($E$2=0.7,1-7%,1+10%)))
   *(1-SUMPRODUCT(
        (DESC_PROV[LINEA]=$B$2)*
        (DESC_PROV[LISTA]=$C$2)*
        (DESC_PROV[DESCUENTO])
   ))
   *(1+VLOOKUP($C$2,LISTAS[],2,FALSE))
   *(1+VLOOKUP($C$2,LISTAS[],3,FALSE))
)
/5,0)*5,0)</f>
        <v>242115</v>
      </c>
      <c r="P6" s="65">
        <f>IFERROR(
ROUND(
IF($A$2="COSTO",
   ((B6*(1+IFERROR(VLOOKUP($D$2,COLORES[],2,FALSE),0)) + H6)
   *IF($E$2=0.8,1,IF($E$2=0.7,1-7%,1+10%)))
   *(1-SUMPRODUCT(
        (DESC_PROV[LINEA]=$B$2)*
        (DESC_PROV[LISTA]=$C$2)*
        (DESC_PROV[DESCUENTO])
   )),
   ((B6*(1+IFERROR(VLOOKUP($D$2,COLORES[],2,FALSE),0)) + H6)
   *IF($E$2=0.8,1,IF($E$2=0.7,1-7%,1+10%)))
   *(1-SUMPRODUCT(
        (DESC_PROV[LINEA]=$B$2)*
        (DESC_PROV[LISTA]=$C$2)*
        (DESC_PROV[DESCUENTO])
   ))
   *(1+VLOOKUP($C$2,LISTAS[],2,FALSE))
   *(1+VLOOKUP($C$2,LISTAS[],3,FALSE))
)
/5,0)*5,0)</f>
        <v>286760</v>
      </c>
    </row>
    <row r="7" spans="1:16" ht="16.899999999999999">
      <c r="A7" s="74" t="s">
        <v>205</v>
      </c>
      <c r="B7" s="64">
        <v>162622</v>
      </c>
      <c r="C7" s="64">
        <v>0</v>
      </c>
      <c r="D7" s="64">
        <v>25448</v>
      </c>
      <c r="E7" s="64">
        <v>0</v>
      </c>
      <c r="F7" s="64">
        <v>28009</v>
      </c>
      <c r="G7" s="64">
        <v>72521</v>
      </c>
      <c r="H7" s="64">
        <v>0</v>
      </c>
      <c r="I7" s="2"/>
      <c r="J7" s="74" t="s">
        <v>205</v>
      </c>
      <c r="K7" s="65" t="s">
        <v>204</v>
      </c>
      <c r="L7" s="65">
        <f>IFERROR(
ROUND(
IF($A$2="COSTO",
   ((B7*(1+IFERROR(VLOOKUP($D$2,COLORES[],2,FALSE),0)) + D7)
   *(1+($E$2-0.8)))
   *(1-SUMPRODUCT(
        (DESC_PROV[LINEA]=$B$2)*
        (DESC_PROV[LISTA]=$C$2)*
        (DESC_PROV[DESCUENTO])
   )),
   ((B7*(1+IFERROR(VLOOKUP($D$2,COLORES[],2,FALSE),0)) + D7)
   *(1+($E$2-0.8)))
   *(1-SUMPRODUCT(
        (DESC_PROV[LINEA]=$B$2)*
        (DESC_PROV[LISTA]=$C$2)*
        (DESC_PROV[DESCUENTO])
   ))
   *(1+VLOOKUP($C$2,LISTAS[],2,FALSE))
   *(1+VLOOKUP($C$2,LISTAS[],3,FALSE))
)
/5,0)*5,0)</f>
        <v>233245</v>
      </c>
      <c r="M7" s="65" t="s">
        <v>204</v>
      </c>
      <c r="N7" s="65">
        <f>IFERROR(
ROUND(
IF($A$2="COSTO",
   ((B7*(1+IFERROR(VLOOKUP($D$2,COLORES[],2,FALSE),0)) + F7)
   *IF($E$2=0.8,1,IF($E$2=0.7,1-7%,1+10%)))
   *(1-SUMPRODUCT(
        (DESC_PROV[LINEA]=$B$2)*
        (DESC_PROV[LISTA]=$C$2)*
        (DESC_PROV[DESCUENTO])
   )),
   ((B7*(1+IFERROR(VLOOKUP($D$2,COLORES[],2,FALSE),0)) + F7)
   *IF($E$2=0.8,1,IF($E$2=0.7,1-7%,1+10%)))
   *(1-SUMPRODUCT(
        (DESC_PROV[LINEA]=$B$2)*
        (DESC_PROV[LISTA]=$C$2)*
        (DESC_PROV[DESCUENTO])
   ))
   *(1+VLOOKUP($C$2,LISTAS[],2,FALSE))
   *(1+VLOOKUP($C$2,LISTAS[],3,FALSE))
)
/5,0)*5,0)</f>
        <v>236420</v>
      </c>
      <c r="O7" s="65">
        <f>IFERROR(
ROUND(
IF($A$2="COSTO",
   ((B7*(1+IFERROR(VLOOKUP($D$2,COLORES[],2,FALSE),0)) + G7)
   *IF($E$2=0.8,1,IF($E$2=0.7,1-7%,1+10%)))
   *(1-SUMPRODUCT(
        (DESC_PROV[LINEA]=$B$2)*
        (DESC_PROV[LISTA]=$C$2)*
        (DESC_PROV[DESCUENTO])
   )),
   ((B7*(1+IFERROR(VLOOKUP($D$2,COLORES[],2,FALSE),0)) + G7)
   *IF($E$2=0.8,1,IF($E$2=0.7,1-7%,1+10%)))
   *(1-SUMPRODUCT(
        (DESC_PROV[LINEA]=$B$2)*
        (DESC_PROV[LISTA]=$C$2)*
        (DESC_PROV[DESCUENTO])
   ))
   *(1+VLOOKUP($C$2,LISTAS[],2,FALSE))
   *(1+VLOOKUP($C$2,LISTAS[],3,FALSE))
)
/5,0)*5,0)</f>
        <v>291625</v>
      </c>
      <c r="P7" s="65">
        <f>IFERROR(
ROUND(
IF($A$2="COSTO",
   ((B7*(1+IFERROR(VLOOKUP($D$2,COLORES[],2,FALSE),0)) + H7)
   *IF($E$2=0.8,1,IF($E$2=0.7,1-7%,1+10%)))
   *(1-SUMPRODUCT(
        (DESC_PROV[LINEA]=$B$2)*
        (DESC_PROV[LISTA]=$C$2)*
        (DESC_PROV[DESCUENTO])
   )),
   ((B7*(1+IFERROR(VLOOKUP($D$2,COLORES[],2,FALSE),0)) + H7)
   *IF($E$2=0.8,1,IF($E$2=0.7,1-7%,1+10%)))
   *(1-SUMPRODUCT(
        (DESC_PROV[LINEA]=$B$2)*
        (DESC_PROV[LISTA]=$C$2)*
        (DESC_PROV[DESCUENTO])
   ))
   *(1+VLOOKUP($C$2,LISTAS[],2,FALSE))
   *(1+VLOOKUP($C$2,LISTAS[],3,FALSE))
)
/5,0)*5,0)</f>
        <v>201685</v>
      </c>
    </row>
    <row r="8" spans="1:16" ht="16.899999999999999">
      <c r="A8" s="74" t="s">
        <v>206</v>
      </c>
      <c r="B8" s="64">
        <v>129329</v>
      </c>
      <c r="C8" s="64">
        <v>19890</v>
      </c>
      <c r="D8" s="64">
        <v>24115</v>
      </c>
      <c r="E8" s="64">
        <v>31746</v>
      </c>
      <c r="F8" s="64">
        <v>26533</v>
      </c>
      <c r="G8" s="64">
        <v>68705</v>
      </c>
      <c r="H8" s="64">
        <v>83034</v>
      </c>
      <c r="I8" s="2"/>
      <c r="J8" s="74" t="s">
        <v>206</v>
      </c>
      <c r="K8" s="65">
        <f>IFERROR(
ROUND(
IF($A$2="COSTO",
   ((B8*(1+IFERROR(VLOOKUP($D$2,COLORES[],2,FALSE),0)) + C8)
   *IF($E$2=0.8,1,IF($E$2=0.7,1-7%,1+10%)))
   *(1-SUMPRODUCT(
        (DESC_PROV[LINEA]=$B$2)*
        (DESC_PROV[LISTA]=$C$2)*
        (DESC_PROV[DESCUENTO])
   )),
   ((B8*(1+IFERROR(VLOOKUP($D$2,COLORES[],2,FALSE),0)) + C8)
   *IF($E$2=0.8,1,IF($E$2=0.7,1-7%,1+10%)))
   *(1-SUMPRODUCT(
        (DESC_PROV[LINEA]=$B$2)*
        (DESC_PROV[LISTA]=$C$2)*
        (DESC_PROV[DESCUENTO])
   ))
   *(1+VLOOKUP($C$2,LISTAS[],2,FALSE))
   *(1+VLOOKUP($C$2,LISTAS[],3,FALSE))
)
/5,0)*5,0)</f>
        <v>185060</v>
      </c>
      <c r="L8" s="65">
        <f>IFERROR(
ROUND(
IF($A$2="COSTO",
   ((B8*(1+IFERROR(VLOOKUP($D$2,COLORES[],2,FALSE),0)) + D8)
   *(1+($E$2-0.8)))
   *(1-SUMPRODUCT(
        (DESC_PROV[LINEA]=$B$2)*
        (DESC_PROV[LISTA]=$C$2)*
        (DESC_PROV[DESCUENTO])
   )),
   ((B8*(1+IFERROR(VLOOKUP($D$2,COLORES[],2,FALSE),0)) + D8)
   *(1+($E$2-0.8)))
   *(1-SUMPRODUCT(
        (DESC_PROV[LINEA]=$B$2)*
        (DESC_PROV[LISTA]=$C$2)*
        (DESC_PROV[DESCUENTO])
   ))
   *(1+VLOOKUP($C$2,LISTAS[],2,FALSE))
   *(1+VLOOKUP($C$2,LISTAS[],3,FALSE))
)
/5,0)*5,0)</f>
        <v>190300</v>
      </c>
      <c r="M8" s="65">
        <f>IFERROR(
ROUND(
IF($A$2="COSTO",
   ((B8*(1+IFERROR(VLOOKUP($D$2,COLORES[],2,FALSE),0)) + E8)
   *IF($E$2=0.8,1,IF($E$2=0.7,1-7%,1+10%)))
   *(1-SUMPRODUCT(
        (DESC_PROV[LINEA]=$B$2)*
        (DESC_PROV[LISTA]=$C$2)*
        (DESC_PROV[DESCUENTO])
   )),
   ((B8*(1+IFERROR(VLOOKUP($D$2,COLORES[],2,FALSE),0)) + E8)
   *IF($E$2=0.8,1,IF($E$2=0.7,1-7%,1+10%)))
   *(1-SUMPRODUCT(
        (DESC_PROV[LINEA]=$B$2)*
        (DESC_PROV[LISTA]=$C$2)*
        (DESC_PROV[DESCUENTO])
   ))
   *(1+VLOOKUP($C$2,LISTAS[],2,FALSE))
   *(1+VLOOKUP($C$2,LISTAS[],3,FALSE))
)
/5,0)*5,0)</f>
        <v>199765</v>
      </c>
      <c r="N8" s="65">
        <f>IFERROR(
ROUND(
IF($A$2="COSTO",
   ((B8*(1+IFERROR(VLOOKUP($D$2,COLORES[],2,FALSE),0)) + F8)
   *IF($E$2=0.8,1,IF($E$2=0.7,1-7%,1+10%)))
   *(1-SUMPRODUCT(
        (DESC_PROV[LINEA]=$B$2)*
        (DESC_PROV[LISTA]=$C$2)*
        (DESC_PROV[DESCUENTO])
   )),
   ((B8*(1+IFERROR(VLOOKUP($D$2,COLORES[],2,FALSE),0)) + F8)
   *IF($E$2=0.8,1,IF($E$2=0.7,1-7%,1+10%)))
   *(1-SUMPRODUCT(
        (DESC_PROV[LINEA]=$B$2)*
        (DESC_PROV[LISTA]=$C$2)*
        (DESC_PROV[DESCUENTO])
   ))
   *(1+VLOOKUP($C$2,LISTAS[],2,FALSE))
   *(1+VLOOKUP($C$2,LISTAS[],3,FALSE))
)
/5,0)*5,0)</f>
        <v>193300</v>
      </c>
      <c r="O8" s="65">
        <f>IFERROR(
ROUND(
IF($A$2="COSTO",
   ((B8*(1+IFERROR(VLOOKUP($D$2,COLORES[],2,FALSE),0)) + G8)
   *IF($E$2=0.8,1,IF($E$2=0.7,1-7%,1+10%)))
   *(1-SUMPRODUCT(
        (DESC_PROV[LINEA]=$B$2)*
        (DESC_PROV[LISTA]=$C$2)*
        (DESC_PROV[DESCUENTO])
   )),
   ((B8*(1+IFERROR(VLOOKUP($D$2,COLORES[],2,FALSE),0)) + G8)
   *IF($E$2=0.8,1,IF($E$2=0.7,1-7%,1+10%)))
   *(1-SUMPRODUCT(
        (DESC_PROV[LINEA]=$B$2)*
        (DESC_PROV[LISTA]=$C$2)*
        (DESC_PROV[DESCUENTO])
   ))
   *(1+VLOOKUP($C$2,LISTAS[],2,FALSE))
   *(1+VLOOKUP($C$2,LISTAS[],3,FALSE))
)
/5,0)*5,0)</f>
        <v>245600</v>
      </c>
      <c r="P8" s="65">
        <f>IFERROR(
ROUND(
IF($A$2="COSTO",
   ((B8*(1+IFERROR(VLOOKUP($D$2,COLORES[],2,FALSE),0)) + H8)
   *IF($E$2=0.8,1,IF($E$2=0.7,1-7%,1+10%)))
   *(1-SUMPRODUCT(
        (DESC_PROV[LINEA]=$B$2)*
        (DESC_PROV[LISTA]=$C$2)*
        (DESC_PROV[DESCUENTO])
   )),
   ((B8*(1+IFERROR(VLOOKUP($D$2,COLORES[],2,FALSE),0)) + H8)
   *IF($E$2=0.8,1,IF($E$2=0.7,1-7%,1+10%)))
   *(1-SUMPRODUCT(
        (DESC_PROV[LINEA]=$B$2)*
        (DESC_PROV[LISTA]=$C$2)*
        (DESC_PROV[DESCUENTO])
   ))
   *(1+VLOOKUP($C$2,LISTAS[],2,FALSE))
   *(1+VLOOKUP($C$2,LISTAS[],3,FALSE))
)
/5,0)*5,0)</f>
        <v>263375</v>
      </c>
    </row>
    <row r="9" spans="1:16" ht="16.899999999999999">
      <c r="A9" s="74" t="s">
        <v>207</v>
      </c>
      <c r="B9" s="64">
        <v>171098</v>
      </c>
      <c r="C9" s="64">
        <v>9945</v>
      </c>
      <c r="D9" s="64">
        <v>12058</v>
      </c>
      <c r="E9" s="64">
        <v>15873</v>
      </c>
      <c r="F9" s="64">
        <v>13267</v>
      </c>
      <c r="G9" s="64">
        <v>34353</v>
      </c>
      <c r="H9" s="64">
        <v>41517</v>
      </c>
      <c r="I9" s="2"/>
      <c r="J9" s="74" t="s">
        <v>207</v>
      </c>
      <c r="K9" s="65">
        <f>IFERROR(
ROUND(
IF($A$2="COSTO",
   ((B9*(1+IFERROR(VLOOKUP($D$2,COLORES[],2,FALSE),0)) + C9)
   *IF($E$2=0.8,1,IF($E$2=0.7,1-7%,1+10%)))
   *(1-SUMPRODUCT(
        (DESC_PROV[LINEA]=$B$2)*
        (DESC_PROV[LISTA]=$C$2)*
        (DESC_PROV[DESCUENTO])
   )),
   ((B9*(1+IFERROR(VLOOKUP($D$2,COLORES[],2,FALSE),0)) + C9)
   *IF($E$2=0.8,1,IF($E$2=0.7,1-7%,1+10%)))
   *(1-SUMPRODUCT(
        (DESC_PROV[LINEA]=$B$2)*
        (DESC_PROV[LISTA]=$C$2)*
        (DESC_PROV[DESCUENTO])
   ))
   *(1+VLOOKUP($C$2,LISTAS[],2,FALSE))
   *(1+VLOOKUP($C$2,LISTAS[],3,FALSE))
)
/5,0)*5,0)</f>
        <v>224530</v>
      </c>
      <c r="L9" s="65">
        <f>IFERROR(
ROUND(
IF($A$2="COSTO",
   ((B9*(1+IFERROR(VLOOKUP($D$2,COLORES[],2,FALSE),0)) + D9)
   *(1+($E$2-0.8)))
   *(1-SUMPRODUCT(
        (DESC_PROV[LINEA]=$B$2)*
        (DESC_PROV[LISTA]=$C$2)*
        (DESC_PROV[DESCUENTO])
   )),
   ((B9*(1+IFERROR(VLOOKUP($D$2,COLORES[],2,FALSE),0)) + D9)
   *(1+($E$2-0.8)))
   *(1-SUMPRODUCT(
        (DESC_PROV[LINEA]=$B$2)*
        (DESC_PROV[LISTA]=$C$2)*
        (DESC_PROV[DESCUENTO])
   ))
   *(1+VLOOKUP($C$2,LISTAS[],2,FALSE))
   *(1+VLOOKUP($C$2,LISTAS[],3,FALSE))
)
/5,0)*5,0)</f>
        <v>227150</v>
      </c>
      <c r="M9" s="65">
        <f>IFERROR(
ROUND(
IF($A$2="COSTO",
   ((B9*(1+IFERROR(VLOOKUP($D$2,COLORES[],2,FALSE),0)) + E9)
   *IF($E$2=0.8,1,IF($E$2=0.7,1-7%,1+10%)))
   *(1-SUMPRODUCT(
        (DESC_PROV[LINEA]=$B$2)*
        (DESC_PROV[LISTA]=$C$2)*
        (DESC_PROV[DESCUENTO])
   )),
   ((B9*(1+IFERROR(VLOOKUP($D$2,COLORES[],2,FALSE),0)) + E9)
   *IF($E$2=0.8,1,IF($E$2=0.7,1-7%,1+10%)))
   *(1-SUMPRODUCT(
        (DESC_PROV[LINEA]=$B$2)*
        (DESC_PROV[LISTA]=$C$2)*
        (DESC_PROV[DESCUENTO])
   ))
   *(1+VLOOKUP($C$2,LISTAS[],2,FALSE))
   *(1+VLOOKUP($C$2,LISTAS[],3,FALSE))
)
/5,0)*5,0)</f>
        <v>231880</v>
      </c>
      <c r="N9" s="65">
        <f>IFERROR(
ROUND(
IF($A$2="COSTO",
   ((B9*(1+IFERROR(VLOOKUP($D$2,COLORES[],2,FALSE),0)) + F9)
   *IF($E$2=0.8,1,IF($E$2=0.7,1-7%,1+10%)))
   *(1-SUMPRODUCT(
        (DESC_PROV[LINEA]=$B$2)*
        (DESC_PROV[LISTA]=$C$2)*
        (DESC_PROV[DESCUENTO])
   )),
   ((B9*(1+IFERROR(VLOOKUP($D$2,COLORES[],2,FALSE),0)) + F9)
   *IF($E$2=0.8,1,IF($E$2=0.7,1-7%,1+10%)))
   *(1-SUMPRODUCT(
        (DESC_PROV[LINEA]=$B$2)*
        (DESC_PROV[LISTA]=$C$2)*
        (DESC_PROV[DESCUENTO])
   ))
   *(1+VLOOKUP($C$2,LISTAS[],2,FALSE))
   *(1+VLOOKUP($C$2,LISTAS[],3,FALSE))
)
/5,0)*5,0)</f>
        <v>228650</v>
      </c>
      <c r="O9" s="65">
        <f>IFERROR(
ROUND(
IF($A$2="COSTO",
   ((B9*(1+IFERROR(VLOOKUP($D$2,COLORES[],2,FALSE),0)) + G9)
   *IF($E$2=0.8,1,IF($E$2=0.7,1-7%,1+10%)))
   *(1-SUMPRODUCT(
        (DESC_PROV[LINEA]=$B$2)*
        (DESC_PROV[LISTA]=$C$2)*
        (DESC_PROV[DESCUENTO])
   )),
   ((B9*(1+IFERROR(VLOOKUP($D$2,COLORES[],2,FALSE),0)) + G9)
   *IF($E$2=0.8,1,IF($E$2=0.7,1-7%,1+10%)))
   *(1-SUMPRODUCT(
        (DESC_PROV[LINEA]=$B$2)*
        (DESC_PROV[LISTA]=$C$2)*
        (DESC_PROV[DESCUENTO])
   ))
   *(1+VLOOKUP($C$2,LISTAS[],2,FALSE))
   *(1+VLOOKUP($C$2,LISTAS[],3,FALSE))
)
/5,0)*5,0)</f>
        <v>254800</v>
      </c>
      <c r="P9" s="65">
        <f>IFERROR(
ROUND(
IF($A$2="COSTO",
   ((B9*(1+IFERROR(VLOOKUP($D$2,COLORES[],2,FALSE),0)) + H9)
   *IF($E$2=0.8,1,IF($E$2=0.7,1-7%,1+10%)))
   *(1-SUMPRODUCT(
        (DESC_PROV[LINEA]=$B$2)*
        (DESC_PROV[LISTA]=$C$2)*
        (DESC_PROV[DESCUENTO])
   )),
   ((B9*(1+IFERROR(VLOOKUP($D$2,COLORES[],2,FALSE),0)) + H9)
   *IF($E$2=0.8,1,IF($E$2=0.7,1-7%,1+10%)))
   *(1-SUMPRODUCT(
        (DESC_PROV[LINEA]=$B$2)*
        (DESC_PROV[LISTA]=$C$2)*
        (DESC_PROV[DESCUENTO])
   ))
   *(1+VLOOKUP($C$2,LISTAS[],2,FALSE))
   *(1+VLOOKUP($C$2,LISTAS[],3,FALSE))
)
/5,0)*5,0)</f>
        <v>263685</v>
      </c>
    </row>
    <row r="10" spans="1:16" ht="16.899999999999999">
      <c r="A10" s="74" t="s">
        <v>208</v>
      </c>
      <c r="B10" s="64">
        <v>195833</v>
      </c>
      <c r="C10" s="64">
        <v>9945</v>
      </c>
      <c r="D10" s="64">
        <v>0</v>
      </c>
      <c r="E10" s="64">
        <v>0</v>
      </c>
      <c r="F10" s="64">
        <v>13267</v>
      </c>
      <c r="G10" s="64">
        <v>34353</v>
      </c>
      <c r="H10" s="64">
        <v>0</v>
      </c>
      <c r="I10" s="2"/>
      <c r="J10" s="74" t="s">
        <v>208</v>
      </c>
      <c r="K10" s="65">
        <f>IFERROR(
ROUND(
IF($A$2="COSTO",
   ((B10*(1+IFERROR(VLOOKUP($D$2,COLORES[],2,FALSE),0)) + C10)
   *IF($E$2=0.8,1,IF($E$2=0.7,1-7%,1+10%)))
   *(1-SUMPRODUCT(
        (DESC_PROV[LINEA]=$B$2)*
        (DESC_PROV[LISTA]=$C$2)*
        (DESC_PROV[DESCUENTO])
   )),
   ((B10*(1+IFERROR(VLOOKUP($D$2,COLORES[],2,FALSE),0)) + C10)
   *IF($E$2=0.8,1,IF($E$2=0.7,1-7%,1+10%)))
   *(1-SUMPRODUCT(
        (DESC_PROV[LINEA]=$B$2)*
        (DESC_PROV[LISTA]=$C$2)*
        (DESC_PROV[DESCUENTO])
   ))
   *(1+VLOOKUP($C$2,LISTAS[],2,FALSE))
   *(1+VLOOKUP($C$2,LISTAS[],3,FALSE))
)
/5,0)*5,0)</f>
        <v>255205</v>
      </c>
      <c r="L10" s="65" t="s">
        <v>204</v>
      </c>
      <c r="M10" s="65" t="s">
        <v>204</v>
      </c>
      <c r="N10" s="65">
        <f>IFERROR(
ROUND(
IF($A$2="COSTO",
   ((B10*(1+IFERROR(VLOOKUP($D$2,COLORES[],2,FALSE),0)) + F10)
   *IF($E$2=0.8,1,IF($E$2=0.7,1-7%,1+10%)))
   *(1-SUMPRODUCT(
        (DESC_PROV[LINEA]=$B$2)*
        (DESC_PROV[LISTA]=$C$2)*
        (DESC_PROV[DESCUENTO])
   )),
   ((B10*(1+IFERROR(VLOOKUP($D$2,COLORES[],2,FALSE),0)) + F10)
   *IF($E$2=0.8,1,IF($E$2=0.7,1-7%,1+10%)))
   *(1-SUMPRODUCT(
        (DESC_PROV[LINEA]=$B$2)*
        (DESC_PROV[LISTA]=$C$2)*
        (DESC_PROV[DESCUENTO])
   ))
   *(1+VLOOKUP($C$2,LISTAS[],2,FALSE))
   *(1+VLOOKUP($C$2,LISTAS[],3,FALSE))
)
/5,0)*5,0)</f>
        <v>259325</v>
      </c>
      <c r="O10" s="65">
        <f>IFERROR(
ROUND(
IF($A$2="COSTO",
   ((B10*(1+IFERROR(VLOOKUP($D$2,COLORES[],2,FALSE),0)) + G10)
   *IF($E$2=0.8,1,IF($E$2=0.7,1-7%,1+10%)))
   *(1-SUMPRODUCT(
        (DESC_PROV[LINEA]=$B$2)*
        (DESC_PROV[LISTA]=$C$2)*
        (DESC_PROV[DESCUENTO])
   )),
   ((B10*(1+IFERROR(VLOOKUP($D$2,COLORES[],2,FALSE),0)) + G10)
   *IF($E$2=0.8,1,IF($E$2=0.7,1-7%,1+10%)))
   *(1-SUMPRODUCT(
        (DESC_PROV[LINEA]=$B$2)*
        (DESC_PROV[LISTA]=$C$2)*
        (DESC_PROV[DESCUENTO])
   ))
   *(1+VLOOKUP($C$2,LISTAS[],2,FALSE))
   *(1+VLOOKUP($C$2,LISTAS[],3,FALSE))
)
/5,0)*5,0)</f>
        <v>285475</v>
      </c>
      <c r="P10" s="65">
        <f>IFERROR(
ROUND(
IF($A$2="COSTO",
   ((B10*(1+IFERROR(VLOOKUP($D$2,COLORES[],2,FALSE),0)) + H10)
   *IF($E$2=0.8,1,IF($E$2=0.7,1-7%,1+10%)))
   *(1-SUMPRODUCT(
        (DESC_PROV[LINEA]=$B$2)*
        (DESC_PROV[LISTA]=$C$2)*
        (DESC_PROV[DESCUENTO])
   )),
   ((B10*(1+IFERROR(VLOOKUP($D$2,COLORES[],2,FALSE),0)) + H10)
   *IF($E$2=0.8,1,IF($E$2=0.7,1-7%,1+10%)))
   *(1-SUMPRODUCT(
        (DESC_PROV[LINEA]=$B$2)*
        (DESC_PROV[LISTA]=$C$2)*
        (DESC_PROV[DESCUENTO])
   ))
   *(1+VLOOKUP($C$2,LISTAS[],2,FALSE))
   *(1+VLOOKUP($C$2,LISTAS[],3,FALSE))
)
/5,0)*5,0)</f>
        <v>242870</v>
      </c>
    </row>
    <row r="11" spans="1:16" ht="16.899999999999999">
      <c r="A11" s="74" t="s">
        <v>209</v>
      </c>
      <c r="B11" s="64">
        <v>191983</v>
      </c>
      <c r="C11" s="64">
        <v>5558</v>
      </c>
      <c r="D11" s="64">
        <v>6695</v>
      </c>
      <c r="E11" s="64">
        <v>8821</v>
      </c>
      <c r="F11" s="64">
        <v>7371</v>
      </c>
      <c r="G11" s="64">
        <v>19084</v>
      </c>
      <c r="H11" s="64">
        <v>23064</v>
      </c>
      <c r="I11" s="2"/>
      <c r="J11" s="74" t="s">
        <v>209</v>
      </c>
      <c r="K11" s="65">
        <f>IFERROR(
ROUND(
IF($A$2="COSTO",
   ((B11*(1+IFERROR(VLOOKUP($D$2,COLORES[],2,FALSE),0)) + C11)
   *IF($E$2=0.8,1,IF($E$2=0.7,1-7%,1+10%)))
   *(1-SUMPRODUCT(
        (DESC_PROV[LINEA]=$B$2)*
        (DESC_PROV[LISTA]=$C$2)*
        (DESC_PROV[DESCUENTO])
   )),
   ((B11*(1+IFERROR(VLOOKUP($D$2,COLORES[],2,FALSE),0)) + C11)
   *IF($E$2=0.8,1,IF($E$2=0.7,1-7%,1+10%)))
   *(1-SUMPRODUCT(
        (DESC_PROV[LINEA]=$B$2)*
        (DESC_PROV[LISTA]=$C$2)*
        (DESC_PROV[DESCUENTO])
   ))
   *(1+VLOOKUP($C$2,LISTAS[],2,FALSE))
   *(1+VLOOKUP($C$2,LISTAS[],3,FALSE))
)
/5,0)*5,0)</f>
        <v>244990</v>
      </c>
      <c r="L11" s="65">
        <f>IFERROR(
ROUND(
IF($A$2="COSTO",
   ((B11*(1+IFERROR(VLOOKUP($D$2,COLORES[],2,FALSE),0)) + D11)
   *(1+($E$2-0.8)))
   *(1-SUMPRODUCT(
        (DESC_PROV[LINEA]=$B$2)*
        (DESC_PROV[LISTA]=$C$2)*
        (DESC_PROV[DESCUENTO])
   )),
   ((B11*(1+IFERROR(VLOOKUP($D$2,COLORES[],2,FALSE),0)) + D11)
   *(1+($E$2-0.8)))
   *(1-SUMPRODUCT(
        (DESC_PROV[LINEA]=$B$2)*
        (DESC_PROV[LISTA]=$C$2)*
        (DESC_PROV[DESCUENTO])
   ))
   *(1+VLOOKUP($C$2,LISTAS[],2,FALSE))
   *(1+VLOOKUP($C$2,LISTAS[],3,FALSE))
)
/5,0)*5,0)</f>
        <v>246400</v>
      </c>
      <c r="M11" s="65">
        <f>IFERROR(
ROUND(
IF($A$2="COSTO",
   ((B11*(1+IFERROR(VLOOKUP($D$2,COLORES[],2,FALSE),0)) + E11)
   *IF($E$2=0.8,1,IF($E$2=0.7,1-7%,1+10%)))
   *(1-SUMPRODUCT(
        (DESC_PROV[LINEA]=$B$2)*
        (DESC_PROV[LISTA]=$C$2)*
        (DESC_PROV[DESCUENTO])
   )),
   ((B11*(1+IFERROR(VLOOKUP($D$2,COLORES[],2,FALSE),0)) + E11)
   *IF($E$2=0.8,1,IF($E$2=0.7,1-7%,1+10%)))
   *(1-SUMPRODUCT(
        (DESC_PROV[LINEA]=$B$2)*
        (DESC_PROV[LISTA]=$C$2)*
        (DESC_PROV[DESCUENTO])
   ))
   *(1+VLOOKUP($C$2,LISTAS[],2,FALSE))
   *(1+VLOOKUP($C$2,LISTAS[],3,FALSE))
)
/5,0)*5,0)</f>
        <v>249035</v>
      </c>
      <c r="N11" s="65">
        <f>IFERROR(
ROUND(
IF($A$2="COSTO",
   ((B11*(1+IFERROR(VLOOKUP($D$2,COLORES[],2,FALSE),0)) + F11)
   *IF($E$2=0.8,1,IF($E$2=0.7,1-7%,1+10%)))
   *(1-SUMPRODUCT(
        (DESC_PROV[LINEA]=$B$2)*
        (DESC_PROV[LISTA]=$C$2)*
        (DESC_PROV[DESCUENTO])
   )),
   ((B11*(1+IFERROR(VLOOKUP($D$2,COLORES[],2,FALSE),0)) + F11)
   *IF($E$2=0.8,1,IF($E$2=0.7,1-7%,1+10%)))
   *(1-SUMPRODUCT(
        (DESC_PROV[LINEA]=$B$2)*
        (DESC_PROV[LISTA]=$C$2)*
        (DESC_PROV[DESCUENTO])
   ))
   *(1+VLOOKUP($C$2,LISTAS[],2,FALSE))
   *(1+VLOOKUP($C$2,LISTAS[],3,FALSE))
)
/5,0)*5,0)</f>
        <v>247240</v>
      </c>
      <c r="O11" s="65">
        <f>IFERROR(
ROUND(
IF($A$2="COSTO",
   ((B11*(1+IFERROR(VLOOKUP($D$2,COLORES[],2,FALSE),0)) + G11)
   *IF($E$2=0.8,1,IF($E$2=0.7,1-7%,1+10%)))
   *(1-SUMPRODUCT(
        (DESC_PROV[LINEA]=$B$2)*
        (DESC_PROV[LISTA]=$C$2)*
        (DESC_PROV[DESCUENTO])
   )),
   ((B11*(1+IFERROR(VLOOKUP($D$2,COLORES[],2,FALSE),0)) + G11)
   *IF($E$2=0.8,1,IF($E$2=0.7,1-7%,1+10%)))
   *(1-SUMPRODUCT(
        (DESC_PROV[LINEA]=$B$2)*
        (DESC_PROV[LISTA]=$C$2)*
        (DESC_PROV[DESCUENTO])
   ))
   *(1+VLOOKUP($C$2,LISTAS[],2,FALSE))
   *(1+VLOOKUP($C$2,LISTAS[],3,FALSE))
)
/5,0)*5,0)</f>
        <v>261765</v>
      </c>
      <c r="P11" s="65">
        <f>IFERROR(
ROUND(
IF($A$2="COSTO",
   ((B11*(1+IFERROR(VLOOKUP($D$2,COLORES[],2,FALSE),0)) + H11)
   *IF($E$2=0.8,1,IF($E$2=0.7,1-7%,1+10%)))
   *(1-SUMPRODUCT(
        (DESC_PROV[LINEA]=$B$2)*
        (DESC_PROV[LISTA]=$C$2)*
        (DESC_PROV[DESCUENTO])
   )),
   ((B11*(1+IFERROR(VLOOKUP($D$2,COLORES[],2,FALSE),0)) + H11)
   *IF($E$2=0.8,1,IF($E$2=0.7,1-7%,1+10%)))
   *(1-SUMPRODUCT(
        (DESC_PROV[LINEA]=$B$2)*
        (DESC_PROV[LISTA]=$C$2)*
        (DESC_PROV[DESCUENTO])
   ))
   *(1+VLOOKUP($C$2,LISTAS[],2,FALSE))
   *(1+VLOOKUP($C$2,LISTAS[],3,FALSE))
)
/5,0)*5,0)</f>
        <v>266700</v>
      </c>
    </row>
    <row r="12" spans="1:16" ht="16.899999999999999">
      <c r="A12" s="74" t="s">
        <v>210</v>
      </c>
      <c r="B12" s="64">
        <v>208415</v>
      </c>
      <c r="C12" s="64">
        <v>5558</v>
      </c>
      <c r="D12" s="64">
        <v>0</v>
      </c>
      <c r="E12" s="64">
        <v>0</v>
      </c>
      <c r="F12" s="64">
        <v>7371</v>
      </c>
      <c r="G12" s="64">
        <v>19084</v>
      </c>
      <c r="H12" s="64">
        <v>0</v>
      </c>
      <c r="I12" s="2"/>
      <c r="J12" s="74" t="s">
        <v>210</v>
      </c>
      <c r="K12" s="65">
        <f>IFERROR(
ROUND(
IF($A$2="COSTO",
   ((B12*(1+IFERROR(VLOOKUP($D$2,COLORES[],2,FALSE),0)) + C12)
   *IF($E$2=0.8,1,IF($E$2=0.7,1-7%,1+10%)))
   *(1-SUMPRODUCT(
        (DESC_PROV[LINEA]=$B$2)*
        (DESC_PROV[LISTA]=$C$2)*
        (DESC_PROV[DESCUENTO])
   )),
   ((B12*(1+IFERROR(VLOOKUP($D$2,COLORES[],2,FALSE),0)) + C12)
   *IF($E$2=0.8,1,IF($E$2=0.7,1-7%,1+10%)))
   *(1-SUMPRODUCT(
        (DESC_PROV[LINEA]=$B$2)*
        (DESC_PROV[LISTA]=$C$2)*
        (DESC_PROV[DESCUENTO])
   ))
   *(1+VLOOKUP($C$2,LISTAS[],2,FALSE))
   *(1+VLOOKUP($C$2,LISTAS[],3,FALSE))
)
/5,0)*5,0)</f>
        <v>265370</v>
      </c>
      <c r="L12" s="65" t="s">
        <v>204</v>
      </c>
      <c r="M12" s="65" t="s">
        <v>204</v>
      </c>
      <c r="N12" s="65">
        <f>IFERROR(
ROUND(
IF($A$2="COSTO",
   ((B12*(1+IFERROR(VLOOKUP($D$2,COLORES[],2,FALSE),0)) + F12)
   *IF($E$2=0.8,1,IF($E$2=0.7,1-7%,1+10%)))
   *(1-SUMPRODUCT(
        (DESC_PROV[LINEA]=$B$2)*
        (DESC_PROV[LISTA]=$C$2)*
        (DESC_PROV[DESCUENTO])
   )),
   ((B12*(1+IFERROR(VLOOKUP($D$2,COLORES[],2,FALSE),0)) + F12)
   *IF($E$2=0.8,1,IF($E$2=0.7,1-7%,1+10%)))
   *(1-SUMPRODUCT(
        (DESC_PROV[LINEA]=$B$2)*
        (DESC_PROV[LISTA]=$C$2)*
        (DESC_PROV[DESCUENTO])
   ))
   *(1+VLOOKUP($C$2,LISTAS[],2,FALSE))
   *(1+VLOOKUP($C$2,LISTAS[],3,FALSE))
)
/5,0)*5,0)</f>
        <v>267620</v>
      </c>
      <c r="O12" s="65">
        <f>IFERROR(
ROUND(
IF($A$2="COSTO",
   ((B12*(1+IFERROR(VLOOKUP($D$2,COLORES[],2,FALSE),0)) + G12)
   *IF($E$2=0.8,1,IF($E$2=0.7,1-7%,1+10%)))
   *(1-SUMPRODUCT(
        (DESC_PROV[LINEA]=$B$2)*
        (DESC_PROV[LISTA]=$C$2)*
        (DESC_PROV[DESCUENTO])
   )),
   ((B12*(1+IFERROR(VLOOKUP($D$2,COLORES[],2,FALSE),0)) + G12)
   *IF($E$2=0.8,1,IF($E$2=0.7,1-7%,1+10%)))
   *(1-SUMPRODUCT(
        (DESC_PROV[LINEA]=$B$2)*
        (DESC_PROV[LISTA]=$C$2)*
        (DESC_PROV[DESCUENTO])
   ))
   *(1+VLOOKUP($C$2,LISTAS[],2,FALSE))
   *(1+VLOOKUP($C$2,LISTAS[],3,FALSE))
)
/5,0)*5,0)</f>
        <v>282145</v>
      </c>
      <c r="P12" s="65" t="s">
        <v>204</v>
      </c>
    </row>
    <row r="13" spans="1:16" ht="16.899999999999999">
      <c r="A13" s="74" t="s">
        <v>211</v>
      </c>
      <c r="B13" s="64">
        <v>206271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2"/>
      <c r="J13" s="74" t="s">
        <v>211</v>
      </c>
      <c r="K13" s="65">
        <f>IFERROR(
ROUND(
IF($A$2="COSTO",
   ((B13*(1+IFERROR(VLOOKUP($D$2,COLORES[],2,FALSE),0)) + C13)
   *IF($E$2=0.8,1,IF($E$2=0.7,1-7%,1+10%)))
   *(1-SUMPRODUCT(
        (DESC_PROV[LINEA]=$B$2)*
        (DESC_PROV[LISTA]=$C$2)*
        (DESC_PROV[DESCUENTO])
   )),
   ((B13*(1+IFERROR(VLOOKUP($D$2,COLORES[],2,FALSE),0)) + C13)
   *IF($E$2=0.8,1,IF($E$2=0.7,1-7%,1+10%)))
   *(1-SUMPRODUCT(
        (DESC_PROV[LINEA]=$B$2)*
        (DESC_PROV[LISTA]=$C$2)*
        (DESC_PROV[DESCUENTO])
   ))
   *(1+VLOOKUP($C$2,LISTAS[],2,FALSE))
   *(1+VLOOKUP($C$2,LISTAS[],3,FALSE))
)
/5,0)*5,0)</f>
        <v>255815</v>
      </c>
      <c r="L13" s="65" t="s">
        <v>204</v>
      </c>
      <c r="M13" s="65" t="s">
        <v>204</v>
      </c>
      <c r="N13" s="65" t="s">
        <v>204</v>
      </c>
      <c r="O13" s="65" t="s">
        <v>204</v>
      </c>
      <c r="P13" s="65" t="s">
        <v>204</v>
      </c>
    </row>
    <row r="14" spans="1:16" ht="16.899999999999999">
      <c r="A14" s="74" t="s">
        <v>212</v>
      </c>
      <c r="B14" s="64">
        <v>190883</v>
      </c>
      <c r="C14" s="64">
        <v>9945</v>
      </c>
      <c r="D14" s="64">
        <v>12058</v>
      </c>
      <c r="E14" s="64">
        <v>15873</v>
      </c>
      <c r="F14" s="64">
        <v>13267</v>
      </c>
      <c r="G14" s="64">
        <v>34353</v>
      </c>
      <c r="H14" s="64">
        <v>41517</v>
      </c>
      <c r="I14" s="2"/>
      <c r="J14" s="74" t="s">
        <v>212</v>
      </c>
      <c r="K14" s="65">
        <f>IFERROR(
ROUND(
IF($A$2="COSTO",
   ((B14*(1+IFERROR(VLOOKUP($D$2,COLORES[],2,FALSE),0)) + C14)
   *IF($E$2=0.8,1,IF($E$2=0.7,1-7%,1+10%)))
   *(1-SUMPRODUCT(
        (DESC_PROV[LINEA]=$B$2)*
        (DESC_PROV[LISTA]=$C$2)*
        (DESC_PROV[DESCUENTO])
   )),
   ((B14*(1+IFERROR(VLOOKUP($D$2,COLORES[],2,FALSE),0)) + C14)
   *IF($E$2=0.8,1,IF($E$2=0.7,1-7%,1+10%)))
   *(1-SUMPRODUCT(
        (DESC_PROV[LINEA]=$B$2)*
        (DESC_PROV[LISTA]=$C$2)*
        (DESC_PROV[DESCUENTO])
   ))
   *(1+VLOOKUP($C$2,LISTAS[],2,FALSE))
   *(1+VLOOKUP($C$2,LISTAS[],3,FALSE))
)
/5,0)*5,0)</f>
        <v>249065</v>
      </c>
      <c r="L14" s="65">
        <f>IFERROR(
ROUND(
IF($A$2="COSTO",
   ((B14*(1+IFERROR(VLOOKUP($D$2,COLORES[],2,FALSE),0)) + D14)
   *(1+($E$2-0.8)))
   *(1-SUMPRODUCT(
        (DESC_PROV[LINEA]=$B$2)*
        (DESC_PROV[LISTA]=$C$2)*
        (DESC_PROV[DESCUENTO])
   )),
   ((B14*(1+IFERROR(VLOOKUP($D$2,COLORES[],2,FALSE),0)) + D14)
   *(1+($E$2-0.8)))
   *(1-SUMPRODUCT(
        (DESC_PROV[LINEA]=$B$2)*
        (DESC_PROV[LISTA]=$C$2)*
        (DESC_PROV[DESCUENTO])
   ))
   *(1+VLOOKUP($C$2,LISTAS[],2,FALSE))
   *(1+VLOOKUP($C$2,LISTAS[],3,FALSE))
)
/5,0)*5,0)</f>
        <v>251685</v>
      </c>
      <c r="M14" s="65">
        <f>IFERROR(
ROUND(
IF($A$2="COSTO",
   ((B14*(1+IFERROR(VLOOKUP($D$2,COLORES[],2,FALSE),0)) + E14)
   *IF($E$2=0.8,1,IF($E$2=0.7,1-7%,1+10%)))
   *(1-SUMPRODUCT(
        (DESC_PROV[LINEA]=$B$2)*
        (DESC_PROV[LISTA]=$C$2)*
        (DESC_PROV[DESCUENTO])
   )),
   ((B14*(1+IFERROR(VLOOKUP($D$2,COLORES[],2,FALSE),0)) + E14)
   *IF($E$2=0.8,1,IF($E$2=0.7,1-7%,1+10%)))
   *(1-SUMPRODUCT(
        (DESC_PROV[LINEA]=$B$2)*
        (DESC_PROV[LISTA]=$C$2)*
        (DESC_PROV[DESCUENTO])
   ))
   *(1+VLOOKUP($C$2,LISTAS[],2,FALSE))
   *(1+VLOOKUP($C$2,LISTAS[],3,FALSE))
)
/5,0)*5,0)</f>
        <v>256420</v>
      </c>
      <c r="N14" s="65">
        <f>IFERROR(
ROUND(
IF($A$2="COSTO",
   ((B14*(1+IFERROR(VLOOKUP($D$2,COLORES[],2,FALSE),0)) + F14)
   *IF($E$2=0.8,1,IF($E$2=0.7,1-7%,1+10%)))
   *(1-SUMPRODUCT(
        (DESC_PROV[LINEA]=$B$2)*
        (DESC_PROV[LISTA]=$C$2)*
        (DESC_PROV[DESCUENTO])
   )),
   ((B14*(1+IFERROR(VLOOKUP($D$2,COLORES[],2,FALSE),0)) + F14)
   *IF($E$2=0.8,1,IF($E$2=0.7,1-7%,1+10%)))
   *(1-SUMPRODUCT(
        (DESC_PROV[LINEA]=$B$2)*
        (DESC_PROV[LISTA]=$C$2)*
        (DESC_PROV[DESCUENTO])
   ))
   *(1+VLOOKUP($C$2,LISTAS[],2,FALSE))
   *(1+VLOOKUP($C$2,LISTAS[],3,FALSE))
)
/5,0)*5,0)</f>
        <v>253185</v>
      </c>
      <c r="O14" s="65">
        <f>IFERROR(
ROUND(
IF($A$2="COSTO",
   ((B14*(1+IFERROR(VLOOKUP($D$2,COLORES[],2,FALSE),0)) + G14)
   *IF($E$2=0.8,1,IF($E$2=0.7,1-7%,1+10%)))
   *(1-SUMPRODUCT(
        (DESC_PROV[LINEA]=$B$2)*
        (DESC_PROV[LISTA]=$C$2)*
        (DESC_PROV[DESCUENTO])
   )),
   ((B14*(1+IFERROR(VLOOKUP($D$2,COLORES[],2,FALSE),0)) + G14)
   *IF($E$2=0.8,1,IF($E$2=0.7,1-7%,1+10%)))
   *(1-SUMPRODUCT(
        (DESC_PROV[LINEA]=$B$2)*
        (DESC_PROV[LISTA]=$C$2)*
        (DESC_PROV[DESCUENTO])
   ))
   *(1+VLOOKUP($C$2,LISTAS[],2,FALSE))
   *(1+VLOOKUP($C$2,LISTAS[],3,FALSE))
)
/5,0)*5,0)</f>
        <v>279340</v>
      </c>
      <c r="P14" s="65">
        <f>IFERROR(
ROUND(
IF($A$2="COSTO",
   ((B14*(1+IFERROR(VLOOKUP($D$2,COLORES[],2,FALSE),0)) + H14)
   *IF($E$2=0.8,1,IF($E$2=0.7,1-7%,1+10%)))
   *(1-SUMPRODUCT(
        (DESC_PROV[LINEA]=$B$2)*
        (DESC_PROV[LISTA]=$C$2)*
        (DESC_PROV[DESCUENTO])
   )),
   ((B14*(1+IFERROR(VLOOKUP($D$2,COLORES[],2,FALSE),0)) + H14)
   *IF($E$2=0.8,1,IF($E$2=0.7,1-7%,1+10%)))
   *(1-SUMPRODUCT(
        (DESC_PROV[LINEA]=$B$2)*
        (DESC_PROV[LISTA]=$C$2)*
        (DESC_PROV[DESCUENTO])
   ))
   *(1+VLOOKUP($C$2,LISTAS[],2,FALSE))
   *(1+VLOOKUP($C$2,LISTAS[],3,FALSE))
)
/5,0)*5,0)</f>
        <v>288220</v>
      </c>
    </row>
    <row r="15" spans="1:16" ht="16.899999999999999">
      <c r="A15" s="74" t="s">
        <v>213</v>
      </c>
      <c r="B15" s="64">
        <v>201875</v>
      </c>
      <c r="C15" s="64">
        <v>5558</v>
      </c>
      <c r="D15" s="64">
        <v>6695</v>
      </c>
      <c r="E15" s="64">
        <v>8821</v>
      </c>
      <c r="F15" s="64">
        <v>7371</v>
      </c>
      <c r="G15" s="64">
        <v>19084</v>
      </c>
      <c r="H15" s="64">
        <v>23064</v>
      </c>
      <c r="I15" s="2"/>
      <c r="J15" s="74" t="s">
        <v>213</v>
      </c>
      <c r="K15" s="65">
        <f>IFERROR(
ROUND(
IF($A$2="COSTO",
   ((B15*(1+IFERROR(VLOOKUP($D$2,COLORES[],2,FALSE),0)) + C15)
   *IF($E$2=0.8,1,IF($E$2=0.7,1-7%,1+10%)))
   *(1-SUMPRODUCT(
        (DESC_PROV[LINEA]=$B$2)*
        (DESC_PROV[LISTA]=$C$2)*
        (DESC_PROV[DESCUENTO])
   )),
   ((B15*(1+IFERROR(VLOOKUP($D$2,COLORES[],2,FALSE),0)) + C15)
   *IF($E$2=0.8,1,IF($E$2=0.7,1-7%,1+10%)))
   *(1-SUMPRODUCT(
        (DESC_PROV[LINEA]=$B$2)*
        (DESC_PROV[LISTA]=$C$2)*
        (DESC_PROV[DESCUENTO])
   ))
   *(1+VLOOKUP($C$2,LISTAS[],2,FALSE))
   *(1+VLOOKUP($C$2,LISTAS[],3,FALSE))
)
/5,0)*5,0)</f>
        <v>257260</v>
      </c>
      <c r="L15" s="65">
        <f>IFERROR(
ROUND(
IF($A$2="COSTO",
   ((B15*(1+IFERROR(VLOOKUP($D$2,COLORES[],2,FALSE),0)) + D15)
   *(1+($E$2-0.8)))
   *(1-SUMPRODUCT(
        (DESC_PROV[LINEA]=$B$2)*
        (DESC_PROV[LISTA]=$C$2)*
        (DESC_PROV[DESCUENTO])
   )),
   ((B15*(1+IFERROR(VLOOKUP($D$2,COLORES[],2,FALSE),0)) + D15)
   *(1+($E$2-0.8)))
   *(1-SUMPRODUCT(
        (DESC_PROV[LINEA]=$B$2)*
        (DESC_PROV[LISTA]=$C$2)*
        (DESC_PROV[DESCUENTO])
   ))
   *(1+VLOOKUP($C$2,LISTAS[],2,FALSE))
   *(1+VLOOKUP($C$2,LISTAS[],3,FALSE))
)
/5,0)*5,0)</f>
        <v>258670</v>
      </c>
      <c r="M15" s="65">
        <f>IFERROR(
ROUND(
IF($A$2="COSTO",
   ((B15*(1+IFERROR(VLOOKUP($D$2,COLORES[],2,FALSE),0)) + E15)
   *IF($E$2=0.8,1,IF($E$2=0.7,1-7%,1+10%)))
   *(1-SUMPRODUCT(
        (DESC_PROV[LINEA]=$B$2)*
        (DESC_PROV[LISTA]=$C$2)*
        (DESC_PROV[DESCUENTO])
   )),
   ((B15*(1+IFERROR(VLOOKUP($D$2,COLORES[],2,FALSE),0)) + E15)
   *IF($E$2=0.8,1,IF($E$2=0.7,1-7%,1+10%)))
   *(1-SUMPRODUCT(
        (DESC_PROV[LINEA]=$B$2)*
        (DESC_PROV[LISTA]=$C$2)*
        (DESC_PROV[DESCUENTO])
   ))
   *(1+VLOOKUP($C$2,LISTAS[],2,FALSE))
   *(1+VLOOKUP($C$2,LISTAS[],3,FALSE))
)
/5,0)*5,0)</f>
        <v>261305</v>
      </c>
      <c r="N15" s="65">
        <f>IFERROR(
ROUND(
IF($A$2="COSTO",
   ((B15*(1+IFERROR(VLOOKUP($D$2,COLORES[],2,FALSE),0)) + F15)
   *IF($E$2=0.8,1,IF($E$2=0.7,1-7%,1+10%)))
   *(1-SUMPRODUCT(
        (DESC_PROV[LINEA]=$B$2)*
        (DESC_PROV[LISTA]=$C$2)*
        (DESC_PROV[DESCUENTO])
   )),
   ((B15*(1+IFERROR(VLOOKUP($D$2,COLORES[],2,FALSE),0)) + F15)
   *IF($E$2=0.8,1,IF($E$2=0.7,1-7%,1+10%)))
   *(1-SUMPRODUCT(
        (DESC_PROV[LINEA]=$B$2)*
        (DESC_PROV[LISTA]=$C$2)*
        (DESC_PROV[DESCUENTO])
   ))
   *(1+VLOOKUP($C$2,LISTAS[],2,FALSE))
   *(1+VLOOKUP($C$2,LISTAS[],3,FALSE))
)
/5,0)*5,0)</f>
        <v>259505</v>
      </c>
      <c r="O15" s="65">
        <f>IFERROR(
ROUND(
IF($A$2="COSTO",
   ((B15*(1+IFERROR(VLOOKUP($D$2,COLORES[],2,FALSE),0)) + G15)
   *IF($E$2=0.8,1,IF($E$2=0.7,1-7%,1+10%)))
   *(1-SUMPRODUCT(
        (DESC_PROV[LINEA]=$B$2)*
        (DESC_PROV[LISTA]=$C$2)*
        (DESC_PROV[DESCUENTO])
   )),
   ((B15*(1+IFERROR(VLOOKUP($D$2,COLORES[],2,FALSE),0)) + G15)
   *IF($E$2=0.8,1,IF($E$2=0.7,1-7%,1+10%)))
   *(1-SUMPRODUCT(
        (DESC_PROV[LINEA]=$B$2)*
        (DESC_PROV[LISTA]=$C$2)*
        (DESC_PROV[DESCUENTO])
   ))
   *(1+VLOOKUP($C$2,LISTAS[],2,FALSE))
   *(1+VLOOKUP($C$2,LISTAS[],3,FALSE))
)
/5,0)*5,0)</f>
        <v>274035</v>
      </c>
      <c r="P15" s="65">
        <f>IFERROR(
ROUND(
IF($A$2="COSTO",
   ((B15*(1+IFERROR(VLOOKUP($D$2,COLORES[],2,FALSE),0)) + H15)
   *IF($E$2=0.8,1,IF($E$2=0.7,1-7%,1+10%)))
   *(1-SUMPRODUCT(
        (DESC_PROV[LINEA]=$B$2)*
        (DESC_PROV[LISTA]=$C$2)*
        (DESC_PROV[DESCUENTO])
   )),
   ((B15*(1+IFERROR(VLOOKUP($D$2,COLORES[],2,FALSE),0)) + H15)
   *IF($E$2=0.8,1,IF($E$2=0.7,1-7%,1+10%)))
   *(1-SUMPRODUCT(
        (DESC_PROV[LINEA]=$B$2)*
        (DESC_PROV[LISTA]=$C$2)*
        (DESC_PROV[DESCUENTO])
   ))
   *(1+VLOOKUP($C$2,LISTAS[],2,FALSE))
   *(1+VLOOKUP($C$2,LISTAS[],3,FALSE))
)
/5,0)*5,0)</f>
        <v>278970</v>
      </c>
    </row>
    <row r="16" spans="1:16" ht="16.899999999999999">
      <c r="A16" s="74" t="s">
        <v>214</v>
      </c>
      <c r="B16" s="64">
        <v>144718</v>
      </c>
      <c r="C16" s="64">
        <v>22230</v>
      </c>
      <c r="D16" s="64">
        <v>26780</v>
      </c>
      <c r="E16" s="64">
        <v>35282</v>
      </c>
      <c r="F16" s="64">
        <v>29484</v>
      </c>
      <c r="G16" s="64">
        <v>76336</v>
      </c>
      <c r="H16" s="64">
        <v>92257</v>
      </c>
      <c r="I16" s="2"/>
      <c r="J16" s="74" t="s">
        <v>214</v>
      </c>
      <c r="K16" s="65">
        <f>IFERROR(
ROUND(
IF($A$2="COSTO",
   ((B16*(1+IFERROR(VLOOKUP($D$2,COLORES[],2,FALSE),0)) + C16)
   *IF($E$2=0.8,1,IF($E$2=0.7,1-7%,1+10%)))
   *(1-SUMPRODUCT(
        (DESC_PROV[LINEA]=$B$2)*
        (DESC_PROV[LISTA]=$C$2)*
        (DESC_PROV[DESCUENTO])
   )),
   ((B16*(1+IFERROR(VLOOKUP($D$2,COLORES[],2,FALSE),0)) + C16)
   *IF($E$2=0.8,1,IF($E$2=0.7,1-7%,1+10%)))
   *(1-SUMPRODUCT(
        (DESC_PROV[LINEA]=$B$2)*
        (DESC_PROV[LISTA]=$C$2)*
        (DESC_PROV[DESCUENTO])
   ))
   *(1+VLOOKUP($C$2,LISTAS[],2,FALSE))
   *(1+VLOOKUP($C$2,LISTAS[],3,FALSE))
)
/5,0)*5,0)</f>
        <v>207050</v>
      </c>
      <c r="L16" s="65">
        <f>IFERROR(
ROUND(
IF($A$2="COSTO",
   ((B16*(1+IFERROR(VLOOKUP($D$2,COLORES[],2,FALSE),0)) + D16)
   *(1+($E$2-0.8)))
   *(1-SUMPRODUCT(
        (DESC_PROV[LINEA]=$B$2)*
        (DESC_PROV[LISTA]=$C$2)*
        (DESC_PROV[DESCUENTO])
   )),
   ((B16*(1+IFERROR(VLOOKUP($D$2,COLORES[],2,FALSE),0)) + D16)
   *(1+($E$2-0.8)))
   *(1-SUMPRODUCT(
        (DESC_PROV[LINEA]=$B$2)*
        (DESC_PROV[LISTA]=$C$2)*
        (DESC_PROV[DESCUENTO])
   ))
   *(1+VLOOKUP($C$2,LISTAS[],2,FALSE))
   *(1+VLOOKUP($C$2,LISTAS[],3,FALSE))
)
/5,0)*5,0)</f>
        <v>212690</v>
      </c>
      <c r="M16" s="65">
        <f>IFERROR(
ROUND(
IF($A$2="COSTO",
   ((B16*(1+IFERROR(VLOOKUP($D$2,COLORES[],2,FALSE),0)) + E16)
   *IF($E$2=0.8,1,IF($E$2=0.7,1-7%,1+10%)))
   *(1-SUMPRODUCT(
        (DESC_PROV[LINEA]=$B$2)*
        (DESC_PROV[LISTA]=$C$2)*
        (DESC_PROV[DESCUENTO])
   )),
   ((B16*(1+IFERROR(VLOOKUP($D$2,COLORES[],2,FALSE),0)) + E16)
   *IF($E$2=0.8,1,IF($E$2=0.7,1-7%,1+10%)))
   *(1-SUMPRODUCT(
        (DESC_PROV[LINEA]=$B$2)*
        (DESC_PROV[LISTA]=$C$2)*
        (DESC_PROV[DESCUENTO])
   ))
   *(1+VLOOKUP($C$2,LISTAS[],2,FALSE))
   *(1+VLOOKUP($C$2,LISTAS[],3,FALSE))
)
/5,0)*5,0)</f>
        <v>223235</v>
      </c>
      <c r="N16" s="65">
        <f>IFERROR(
ROUND(
IF($A$2="COSTO",
   ((B16*(1+IFERROR(VLOOKUP($D$2,COLORES[],2,FALSE),0)) + F16)
   *IF($E$2=0.8,1,IF($E$2=0.7,1-7%,1+10%)))
   *(1-SUMPRODUCT(
        (DESC_PROV[LINEA]=$B$2)*
        (DESC_PROV[LISTA]=$C$2)*
        (DESC_PROV[DESCUENTO])
   )),
   ((B16*(1+IFERROR(VLOOKUP($D$2,COLORES[],2,FALSE),0)) + F16)
   *IF($E$2=0.8,1,IF($E$2=0.7,1-7%,1+10%)))
   *(1-SUMPRODUCT(
        (DESC_PROV[LINEA]=$B$2)*
        (DESC_PROV[LISTA]=$C$2)*
        (DESC_PROV[DESCUENTO])
   ))
   *(1+VLOOKUP($C$2,LISTAS[],2,FALSE))
   *(1+VLOOKUP($C$2,LISTAS[],3,FALSE))
)
/5,0)*5,0)</f>
        <v>216045</v>
      </c>
      <c r="O16" s="65">
        <f>IFERROR(
ROUND(
IF($A$2="COSTO",
   ((B16*(1+IFERROR(VLOOKUP($D$2,COLORES[],2,FALSE),0)) + G16)
   *IF($E$2=0.8,1,IF($E$2=0.7,1-7%,1+10%)))
   *(1-SUMPRODUCT(
        (DESC_PROV[LINEA]=$B$2)*
        (DESC_PROV[LISTA]=$C$2)*
        (DESC_PROV[DESCUENTO])
   )),
   ((B16*(1+IFERROR(VLOOKUP($D$2,COLORES[],2,FALSE),0)) + G16)
   *IF($E$2=0.8,1,IF($E$2=0.7,1-7%,1+10%)))
   *(1-SUMPRODUCT(
        (DESC_PROV[LINEA]=$B$2)*
        (DESC_PROV[LISTA]=$C$2)*
        (DESC_PROV[DESCUENTO])
   ))
   *(1+VLOOKUP($C$2,LISTAS[],2,FALSE))
   *(1+VLOOKUP($C$2,LISTAS[],3,FALSE))
)
/5,0)*5,0)</f>
        <v>274150</v>
      </c>
      <c r="P16" s="65">
        <f>IFERROR(
ROUND(
IF($A$2="COSTO",
   ((B16*(1+IFERROR(VLOOKUP($D$2,COLORES[],2,FALSE),0)) + H16)
   *IF($E$2=0.8,1,IF($E$2=0.7,1-7%,1+10%)))
   *(1-SUMPRODUCT(
        (DESC_PROV[LINEA]=$B$2)*
        (DESC_PROV[LISTA]=$C$2)*
        (DESC_PROV[DESCUENTO])
   )),
   ((B16*(1+IFERROR(VLOOKUP($D$2,COLORES[],2,FALSE),0)) + H16)
   *IF($E$2=0.8,1,IF($E$2=0.7,1-7%,1+10%)))
   *(1-SUMPRODUCT(
        (DESC_PROV[LINEA]=$B$2)*
        (DESC_PROV[LISTA]=$C$2)*
        (DESC_PROV[DESCUENTO])
   ))
   *(1+VLOOKUP($C$2,LISTAS[],2,FALSE))
   *(1+VLOOKUP($C$2,LISTAS[],3,FALSE))
)
/5,0)*5,0)</f>
        <v>293895</v>
      </c>
    </row>
    <row r="17" spans="1:16" ht="16.899999999999999">
      <c r="A17" s="74" t="s">
        <v>215</v>
      </c>
      <c r="B17" s="64">
        <v>195280</v>
      </c>
      <c r="C17" s="64">
        <v>7001</v>
      </c>
      <c r="D17" s="64">
        <v>8483</v>
      </c>
      <c r="E17" s="64">
        <v>11174</v>
      </c>
      <c r="F17" s="64">
        <v>9360</v>
      </c>
      <c r="G17" s="64">
        <v>24180</v>
      </c>
      <c r="H17" s="64">
        <v>29219</v>
      </c>
      <c r="I17" s="2"/>
      <c r="J17" s="74" t="s">
        <v>215</v>
      </c>
      <c r="K17" s="65">
        <f>IFERROR(
ROUND(
IF($A$2="COSTO",
   ((B17*(1+IFERROR(VLOOKUP($D$2,COLORES[],2,FALSE),0)) + C17)
   *IF($E$2=0.8,1,IF($E$2=0.7,1-7%,1+10%)))
   *(1-SUMPRODUCT(
        (DESC_PROV[LINEA]=$B$2)*
        (DESC_PROV[LISTA]=$C$2)*
        (DESC_PROV[DESCUENTO])
   )),
   ((B17*(1+IFERROR(VLOOKUP($D$2,COLORES[],2,FALSE),0)) + C17)
   *IF($E$2=0.8,1,IF($E$2=0.7,1-7%,1+10%)))
   *(1-SUMPRODUCT(
        (DESC_PROV[LINEA]=$B$2)*
        (DESC_PROV[LISTA]=$C$2)*
        (DESC_PROV[DESCUENTO])
   ))
   *(1+VLOOKUP($C$2,LISTAS[],2,FALSE))
   *(1+VLOOKUP($C$2,LISTAS[],3,FALSE))
)
/5,0)*5,0)</f>
        <v>250870</v>
      </c>
      <c r="L17" s="65">
        <f>IFERROR(
ROUND(
IF($A$2="COSTO",
   ((B17*(1+IFERROR(VLOOKUP($D$2,COLORES[],2,FALSE),0)) + D17)
   *(1+($E$2-0.8)))
   *(1-SUMPRODUCT(
        (DESC_PROV[LINEA]=$B$2)*
        (DESC_PROV[LISTA]=$C$2)*
        (DESC_PROV[DESCUENTO])
   )),
   ((B17*(1+IFERROR(VLOOKUP($D$2,COLORES[],2,FALSE),0)) + D17)
   *(1+($E$2-0.8)))
   *(1-SUMPRODUCT(
        (DESC_PROV[LINEA]=$B$2)*
        (DESC_PROV[LISTA]=$C$2)*
        (DESC_PROV[DESCUENTO])
   ))
   *(1+VLOOKUP($C$2,LISTAS[],2,FALSE))
   *(1+VLOOKUP($C$2,LISTAS[],3,FALSE))
)
/5,0)*5,0)</f>
        <v>252705</v>
      </c>
      <c r="M17" s="65">
        <f>IFERROR(
ROUND(
IF($A$2="COSTO",
   ((B17*(1+IFERROR(VLOOKUP($D$2,COLORES[],2,FALSE),0)) + E17)
   *IF($E$2=0.8,1,IF($E$2=0.7,1-7%,1+10%)))
   *(1-SUMPRODUCT(
        (DESC_PROV[LINEA]=$B$2)*
        (DESC_PROV[LISTA]=$C$2)*
        (DESC_PROV[DESCUENTO])
   )),
   ((B17*(1+IFERROR(VLOOKUP($D$2,COLORES[],2,FALSE),0)) + E17)
   *IF($E$2=0.8,1,IF($E$2=0.7,1-7%,1+10%)))
   *(1-SUMPRODUCT(
        (DESC_PROV[LINEA]=$B$2)*
        (DESC_PROV[LISTA]=$C$2)*
        (DESC_PROV[DESCUENTO])
   ))
   *(1+VLOOKUP($C$2,LISTAS[],2,FALSE))
   *(1+VLOOKUP($C$2,LISTAS[],3,FALSE))
)
/5,0)*5,0)</f>
        <v>256045</v>
      </c>
      <c r="N17" s="65">
        <f>IFERROR(
ROUND(
IF($A$2="COSTO",
   ((B17*(1+IFERROR(VLOOKUP($D$2,COLORES[],2,FALSE),0)) + F17)
   *IF($E$2=0.8,1,IF($E$2=0.7,1-7%,1+10%)))
   *(1-SUMPRODUCT(
        (DESC_PROV[LINEA]=$B$2)*
        (DESC_PROV[LISTA]=$C$2)*
        (DESC_PROV[DESCUENTO])
   )),
   ((B17*(1+IFERROR(VLOOKUP($D$2,COLORES[],2,FALSE),0)) + F17)
   *IF($E$2=0.8,1,IF($E$2=0.7,1-7%,1+10%)))
   *(1-SUMPRODUCT(
        (DESC_PROV[LINEA]=$B$2)*
        (DESC_PROV[LISTA]=$C$2)*
        (DESC_PROV[DESCUENTO])
   ))
   *(1+VLOOKUP($C$2,LISTAS[],2,FALSE))
   *(1+VLOOKUP($C$2,LISTAS[],3,FALSE))
)
/5,0)*5,0)</f>
        <v>253795</v>
      </c>
      <c r="O17" s="65">
        <f>IFERROR(
ROUND(
IF($A$2="COSTO",
   ((B17*(1+IFERROR(VLOOKUP($D$2,COLORES[],2,FALSE),0)) + G17)
   *IF($E$2=0.8,1,IF($E$2=0.7,1-7%,1+10%)))
   *(1-SUMPRODUCT(
        (DESC_PROV[LINEA]=$B$2)*
        (DESC_PROV[LISTA]=$C$2)*
        (DESC_PROV[DESCUENTO])
   )),
   ((B17*(1+IFERROR(VLOOKUP($D$2,COLORES[],2,FALSE),0)) + G17)
   *IF($E$2=0.8,1,IF($E$2=0.7,1-7%,1+10%)))
   *(1-SUMPRODUCT(
        (DESC_PROV[LINEA]=$B$2)*
        (DESC_PROV[LISTA]=$C$2)*
        (DESC_PROV[DESCUENTO])
   ))
   *(1+VLOOKUP($C$2,LISTAS[],2,FALSE))
   *(1+VLOOKUP($C$2,LISTAS[],3,FALSE))
)
/5,0)*5,0)</f>
        <v>272175</v>
      </c>
      <c r="P17" s="65">
        <f>IFERROR(
ROUND(
IF($A$2="COSTO",
   ((B17*(1+IFERROR(VLOOKUP($D$2,COLORES[],2,FALSE),0)) + H17)
   *IF($E$2=0.8,1,IF($E$2=0.7,1-7%,1+10%)))
   *(1-SUMPRODUCT(
        (DESC_PROV[LINEA]=$B$2)*
        (DESC_PROV[LISTA]=$C$2)*
        (DESC_PROV[DESCUENTO])
   )),
   ((B17*(1+IFERROR(VLOOKUP($D$2,COLORES[],2,FALSE),0)) + H17)
   *IF($E$2=0.8,1,IF($E$2=0.7,1-7%,1+10%)))
   *(1-SUMPRODUCT(
        (DESC_PROV[LINEA]=$B$2)*
        (DESC_PROV[LISTA]=$C$2)*
        (DESC_PROV[DESCUENTO])
   ))
   *(1+VLOOKUP($C$2,LISTAS[],2,FALSE))
   *(1+VLOOKUP($C$2,LISTAS[],3,FALSE))
)
/5,0)*5,0)</f>
        <v>278425</v>
      </c>
    </row>
    <row r="18" spans="1:16" ht="16.899999999999999">
      <c r="A18" s="74" t="s">
        <v>216</v>
      </c>
      <c r="B18" s="64">
        <v>207370</v>
      </c>
      <c r="C18" s="64">
        <v>3868</v>
      </c>
      <c r="D18" s="64">
        <v>5356</v>
      </c>
      <c r="E18" s="64">
        <v>7053</v>
      </c>
      <c r="F18" s="64">
        <v>5896</v>
      </c>
      <c r="G18" s="64">
        <v>15269</v>
      </c>
      <c r="H18" s="64">
        <v>18446</v>
      </c>
      <c r="I18" s="2"/>
      <c r="J18" s="74" t="s">
        <v>216</v>
      </c>
      <c r="K18" s="65">
        <f>IFERROR(
ROUND(
IF($A$2="COSTO",
   ((B18*(1+IFERROR(VLOOKUP($D$2,COLORES[],2,FALSE),0)) + C18)
   *IF($E$2=0.8,1,IF($E$2=0.7,1-7%,1+10%)))
   *(1-SUMPRODUCT(
        (DESC_PROV[LINEA]=$B$2)*
        (DESC_PROV[LISTA]=$C$2)*
        (DESC_PROV[DESCUENTO])
   )),
   ((B18*(1+IFERROR(VLOOKUP($D$2,COLORES[],2,FALSE),0)) + C18)
   *IF($E$2=0.8,1,IF($E$2=0.7,1-7%,1+10%)))
   *(1-SUMPRODUCT(
        (DESC_PROV[LINEA]=$B$2)*
        (DESC_PROV[LISTA]=$C$2)*
        (DESC_PROV[DESCUENTO])
   ))
   *(1+VLOOKUP($C$2,LISTAS[],2,FALSE))
   *(1+VLOOKUP($C$2,LISTAS[],3,FALSE))
)
/5,0)*5,0)</f>
        <v>261975</v>
      </c>
      <c r="L18" s="65">
        <f>IFERROR(
ROUND(
IF($A$2="COSTO",
   ((B18*(1+IFERROR(VLOOKUP($D$2,COLORES[],2,FALSE),0)) + D18)
   *(1+($E$2-0.8)))
   *(1-SUMPRODUCT(
        (DESC_PROV[LINEA]=$B$2)*
        (DESC_PROV[LISTA]=$C$2)*
        (DESC_PROV[DESCUENTO])
   )),
   ((B18*(1+IFERROR(VLOOKUP($D$2,COLORES[],2,FALSE),0)) + D18)
   *(1+($E$2-0.8)))
   *(1-SUMPRODUCT(
        (DESC_PROV[LINEA]=$B$2)*
        (DESC_PROV[LISTA]=$C$2)*
        (DESC_PROV[DESCUENTO])
   ))
   *(1+VLOOKUP($C$2,LISTAS[],2,FALSE))
   *(1+VLOOKUP($C$2,LISTAS[],3,FALSE))
)
/5,0)*5,0)</f>
        <v>263825</v>
      </c>
      <c r="M18" s="65">
        <f>IFERROR(
ROUND(
IF($A$2="COSTO",
   ((B18*(1+IFERROR(VLOOKUP($D$2,COLORES[],2,FALSE),0)) + E18)
   *IF($E$2=0.8,1,IF($E$2=0.7,1-7%,1+10%)))
   *(1-SUMPRODUCT(
        (DESC_PROV[LINEA]=$B$2)*
        (DESC_PROV[LISTA]=$C$2)*
        (DESC_PROV[DESCUENTO])
   )),
   ((B18*(1+IFERROR(VLOOKUP($D$2,COLORES[],2,FALSE),0)) + E18)
   *IF($E$2=0.8,1,IF($E$2=0.7,1-7%,1+10%)))
   *(1-SUMPRODUCT(
        (DESC_PROV[LINEA]=$B$2)*
        (DESC_PROV[LISTA]=$C$2)*
        (DESC_PROV[DESCUENTO])
   ))
   *(1+VLOOKUP($C$2,LISTAS[],2,FALSE))
   *(1+VLOOKUP($C$2,LISTAS[],3,FALSE))
)
/5,0)*5,0)</f>
        <v>265925</v>
      </c>
      <c r="N18" s="65">
        <f>IFERROR(
ROUND(
IF($A$2="COSTO",
   ((B18*(1+IFERROR(VLOOKUP($D$2,COLORES[],2,FALSE),0)) + F18)
   *IF($E$2=0.8,1,IF($E$2=0.7,1-7%,1+10%)))
   *(1-SUMPRODUCT(
        (DESC_PROV[LINEA]=$B$2)*
        (DESC_PROV[LISTA]=$C$2)*
        (DESC_PROV[DESCUENTO])
   )),
   ((B18*(1+IFERROR(VLOOKUP($D$2,COLORES[],2,FALSE),0)) + F18)
   *IF($E$2=0.8,1,IF($E$2=0.7,1-7%,1+10%)))
   *(1-SUMPRODUCT(
        (DESC_PROV[LINEA]=$B$2)*
        (DESC_PROV[LISTA]=$C$2)*
        (DESC_PROV[DESCUENTO])
   ))
   *(1+VLOOKUP($C$2,LISTAS[],2,FALSE))
   *(1+VLOOKUP($C$2,LISTAS[],3,FALSE))
)
/5,0)*5,0)</f>
        <v>264490</v>
      </c>
      <c r="O18" s="65">
        <f>IFERROR(
ROUND(
IF($A$2="COSTO",
   ((B18*(1+IFERROR(VLOOKUP($D$2,COLORES[],2,FALSE),0)) + G18)
   *IF($E$2=0.8,1,IF($E$2=0.7,1-7%,1+10%)))
   *(1-SUMPRODUCT(
        (DESC_PROV[LINEA]=$B$2)*
        (DESC_PROV[LISTA]=$C$2)*
        (DESC_PROV[DESCUENTO])
   )),
   ((B18*(1+IFERROR(VLOOKUP($D$2,COLORES[],2,FALSE),0)) + G18)
   *IF($E$2=0.8,1,IF($E$2=0.7,1-7%,1+10%)))
   *(1-SUMPRODUCT(
        (DESC_PROV[LINEA]=$B$2)*
        (DESC_PROV[LISTA]=$C$2)*
        (DESC_PROV[DESCUENTO])
   ))
   *(1+VLOOKUP($C$2,LISTAS[],2,FALSE))
   *(1+VLOOKUP($C$2,LISTAS[],3,FALSE))
)
/5,0)*5,0)</f>
        <v>276115</v>
      </c>
      <c r="P18" s="65">
        <f>IFERROR(
ROUND(
IF($A$2="COSTO",
   ((B18*(1+IFERROR(VLOOKUP($D$2,COLORES[],2,FALSE),0)) + H18)
   *IF($E$2=0.8,1,IF($E$2=0.7,1-7%,1+10%)))
   *(1-SUMPRODUCT(
        (DESC_PROV[LINEA]=$B$2)*
        (DESC_PROV[LISTA]=$C$2)*
        (DESC_PROV[DESCUENTO])
   )),
   ((B18*(1+IFERROR(VLOOKUP($D$2,COLORES[],2,FALSE),0)) + H18)
   *IF($E$2=0.8,1,IF($E$2=0.7,1-7%,1+10%)))
   *(1-SUMPRODUCT(
        (DESC_PROV[LINEA]=$B$2)*
        (DESC_PROV[LISTA]=$C$2)*
        (DESC_PROV[DESCUENTO])
   ))
   *(1+VLOOKUP($C$2,LISTAS[],2,FALSE))
   *(1+VLOOKUP($C$2,LISTAS[],3,FALSE))
)
/5,0)*5,0)</f>
        <v>280055</v>
      </c>
    </row>
    <row r="19" spans="1:16" ht="16.899999999999999">
      <c r="A19" s="74" t="s">
        <v>217</v>
      </c>
      <c r="B19" s="64">
        <v>223579</v>
      </c>
      <c r="C19" s="64">
        <v>3868</v>
      </c>
      <c r="D19" s="64">
        <v>0</v>
      </c>
      <c r="E19" s="64">
        <v>0</v>
      </c>
      <c r="F19" s="64">
        <v>5896</v>
      </c>
      <c r="G19" s="64">
        <v>15269</v>
      </c>
      <c r="H19" s="64">
        <v>0</v>
      </c>
      <c r="I19" s="2"/>
      <c r="J19" s="74" t="s">
        <v>217</v>
      </c>
      <c r="K19" s="65">
        <f>IFERROR(
ROUND(
IF($A$2="COSTO",
   ((B19*(1+IFERROR(VLOOKUP($D$2,COLORES[],2,FALSE),0)) + C19)
   *IF($E$2=0.8,1,IF($E$2=0.7,1-7%,1+10%)))
   *(1-SUMPRODUCT(
        (DESC_PROV[LINEA]=$B$2)*
        (DESC_PROV[LISTA]=$C$2)*
        (DESC_PROV[DESCUENTO])
   )),
   ((B19*(1+IFERROR(VLOOKUP($D$2,COLORES[],2,FALSE),0)) + C19)
   *IF($E$2=0.8,1,IF($E$2=0.7,1-7%,1+10%)))
   *(1-SUMPRODUCT(
        (DESC_PROV[LINEA]=$B$2)*
        (DESC_PROV[LISTA]=$C$2)*
        (DESC_PROV[DESCUENTO])
   ))
   *(1+VLOOKUP($C$2,LISTAS[],2,FALSE))
   *(1+VLOOKUP($C$2,LISTAS[],3,FALSE))
)
/5,0)*5,0)</f>
        <v>282080</v>
      </c>
      <c r="L19" s="65" t="s">
        <v>204</v>
      </c>
      <c r="M19" s="65" t="s">
        <v>204</v>
      </c>
      <c r="N19" s="65">
        <f>IFERROR(
ROUND(
IF($A$2="COSTO",
   ((B19*(1+IFERROR(VLOOKUP($D$2,COLORES[],2,FALSE),0)) + F19)
   *IF($E$2=0.8,1,IF($E$2=0.7,1-7%,1+10%)))
   *(1-SUMPRODUCT(
        (DESC_PROV[LINEA]=$B$2)*
        (DESC_PROV[LISTA]=$C$2)*
        (DESC_PROV[DESCUENTO])
   )),
   ((B19*(1+IFERROR(VLOOKUP($D$2,COLORES[],2,FALSE),0)) + F19)
   *IF($E$2=0.8,1,IF($E$2=0.7,1-7%,1+10%)))
   *(1-SUMPRODUCT(
        (DESC_PROV[LINEA]=$B$2)*
        (DESC_PROV[LISTA]=$C$2)*
        (DESC_PROV[DESCUENTO])
   ))
   *(1+VLOOKUP($C$2,LISTAS[],2,FALSE))
   *(1+VLOOKUP($C$2,LISTAS[],3,FALSE))
)
/5,0)*5,0)</f>
        <v>284595</v>
      </c>
      <c r="O19" s="65">
        <f>IFERROR(
ROUND(
IF($A$2="COSTO",
   ((B19*(1+IFERROR(VLOOKUP($D$2,COLORES[],2,FALSE),0)) + G19)
   *IF($E$2=0.8,1,IF($E$2=0.7,1-7%,1+10%)))
   *(1-SUMPRODUCT(
        (DESC_PROV[LINEA]=$B$2)*
        (DESC_PROV[LISTA]=$C$2)*
        (DESC_PROV[DESCUENTO])
   )),
   ((B19*(1+IFERROR(VLOOKUP($D$2,COLORES[],2,FALSE),0)) + G19)
   *IF($E$2=0.8,1,IF($E$2=0.7,1-7%,1+10%)))
   *(1-SUMPRODUCT(
        (DESC_PROV[LINEA]=$B$2)*
        (DESC_PROV[LISTA]=$C$2)*
        (DESC_PROV[DESCUENTO])
   ))
   *(1+VLOOKUP($C$2,LISTAS[],2,FALSE))
   *(1+VLOOKUP($C$2,LISTAS[],3,FALSE))
)
/5,0)*5,0)</f>
        <v>296220</v>
      </c>
      <c r="P19" s="65" t="s">
        <v>204</v>
      </c>
    </row>
    <row r="20" spans="1:16" ht="16.899999999999999">
      <c r="A20" s="74" t="s">
        <v>218</v>
      </c>
      <c r="B20" s="64">
        <v>180990</v>
      </c>
      <c r="C20" s="64">
        <v>15477</v>
      </c>
      <c r="D20" s="64">
        <v>20085</v>
      </c>
      <c r="E20" s="64">
        <v>26455</v>
      </c>
      <c r="F20" s="64">
        <v>22113</v>
      </c>
      <c r="G20" s="64">
        <v>57259</v>
      </c>
      <c r="H20" s="64">
        <v>69199</v>
      </c>
      <c r="I20" s="2"/>
      <c r="J20" s="74" t="s">
        <v>218</v>
      </c>
      <c r="K20" s="65">
        <f>IFERROR(
ROUND(
IF($A$2="COSTO",
   ((B20*(1+IFERROR(VLOOKUP($D$2,COLORES[],2,FALSE),0)) + C20)
   *IF($E$2=0.8,1,IF($E$2=0.7,1-7%,1+10%)))
   *(1-SUMPRODUCT(
        (DESC_PROV[LINEA]=$B$2)*
        (DESC_PROV[LISTA]=$C$2)*
        (DESC_PROV[DESCUENTO])
   )),
   ((B20*(1+IFERROR(VLOOKUP($D$2,COLORES[],2,FALSE),0)) + C20)
   *IF($E$2=0.8,1,IF($E$2=0.7,1-7%,1+10%)))
   *(1-SUMPRODUCT(
        (DESC_PROV[LINEA]=$B$2)*
        (DESC_PROV[LISTA]=$C$2)*
        (DESC_PROV[DESCUENTO])
   ))
   *(1+VLOOKUP($C$2,LISTAS[],2,FALSE))
   *(1+VLOOKUP($C$2,LISTAS[],3,FALSE))
)
/5,0)*5,0)</f>
        <v>243660</v>
      </c>
      <c r="L20" s="65">
        <f>IFERROR(
ROUND(
IF($A$2="COSTO",
   ((B20*(1+IFERROR(VLOOKUP($D$2,COLORES[],2,FALSE),0)) + D20)
   *(1+($E$2-0.8)))
   *(1-SUMPRODUCT(
        (DESC_PROV[LINEA]=$B$2)*
        (DESC_PROV[LISTA]=$C$2)*
        (DESC_PROV[DESCUENTO])
   )),
   ((B20*(1+IFERROR(VLOOKUP($D$2,COLORES[],2,FALSE),0)) + D20)
   *(1+($E$2-0.8)))
   *(1-SUMPRODUCT(
        (DESC_PROV[LINEA]=$B$2)*
        (DESC_PROV[LISTA]=$C$2)*
        (DESC_PROV[DESCUENTO])
   ))
   *(1+VLOOKUP($C$2,LISTAS[],2,FALSE))
   *(1+VLOOKUP($C$2,LISTAS[],3,FALSE))
)
/5,0)*5,0)</f>
        <v>249375</v>
      </c>
      <c r="M20" s="65">
        <f>IFERROR(
ROUND(
IF($A$2="COSTO",
   ((B20*(1+IFERROR(VLOOKUP($D$2,COLORES[],2,FALSE),0)) + E20)
   *IF($E$2=0.8,1,IF($E$2=0.7,1-7%,1+10%)))
   *(1-SUMPRODUCT(
        (DESC_PROV[LINEA]=$B$2)*
        (DESC_PROV[LISTA]=$C$2)*
        (DESC_PROV[DESCUENTO])
   )),
   ((B20*(1+IFERROR(VLOOKUP($D$2,COLORES[],2,FALSE),0)) + E20)
   *IF($E$2=0.8,1,IF($E$2=0.7,1-7%,1+10%)))
   *(1-SUMPRODUCT(
        (DESC_PROV[LINEA]=$B$2)*
        (DESC_PROV[LISTA]=$C$2)*
        (DESC_PROV[DESCUENTO])
   ))
   *(1+VLOOKUP($C$2,LISTAS[],2,FALSE))
   *(1+VLOOKUP($C$2,LISTAS[],3,FALSE))
)
/5,0)*5,0)</f>
        <v>257275</v>
      </c>
      <c r="N20" s="65">
        <f>IFERROR(
ROUND(
IF($A$2="COSTO",
   ((B20*(1+IFERROR(VLOOKUP($D$2,COLORES[],2,FALSE),0)) + F20)
   *IF($E$2=0.8,1,IF($E$2=0.7,1-7%,1+10%)))
   *(1-SUMPRODUCT(
        (DESC_PROV[LINEA]=$B$2)*
        (DESC_PROV[LISTA]=$C$2)*
        (DESC_PROV[DESCUENTO])
   )),
   ((B20*(1+IFERROR(VLOOKUP($D$2,COLORES[],2,FALSE),0)) + F20)
   *IF($E$2=0.8,1,IF($E$2=0.7,1-7%,1+10%)))
   *(1-SUMPRODUCT(
        (DESC_PROV[LINEA]=$B$2)*
        (DESC_PROV[LISTA]=$C$2)*
        (DESC_PROV[DESCUENTO])
   ))
   *(1+VLOOKUP($C$2,LISTAS[],2,FALSE))
   *(1+VLOOKUP($C$2,LISTAS[],3,FALSE))
)
/5,0)*5,0)</f>
        <v>251890</v>
      </c>
      <c r="O20" s="65">
        <f>IFERROR(
ROUND(
IF($A$2="COSTO",
   ((B20*(1+IFERROR(VLOOKUP($D$2,COLORES[],2,FALSE),0)) + G20)
   *IF($E$2=0.8,1,IF($E$2=0.7,1-7%,1+10%)))
   *(1-SUMPRODUCT(
        (DESC_PROV[LINEA]=$B$2)*
        (DESC_PROV[LISTA]=$C$2)*
        (DESC_PROV[DESCUENTO])
   )),
   ((B20*(1+IFERROR(VLOOKUP($D$2,COLORES[],2,FALSE),0)) + G20)
   *IF($E$2=0.8,1,IF($E$2=0.7,1-7%,1+10%)))
   *(1-SUMPRODUCT(
        (DESC_PROV[LINEA]=$B$2)*
        (DESC_PROV[LISTA]=$C$2)*
        (DESC_PROV[DESCUENTO])
   ))
   *(1+VLOOKUP($C$2,LISTAS[],2,FALSE))
   *(1+VLOOKUP($C$2,LISTAS[],3,FALSE))
)
/5,0)*5,0)</f>
        <v>295475</v>
      </c>
      <c r="P20" s="65">
        <f>IFERROR(
ROUND(
IF($A$2="COSTO",
   ((B20*(1+IFERROR(VLOOKUP($D$2,COLORES[],2,FALSE),0)) + H20)
   *IF($E$2=0.8,1,IF($E$2=0.7,1-7%,1+10%)))
   *(1-SUMPRODUCT(
        (DESC_PROV[LINEA]=$B$2)*
        (DESC_PROV[LISTA]=$C$2)*
        (DESC_PROV[DESCUENTO])
   )),
   ((B20*(1+IFERROR(VLOOKUP($D$2,COLORES[],2,FALSE),0)) + H20)
   *IF($E$2=0.8,1,IF($E$2=0.7,1-7%,1+10%)))
   *(1-SUMPRODUCT(
        (DESC_PROV[LINEA]=$B$2)*
        (DESC_PROV[LISTA]=$C$2)*
        (DESC_PROV[DESCUENTO])
   ))
   *(1+VLOOKUP($C$2,LISTAS[],2,FALSE))
   *(1+VLOOKUP($C$2,LISTAS[],3,FALSE))
)
/5,0)*5,0)</f>
        <v>310285</v>
      </c>
    </row>
    <row r="21" spans="1:16" ht="16.899999999999999">
      <c r="A21" s="74" t="s">
        <v>219</v>
      </c>
      <c r="B21" s="64">
        <v>150213</v>
      </c>
      <c r="C21" s="64">
        <v>15477</v>
      </c>
      <c r="D21" s="64">
        <v>20085</v>
      </c>
      <c r="E21" s="64">
        <v>26455</v>
      </c>
      <c r="F21" s="64">
        <v>22113</v>
      </c>
      <c r="G21" s="64">
        <v>57259</v>
      </c>
      <c r="H21" s="64">
        <v>69199</v>
      </c>
      <c r="I21" s="2"/>
      <c r="J21" s="74" t="s">
        <v>219</v>
      </c>
      <c r="K21" s="65">
        <f>IFERROR(
ROUND(
IF($A$2="COSTO",
   ((B21*(1+IFERROR(VLOOKUP($D$2,COLORES[],2,FALSE),0)) + C21)
   *IF($E$2=0.8,1,IF($E$2=0.7,1-7%,1+10%)))
   *(1-SUMPRODUCT(
        (DESC_PROV[LINEA]=$B$2)*
        (DESC_PROV[LISTA]=$C$2)*
        (DESC_PROV[DESCUENTO])
   )),
   ((B21*(1+IFERROR(VLOOKUP($D$2,COLORES[],2,FALSE),0)) + C21)
   *IF($E$2=0.8,1,IF($E$2=0.7,1-7%,1+10%)))
   *(1-SUMPRODUCT(
        (DESC_PROV[LINEA]=$B$2)*
        (DESC_PROV[LISTA]=$C$2)*
        (DESC_PROV[DESCUENTO])
   ))
   *(1+VLOOKUP($C$2,LISTAS[],2,FALSE))
   *(1+VLOOKUP($C$2,LISTAS[],3,FALSE))
)
/5,0)*5,0)</f>
        <v>205490</v>
      </c>
      <c r="L21" s="65">
        <f>IFERROR(
ROUND(
IF($A$2="COSTO",
   ((B21*(1+IFERROR(VLOOKUP($D$2,COLORES[],2,FALSE),0)) + D21)
   *(1+($E$2-0.8)))
   *(1-SUMPRODUCT(
        (DESC_PROV[LINEA]=$B$2)*
        (DESC_PROV[LISTA]=$C$2)*
        (DESC_PROV[DESCUENTO])
   )),
   ((B21*(1+IFERROR(VLOOKUP($D$2,COLORES[],2,FALSE),0)) + D21)
   *(1+($E$2-0.8)))
   *(1-SUMPRODUCT(
        (DESC_PROV[LINEA]=$B$2)*
        (DESC_PROV[LISTA]=$C$2)*
        (DESC_PROV[DESCUENTO])
   ))
   *(1+VLOOKUP($C$2,LISTAS[],2,FALSE))
   *(1+VLOOKUP($C$2,LISTAS[],3,FALSE))
)
/5,0)*5,0)</f>
        <v>211205</v>
      </c>
      <c r="M21" s="65">
        <f>IFERROR(
ROUND(
IF($A$2="COSTO",
   ((B21*(1+IFERROR(VLOOKUP($D$2,COLORES[],2,FALSE),0)) + E21)
   *IF($E$2=0.8,1,IF($E$2=0.7,1-7%,1+10%)))
   *(1-SUMPRODUCT(
        (DESC_PROV[LINEA]=$B$2)*
        (DESC_PROV[LISTA]=$C$2)*
        (DESC_PROV[DESCUENTO])
   )),
   ((B21*(1+IFERROR(VLOOKUP($D$2,COLORES[],2,FALSE),0)) + E21)
   *IF($E$2=0.8,1,IF($E$2=0.7,1-7%,1+10%)))
   *(1-SUMPRODUCT(
        (DESC_PROV[LINEA]=$B$2)*
        (DESC_PROV[LISTA]=$C$2)*
        (DESC_PROV[DESCUENTO])
   ))
   *(1+VLOOKUP($C$2,LISTAS[],2,FALSE))
   *(1+VLOOKUP($C$2,LISTAS[],3,FALSE))
)
/5,0)*5,0)</f>
        <v>219105</v>
      </c>
      <c r="N21" s="65">
        <f>IFERROR(
ROUND(
IF($A$2="COSTO",
   ((B21*(1+IFERROR(VLOOKUP($D$2,COLORES[],2,FALSE),0)) + F21)
   *IF($E$2=0.8,1,IF($E$2=0.7,1-7%,1+10%)))
   *(1-SUMPRODUCT(
        (DESC_PROV[LINEA]=$B$2)*
        (DESC_PROV[LISTA]=$C$2)*
        (DESC_PROV[DESCUENTO])
   )),
   ((B21*(1+IFERROR(VLOOKUP($D$2,COLORES[],2,FALSE),0)) + F21)
   *IF($E$2=0.8,1,IF($E$2=0.7,1-7%,1+10%)))
   *(1-SUMPRODUCT(
        (DESC_PROV[LINEA]=$B$2)*
        (DESC_PROV[LISTA]=$C$2)*
        (DESC_PROV[DESCUENTO])
   ))
   *(1+VLOOKUP($C$2,LISTAS[],2,FALSE))
   *(1+VLOOKUP($C$2,LISTAS[],3,FALSE))
)
/5,0)*5,0)</f>
        <v>213720</v>
      </c>
      <c r="O21" s="65">
        <f>IFERROR(
ROUND(
IF($A$2="COSTO",
   ((B21*(1+IFERROR(VLOOKUP($D$2,COLORES[],2,FALSE),0)) + G21)
   *IF($E$2=0.8,1,IF($E$2=0.7,1-7%,1+10%)))
   *(1-SUMPRODUCT(
        (DESC_PROV[LINEA]=$B$2)*
        (DESC_PROV[LISTA]=$C$2)*
        (DESC_PROV[DESCUENTO])
   )),
   ((B21*(1+IFERROR(VLOOKUP($D$2,COLORES[],2,FALSE),0)) + G21)
   *IF($E$2=0.8,1,IF($E$2=0.7,1-7%,1+10%)))
   *(1-SUMPRODUCT(
        (DESC_PROV[LINEA]=$B$2)*
        (DESC_PROV[LISTA]=$C$2)*
        (DESC_PROV[DESCUENTO])
   ))
   *(1+VLOOKUP($C$2,LISTAS[],2,FALSE))
   *(1+VLOOKUP($C$2,LISTAS[],3,FALSE))
)
/5,0)*5,0)</f>
        <v>257305</v>
      </c>
      <c r="P21" s="65">
        <f>IFERROR(
ROUND(
IF($A$2="COSTO",
   ((B21*(1+IFERROR(VLOOKUP($D$2,COLORES[],2,FALSE),0)) + H21)
   *IF($E$2=0.8,1,IF($E$2=0.7,1-7%,1+10%)))
   *(1-SUMPRODUCT(
        (DESC_PROV[LINEA]=$B$2)*
        (DESC_PROV[LISTA]=$C$2)*
        (DESC_PROV[DESCUENTO])
   )),
   ((B21*(1+IFERROR(VLOOKUP($D$2,COLORES[],2,FALSE),0)) + H21)
   *IF($E$2=0.8,1,IF($E$2=0.7,1-7%,1+10%)))
   *(1-SUMPRODUCT(
        (DESC_PROV[LINEA]=$B$2)*
        (DESC_PROV[LISTA]=$C$2)*
        (DESC_PROV[DESCUENTO])
   ))
   *(1+VLOOKUP($C$2,LISTAS[],2,FALSE))
   *(1+VLOOKUP($C$2,LISTAS[],3,FALSE))
)
/5,0)*5,0)</f>
        <v>272115</v>
      </c>
    </row>
    <row r="22" spans="1:16" ht="17.25" thickBot="1">
      <c r="A22" s="75" t="s">
        <v>220</v>
      </c>
      <c r="B22" s="64">
        <v>283039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2"/>
      <c r="J22" s="75" t="s">
        <v>220</v>
      </c>
      <c r="K22" s="65">
        <f>IFERROR(
ROUND(
IF($A$2="COSTO",
   ((B22*(1+IFERROR(VLOOKUP($D$2,COLORES[],2,FALSE),0)) + C22)
   *IF($E$2=0.8,1,IF($E$2=0.7,1-7%,1+10%)))
   *(1-SUMPRODUCT(
        (DESC_PROV[LINEA]=$B$2)*
        (DESC_PROV[LISTA]=$C$2)*
        (DESC_PROV[DESCUENTO])
   )),
   ((B22*(1+IFERROR(VLOOKUP($D$2,COLORES[],2,FALSE),0)) + C22)
   *IF($E$2=0.8,1,IF($E$2=0.7,1-7%,1+10%)))
   *(1-SUMPRODUCT(
        (DESC_PROV[LINEA]=$B$2)*
        (DESC_PROV[LISTA]=$C$2)*
        (DESC_PROV[DESCUENTO])
   ))
   *(1+VLOOKUP($C$2,LISTAS[],2,FALSE))
   *(1+VLOOKUP($C$2,LISTAS[],3,FALSE))
)
/5,0)*5,0)</f>
        <v>351025</v>
      </c>
      <c r="L22" s="65" t="s">
        <v>204</v>
      </c>
      <c r="M22" s="65" t="s">
        <v>204</v>
      </c>
      <c r="N22" s="65" t="s">
        <v>204</v>
      </c>
      <c r="O22" s="65" t="s">
        <v>204</v>
      </c>
      <c r="P22" s="65" t="s">
        <v>204</v>
      </c>
    </row>
    <row r="23" spans="1:16" ht="14.65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7.25" thickBot="1">
      <c r="A24" s="76" t="s">
        <v>221</v>
      </c>
      <c r="B24" s="67"/>
      <c r="C24" s="2"/>
      <c r="D24" s="2"/>
      <c r="E24" s="2"/>
      <c r="F24" s="2"/>
      <c r="G24" s="2"/>
      <c r="H24" s="2"/>
      <c r="I24" s="2"/>
      <c r="J24" s="76" t="s">
        <v>221</v>
      </c>
      <c r="K24" s="67"/>
      <c r="L24" s="2"/>
      <c r="M24" s="2"/>
      <c r="N24" s="2"/>
      <c r="O24" s="2"/>
      <c r="P24" s="2"/>
    </row>
    <row r="25" spans="1:16" ht="17.25" thickBot="1">
      <c r="A25" s="68" t="s">
        <v>222</v>
      </c>
      <c r="B25" s="67">
        <v>18000</v>
      </c>
      <c r="C25" s="2"/>
      <c r="D25" s="290" t="s">
        <v>223</v>
      </c>
      <c r="E25" s="291"/>
      <c r="F25" s="292"/>
      <c r="G25" s="2"/>
      <c r="H25" s="2"/>
      <c r="I25" s="2"/>
      <c r="J25" s="69" t="s">
        <v>222</v>
      </c>
      <c r="K25" s="70">
        <f>IFERROR(
ROUND(
IF($A$2="COSTO",
   B25
   *(1-SUMPRODUCT(
        (DESC_PROV[LINEA]=$B$2)*
        (DESC_PROV[LISTA]=$C$2)*
        (DESC_PROV[DESCUENTO])
   )),
   B25
   *(1-SUMPRODUCT(
        (DESC_PROV[LINEA]=$B$2)*
        (DESC_PROV[LISTA]=$C$2)*
        (DESC_PROV[DESCUENTO])
   ))
   *(1+IFERROR(VLOOKUP($C$2,LISTAS[],2,FALSE),0))
   *(1+IFERROR(VLOOKUP($C$2,LISTAS[],3,FALSE),0))
)
/5,0)*5,0)</f>
        <v>22325</v>
      </c>
      <c r="L25" s="290" t="s">
        <v>223</v>
      </c>
      <c r="M25" s="291"/>
      <c r="N25" s="292"/>
      <c r="O25" s="2"/>
      <c r="P25" s="2"/>
    </row>
    <row r="26" spans="1:16" ht="17.25" thickBot="1">
      <c r="A26" s="68" t="s">
        <v>224</v>
      </c>
      <c r="B26" s="67">
        <v>18000</v>
      </c>
      <c r="C26" s="2"/>
      <c r="D26" s="284" t="s">
        <v>225</v>
      </c>
      <c r="E26" s="285"/>
      <c r="F26" s="286"/>
      <c r="G26" s="2"/>
      <c r="H26" s="2"/>
      <c r="I26" s="2"/>
      <c r="J26" s="69" t="s">
        <v>224</v>
      </c>
      <c r="K26" s="70">
        <f>IFERROR(
ROUND(
IF($A$2="COSTO",
   B26
   *(1-SUMPRODUCT(
        (DESC_PROV[LINEA]=$B$2)*
        (DESC_PROV[LISTA]=$C$2)*
        (DESC_PROV[DESCUENTO])
   )),
   B26
   *(1-SUMPRODUCT(
        (DESC_PROV[LINEA]=$B$2)*
        (DESC_PROV[LISTA]=$C$2)*
        (DESC_PROV[DESCUENTO])
   ))
   *(1+IFERROR(VLOOKUP($C$2,LISTAS[],2,FALSE),0))
   *(1+IFERROR(VLOOKUP($C$2,LISTAS[],3,FALSE),0))
)
/5,0)*5,0)</f>
        <v>22325</v>
      </c>
      <c r="L26" s="284" t="s">
        <v>225</v>
      </c>
      <c r="M26" s="285"/>
      <c r="N26" s="286"/>
      <c r="O26" s="2"/>
      <c r="P26" s="2"/>
    </row>
  </sheetData>
  <mergeCells count="6">
    <mergeCell ref="D26:F26"/>
    <mergeCell ref="L26:N26"/>
    <mergeCell ref="A4:H4"/>
    <mergeCell ref="J4:P4"/>
    <mergeCell ref="D25:F25"/>
    <mergeCell ref="L25:N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0000000}">
          <x14:formula1>
            <xm:f>CONFIG!$F$10:$F$12</xm:f>
          </x14:formula1>
          <xm:sqref>E2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FF0000"/>
  </sheetPr>
  <dimension ref="A1:L14"/>
  <sheetViews>
    <sheetView zoomScale="70" zoomScaleNormal="70" workbookViewId="0">
      <selection activeCell="F15" sqref="F15"/>
    </sheetView>
  </sheetViews>
  <sheetFormatPr baseColWidth="10" defaultRowHeight="14.25"/>
  <cols>
    <col min="1" max="1" width="16.86328125" customWidth="1"/>
    <col min="2" max="2" width="11.265625" customWidth="1"/>
    <col min="3" max="3" width="12.1328125" customWidth="1"/>
    <col min="4" max="4" width="11.1328125" customWidth="1"/>
    <col min="5" max="5" width="9.73046875" customWidth="1"/>
    <col min="6" max="6" width="12.59765625" customWidth="1"/>
    <col min="7" max="7" width="11.59765625" customWidth="1"/>
    <col min="8" max="8" width="16.86328125" customWidth="1"/>
    <col min="9" max="9" width="12.1328125" customWidth="1"/>
    <col min="10" max="10" width="11.1328125" customWidth="1"/>
    <col min="11" max="11" width="9.73046875" customWidth="1"/>
    <col min="12" max="12" width="12.59765625" customWidth="1"/>
  </cols>
  <sheetData>
    <row r="1" spans="1:12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2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</row>
    <row r="3" spans="1:12" ht="14.65" thickBot="1"/>
    <row r="4" spans="1:12" ht="21.4" thickBot="1">
      <c r="A4" s="293" t="s">
        <v>235</v>
      </c>
      <c r="B4" s="294"/>
      <c r="C4" s="294"/>
      <c r="D4" s="294"/>
      <c r="E4" s="294"/>
      <c r="F4" s="295"/>
      <c r="G4" s="88"/>
      <c r="H4" s="293" t="s">
        <v>235</v>
      </c>
      <c r="I4" s="294"/>
      <c r="J4" s="294"/>
      <c r="K4" s="294"/>
      <c r="L4" s="295"/>
    </row>
    <row r="5" spans="1:12" ht="16.149999999999999" thickBo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5.75">
      <c r="A6" s="89" t="s">
        <v>236</v>
      </c>
      <c r="B6" s="90" t="s">
        <v>196</v>
      </c>
      <c r="C6" s="90" t="s">
        <v>237</v>
      </c>
      <c r="D6" s="91" t="s">
        <v>202</v>
      </c>
      <c r="E6" s="91" t="s">
        <v>126</v>
      </c>
      <c r="F6" s="92" t="s">
        <v>125</v>
      </c>
      <c r="G6" s="88"/>
      <c r="H6" s="89" t="s">
        <v>236</v>
      </c>
      <c r="I6" s="90" t="s">
        <v>237</v>
      </c>
      <c r="J6" s="91" t="s">
        <v>202</v>
      </c>
      <c r="K6" s="91" t="s">
        <v>229</v>
      </c>
      <c r="L6" s="92" t="s">
        <v>230</v>
      </c>
    </row>
    <row r="7" spans="1:12" ht="15.75">
      <c r="A7" s="93" t="s">
        <v>238</v>
      </c>
      <c r="B7" s="64">
        <v>99635</v>
      </c>
      <c r="C7" s="64">
        <v>16965</v>
      </c>
      <c r="D7" s="64">
        <v>72556</v>
      </c>
      <c r="E7" s="64">
        <v>18675</v>
      </c>
      <c r="F7" s="64">
        <v>48354</v>
      </c>
      <c r="G7" s="88"/>
      <c r="H7" s="93" t="s">
        <v>238</v>
      </c>
      <c r="I7" s="65">
        <f t="array" ref="I7">IFERROR(
ROUND(
IF($A$2="COSTO",
   ((B7*(1+IFERROR(VLOOKUP($D$2,COLORES[],2,FALSE),0)))+C7)
   *(1-IFERROR(_xlfn.XLOOKUP(1,(DESC_PROV[LINEA]=$B$2)*(DESC_PROV[LISTA]=$C$2),DESC_PROV[DESCUENTO]),0)),
   ((B7*(1+IFERROR(VLOOKUP($D$2,COLORES[],2,FALSE),0)))+C7)
   *(1-IFERROR(_xlfn.XLOOKUP(1,(DESC_PROV[LINEA]=$B$2)*(DESC_PROV[LISTA]=$C$2),DESC_PROV[DESCUENTO]),0))
   *(1+VLOOKUP($C$2,LISTAS[],2,FALSE))
   *(1+VLOOKUP($C$2,LISTAS[],3,FALSE))
)
/5,0)*5,0)</f>
        <v>144605</v>
      </c>
      <c r="J7" s="65">
        <f t="array" ref="J7">ROUND(
IF($A$2="COSTO",
   ((B7*(1+IFERROR(VLOOKUP($D$2,COLORES[],2,FALSE),0)))+D7)
   *(1-IFERROR(_xlfn.XLOOKUP(1,(DESC_PROV[LINEA]=$B$2)*(DESC_PROV[LISTA]=$C$2),DESC_PROV[DESCUENTO]),0)),
   ((B7*(1+IFERROR(VLOOKUP($D$2,COLORES[],2,FALSE),0)))+D7)
   *(1-IFERROR(_xlfn.XLOOKUP(1,(DESC_PROV[LINEA]=$B$2)*(DESC_PROV[LISTA]=$C$2),DESC_PROV[DESCUENTO]),0))
   *(1+VLOOKUP($C$2,LISTAS[],2,FALSE))
   *(1+VLOOKUP($C$2,LISTAS[],3,FALSE))
)
/5,0)*5</f>
        <v>213550</v>
      </c>
      <c r="K7" s="65">
        <f t="array" ref="K7">ROUND(
IF($A$2="COSTO",
   ((B7*(1+IFERROR(VLOOKUP($D$2,COLORES[],2,FALSE),0)))+E7)
   *(1-IFERROR(_xlfn.XLOOKUP(1,(DESC_PROV[LINEA]=$B$2)*(DESC_PROV[LISTA]=$C$2),DESC_PROV[DESCUENTO]),0)),
   ((B7*(1+IFERROR(VLOOKUP($D$2,COLORES[],2,FALSE),0)))+E7)
   *(1-IFERROR(_xlfn.XLOOKUP(1,(DESC_PROV[LINEA]=$B$2)*(DESC_PROV[LISTA]=$C$2),DESC_PROV[DESCUENTO]),0))
   *(1+VLOOKUP($C$2,LISTAS[],2,FALSE))
   *(1+VLOOKUP($C$2,LISTAS[],3,FALSE))
)
/5,0)*5</f>
        <v>146730</v>
      </c>
      <c r="L7" s="66">
        <f t="array" ref="L7">ROUND(
IF($A$2="COSTO",
   ((B7*(1+IFERROR(VLOOKUP($D$2,COLORES[],2,FALSE),0)))+F7)
   *(1-IFERROR(_xlfn.XLOOKUP(1,(DESC_PROV[LINEA]=$B$2)*(DESC_PROV[LISTA]=$C$2),DESC_PROV[DESCUENTO]),0)),
   ((B7*(1+IFERROR(VLOOKUP($D$2,COLORES[],2,FALSE),0)))+F7)
   *(1-IFERROR(_xlfn.XLOOKUP(1,(DESC_PROV[LINEA]=$B$2)*(DESC_PROV[LISTA]=$C$2),DESC_PROV[DESCUENTO]),0))
   *(1+VLOOKUP($C$2,LISTAS[],2,FALSE))
   *(1+VLOOKUP($C$2,LISTAS[],3,FALSE))
)
/5,0)*5</f>
        <v>183535</v>
      </c>
    </row>
    <row r="8" spans="1:12" ht="15.75">
      <c r="A8" s="93" t="s">
        <v>239</v>
      </c>
      <c r="B8" s="64">
        <v>114030</v>
      </c>
      <c r="C8" s="64">
        <v>16965</v>
      </c>
      <c r="D8" s="64"/>
      <c r="E8" s="64">
        <v>18675</v>
      </c>
      <c r="F8" s="64">
        <v>48354</v>
      </c>
      <c r="G8" s="88"/>
      <c r="H8" s="93" t="s">
        <v>239</v>
      </c>
      <c r="I8" s="65">
        <f t="array" ref="I8">IFERROR(
ROUND(
IF($A$2="COSTO",
   ((B8*(1+IFERROR(VLOOKUP($D$2,COLORES[],2,FALSE),0)))+C8)
   *(1-IFERROR(_xlfn.XLOOKUP(1,(DESC_PROV[LINEA]=$B$2)*(DESC_PROV[LISTA]=$C$2),DESC_PROV[DESCUENTO]),0)),
   ((B8*(1+IFERROR(VLOOKUP($D$2,COLORES[],2,FALSE),0)))+C8)
   *(1-IFERROR(_xlfn.XLOOKUP(1,(DESC_PROV[LINEA]=$B$2)*(DESC_PROV[LISTA]=$C$2),DESC_PROV[DESCUENTO]),0))
   *(1+VLOOKUP($C$2,LISTAS[],2,FALSE))
   *(1+VLOOKUP($C$2,LISTAS[],3,FALSE))
)
/5,0)*5,0)</f>
        <v>162460</v>
      </c>
      <c r="J8" s="65">
        <f t="array" ref="J8">ROUND(
IF($A$2="COSTO",
   ((B8*(1+IFERROR(VLOOKUP($D$2,COLORES[],2,FALSE),0)))+D8)
   *(1-IFERROR(_xlfn.XLOOKUP(1,(DESC_PROV[LINEA]=$B$2)*(DESC_PROV[LISTA]=$C$2),DESC_PROV[DESCUENTO]),0)),
   ((B8*(1+IFERROR(VLOOKUP($D$2,COLORES[],2,FALSE),0)))+D8)
   *(1-IFERROR(_xlfn.XLOOKUP(1,(DESC_PROV[LINEA]=$B$2)*(DESC_PROV[LISTA]=$C$2),DESC_PROV[DESCUENTO]),0))
   *(1+VLOOKUP($C$2,LISTAS[],2,FALSE))
   *(1+VLOOKUP($C$2,LISTAS[],3,FALSE))
)
/5,0)*5</f>
        <v>141420</v>
      </c>
      <c r="K8" s="65">
        <f t="array" ref="K8">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</f>
        <v>164580</v>
      </c>
      <c r="L8" s="66">
        <f t="array" ref="L8">ROUND(
IF($A$2="COSTO",
   ((B8*(1+IFERROR(VLOOKUP($D$2,COLORES[],2,FALSE),0)))+F8)
   *(1-IFERROR(_xlfn.XLOOKUP(1,(DESC_PROV[LINEA]=$B$2)*(DESC_PROV[LISTA]=$C$2),DESC_PROV[DESCUENTO]),0)),
   ((B8*(1+IFERROR(VLOOKUP($D$2,COLORES[],2,FALSE),0)))+F8)
   *(1-IFERROR(_xlfn.XLOOKUP(1,(DESC_PROV[LINEA]=$B$2)*(DESC_PROV[LISTA]=$C$2),DESC_PROV[DESCUENTO]),0))
   *(1+VLOOKUP($C$2,LISTAS[],2,FALSE))
   *(1+VLOOKUP($C$2,LISTAS[],3,FALSE))
)
/5,0)*5</f>
        <v>201390</v>
      </c>
    </row>
    <row r="9" spans="1:12" ht="15.75">
      <c r="A9" s="93" t="s">
        <v>240</v>
      </c>
      <c r="B9" s="64">
        <v>123971</v>
      </c>
      <c r="C9" s="64">
        <v>13390</v>
      </c>
      <c r="D9" s="64">
        <v>57283</v>
      </c>
      <c r="E9" s="64">
        <v>14742</v>
      </c>
      <c r="F9" s="64">
        <v>38175</v>
      </c>
      <c r="G9" s="88"/>
      <c r="H9" s="93" t="s">
        <v>240</v>
      </c>
      <c r="I9" s="65">
        <f t="array" ref="I9">IFERROR(
ROUND(
IF($A$2="COSTO",
   ((B9*(1+IFERROR(VLOOKUP($D$2,COLORES[],2,FALSE),0)))+C9)
   *(1-IFERROR(_xlfn.XLOOKUP(1,(DESC_PROV[LINEA]=$B$2)*(DESC_PROV[LISTA]=$C$2),DESC_PROV[DESCUENTO]),0)),
   ((B9*(1+IFERROR(VLOOKUP($D$2,COLORES[],2,FALSE),0)))+C9)
   *(1-IFERROR(_xlfn.XLOOKUP(1,(DESC_PROV[LINEA]=$B$2)*(DESC_PROV[LISTA]=$C$2),DESC_PROV[DESCUENTO]),0))
   *(1+VLOOKUP($C$2,LISTAS[],2,FALSE))
   *(1+VLOOKUP($C$2,LISTAS[],3,FALSE))
)
/5,0)*5,0)</f>
        <v>170355</v>
      </c>
      <c r="J9" s="65">
        <f t="array" ref="J9">ROUND(
IF($A$2="COSTO",
   ((B9*(1+IFERROR(VLOOKUP($D$2,COLORES[],2,FALSE),0)))+D9)
   *(1-IFERROR(_xlfn.XLOOKUP(1,(DESC_PROV[LINEA]=$B$2)*(DESC_PROV[LISTA]=$C$2),DESC_PROV[DESCUENTO]),0)),
   ((B9*(1+IFERROR(VLOOKUP($D$2,COLORES[],2,FALSE),0)))+D9)
   *(1-IFERROR(_xlfn.XLOOKUP(1,(DESC_PROV[LINEA]=$B$2)*(DESC_PROV[LISTA]=$C$2),DESC_PROV[DESCUENTO]),0))
   *(1+VLOOKUP($C$2,LISTAS[],2,FALSE))
   *(1+VLOOKUP($C$2,LISTAS[],3,FALSE))
)
/5,0)*5</f>
        <v>224790</v>
      </c>
      <c r="K9" s="65">
        <f t="array" ref="K9">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</f>
        <v>172030</v>
      </c>
      <c r="L9" s="66">
        <f t="array" ref="L9">ROUND(
IF($A$2="COSTO",
   ((B9*(1+IFERROR(VLOOKUP($D$2,COLORES[],2,FALSE),0)))+F9)
   *(1-IFERROR(_xlfn.XLOOKUP(1,(DESC_PROV[LINEA]=$B$2)*(DESC_PROV[LISTA]=$C$2),DESC_PROV[DESCUENTO]),0)),
   ((B9*(1+IFERROR(VLOOKUP($D$2,COLORES[],2,FALSE),0)))+F9)
   *(1-IFERROR(_xlfn.XLOOKUP(1,(DESC_PROV[LINEA]=$B$2)*(DESC_PROV[LISTA]=$C$2),DESC_PROV[DESCUENTO]),0))
   *(1+VLOOKUP($C$2,LISTAS[],2,FALSE))
   *(1+VLOOKUP($C$2,LISTAS[],3,FALSE))
)
/5,0)*5</f>
        <v>201095</v>
      </c>
    </row>
    <row r="10" spans="1:12" ht="15.75">
      <c r="A10" s="93" t="s">
        <v>241</v>
      </c>
      <c r="B10" s="64">
        <v>138474</v>
      </c>
      <c r="C10" s="64">
        <v>13390</v>
      </c>
      <c r="D10" s="64"/>
      <c r="E10" s="64">
        <v>14742</v>
      </c>
      <c r="F10" s="64">
        <v>38175</v>
      </c>
      <c r="G10" s="88"/>
      <c r="H10" s="93" t="s">
        <v>241</v>
      </c>
      <c r="I10" s="65">
        <f t="array" ref="I10">IFERROR(
ROUND(
IF($A$2="COSTO",
   ((B10*(1+IFERROR(VLOOKUP($D$2,COLORES[],2,FALSE),0)))+C10)
   *(1-IFERROR(_xlfn.XLOOKUP(1,(DESC_PROV[LINEA]=$B$2)*(DESC_PROV[LISTA]=$C$2),DESC_PROV[DESCUENTO]),0)),
   ((B10*(1+IFERROR(VLOOKUP($D$2,COLORES[],2,FALSE),0)))+C10)
   *(1-IFERROR(_xlfn.XLOOKUP(1,(DESC_PROV[LINEA]=$B$2)*(DESC_PROV[LISTA]=$C$2),DESC_PROV[DESCUENTO]),0))
   *(1+VLOOKUP($C$2,LISTAS[],2,FALSE))
   *(1+VLOOKUP($C$2,LISTAS[],3,FALSE))
)
/5,0)*5,0)</f>
        <v>188340</v>
      </c>
      <c r="J10" s="65">
        <f t="array" ref="J10">ROUND(
IF($A$2="COSTO",
   ((B10*(1+IFERROR(VLOOKUP($D$2,COLORES[],2,FALSE),0)))+D10)
   *(1-IFERROR(_xlfn.XLOOKUP(1,(DESC_PROV[LINEA]=$B$2)*(DESC_PROV[LISTA]=$C$2),DESC_PROV[DESCUENTO]),0)),
   ((B10*(1+IFERROR(VLOOKUP($D$2,COLORES[],2,FALSE),0)))+D10)
   *(1-IFERROR(_xlfn.XLOOKUP(1,(DESC_PROV[LINEA]=$B$2)*(DESC_PROV[LISTA]=$C$2),DESC_PROV[DESCUENTO]),0))
   *(1+VLOOKUP($C$2,LISTAS[],2,FALSE))
   *(1+VLOOKUP($C$2,LISTAS[],3,FALSE))
)
/5,0)*5</f>
        <v>171735</v>
      </c>
      <c r="K10" s="65">
        <f t="array" ref="K10">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</f>
        <v>190020</v>
      </c>
      <c r="L10" s="66">
        <f t="array" ref="L10">ROUND(
IF($A$2="COSTO",
   ((B10*(1+IFERROR(VLOOKUP($D$2,COLORES[],2,FALSE),0)))+F10)
   *(1-IFERROR(_xlfn.XLOOKUP(1,(DESC_PROV[LINEA]=$B$2)*(DESC_PROV[LISTA]=$C$2),DESC_PROV[DESCUENTO]),0)),
   ((B10*(1+IFERROR(VLOOKUP($D$2,COLORES[],2,FALSE),0)))+F10)
   *(1-IFERROR(_xlfn.XLOOKUP(1,(DESC_PROV[LINEA]=$B$2)*(DESC_PROV[LISTA]=$C$2),DESC_PROV[DESCUENTO]),0))
   *(1+VLOOKUP($C$2,LISTAS[],2,FALSE))
   *(1+VLOOKUP($C$2,LISTAS[],3,FALSE))
)
/5,0)*5</f>
        <v>219080</v>
      </c>
    </row>
    <row r="11" spans="1:12" ht="15.75">
      <c r="A11" s="93" t="s">
        <v>242</v>
      </c>
      <c r="B11" s="64">
        <v>150387</v>
      </c>
      <c r="C11" s="64">
        <v>8931</v>
      </c>
      <c r="D11" s="64">
        <v>38189</v>
      </c>
      <c r="E11" s="64">
        <v>9828</v>
      </c>
      <c r="F11" s="64">
        <v>25448</v>
      </c>
      <c r="G11" s="88"/>
      <c r="H11" s="93" t="s">
        <v>242</v>
      </c>
      <c r="I11" s="65">
        <f t="array" ref="I11">IFERROR(
ROUND(
IF($A$2="COSTO",
   ((B11*(1+IFERROR(VLOOKUP($D$2,COLORES[],2,FALSE),0)))+C11)
   *(1-IFERROR(_xlfn.XLOOKUP(1,(DESC_PROV[LINEA]=$B$2)*(DESC_PROV[LISTA]=$C$2),DESC_PROV[DESCUENTO]),0)),
   ((B11*(1+IFERROR(VLOOKUP($D$2,COLORES[],2,FALSE),0)))+C11)
   *(1-IFERROR(_xlfn.XLOOKUP(1,(DESC_PROV[LINEA]=$B$2)*(DESC_PROV[LISTA]=$C$2),DESC_PROV[DESCUENTO]),0))
   *(1+VLOOKUP($C$2,LISTAS[],2,FALSE))
   *(1+VLOOKUP($C$2,LISTAS[],3,FALSE))
)
/5,0)*5,0)</f>
        <v>197585</v>
      </c>
      <c r="J11" s="65">
        <f t="array" ref="J11">ROUND(
IF($A$2="COSTO",
   ((B11*(1+IFERROR(VLOOKUP($D$2,COLORES[],2,FALSE),0)))+D11)
   *(1-IFERROR(_xlfn.XLOOKUP(1,(DESC_PROV[LINEA]=$B$2)*(DESC_PROV[LISTA]=$C$2),DESC_PROV[DESCUENTO]),0)),
   ((B11*(1+IFERROR(VLOOKUP($D$2,COLORES[],2,FALSE),0)))+D11)
   *(1-IFERROR(_xlfn.XLOOKUP(1,(DESC_PROV[LINEA]=$B$2)*(DESC_PROV[LISTA]=$C$2),DESC_PROV[DESCUENTO]),0))
   *(1+VLOOKUP($C$2,LISTAS[],2,FALSE))
   *(1+VLOOKUP($C$2,LISTAS[],3,FALSE))
)
/5,0)*5</f>
        <v>233870</v>
      </c>
      <c r="K11" s="65">
        <f t="array" ref="K11">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</f>
        <v>198700</v>
      </c>
      <c r="L11" s="66">
        <f t="array" ref="L11">ROUND(
IF($A$2="COSTO",
   ((B11*(1+IFERROR(VLOOKUP($D$2,COLORES[],2,FALSE),0)))+F11)
   *(1-IFERROR(_xlfn.XLOOKUP(1,(DESC_PROV[LINEA]=$B$2)*(DESC_PROV[LISTA]=$C$2),DESC_PROV[DESCUENTO]),0)),
   ((B11*(1+IFERROR(VLOOKUP($D$2,COLORES[],2,FALSE),0)))+F11)
   *(1-IFERROR(_xlfn.XLOOKUP(1,(DESC_PROV[LINEA]=$B$2)*(DESC_PROV[LISTA]=$C$2),DESC_PROV[DESCUENTO]),0))
   *(1+VLOOKUP($C$2,LISTAS[],2,FALSE))
   *(1+VLOOKUP($C$2,LISTAS[],3,FALSE))
)
/5,0)*5</f>
        <v>218070</v>
      </c>
    </row>
    <row r="12" spans="1:12" ht="15.75">
      <c r="A12" s="93" t="s">
        <v>243</v>
      </c>
      <c r="B12" s="64">
        <v>158256</v>
      </c>
      <c r="C12" s="64">
        <v>8931</v>
      </c>
      <c r="D12" s="64"/>
      <c r="E12" s="64">
        <v>9828</v>
      </c>
      <c r="F12" s="64">
        <v>25448</v>
      </c>
      <c r="G12" s="88"/>
      <c r="H12" s="93" t="s">
        <v>243</v>
      </c>
      <c r="I12" s="65">
        <f t="array" ref="I12">IFERROR(
ROUND(
IF($A$2="COSTO",
   ((B12*(1+IFERROR(VLOOKUP($D$2,COLORES[],2,FALSE),0)))+C12)
   *(1-IFERROR(_xlfn.XLOOKUP(1,(DESC_PROV[LINEA]=$B$2)*(DESC_PROV[LISTA]=$C$2),DESC_PROV[DESCUENTO]),0)),
   ((B12*(1+IFERROR(VLOOKUP($D$2,COLORES[],2,FALSE),0)))+C12)
   *(1-IFERROR(_xlfn.XLOOKUP(1,(DESC_PROV[LINEA]=$B$2)*(DESC_PROV[LISTA]=$C$2),DESC_PROV[DESCUENTO]),0))
   *(1+VLOOKUP($C$2,LISTAS[],2,FALSE))
   *(1+VLOOKUP($C$2,LISTAS[],3,FALSE))
)
/5,0)*5,0)</f>
        <v>207345</v>
      </c>
      <c r="J12" s="65">
        <f t="array" ref="J12">ROUND(
IF($A$2="COSTO",
   ((B12*(1+IFERROR(VLOOKUP($D$2,COLORES[],2,FALSE),0)))+D12)
   *(1-IFERROR(_xlfn.XLOOKUP(1,(DESC_PROV[LINEA]=$B$2)*(DESC_PROV[LISTA]=$C$2),DESC_PROV[DESCUENTO]),0)),
   ((B12*(1+IFERROR(VLOOKUP($D$2,COLORES[],2,FALSE),0)))+D12)
   *(1-IFERROR(_xlfn.XLOOKUP(1,(DESC_PROV[LINEA]=$B$2)*(DESC_PROV[LISTA]=$C$2),DESC_PROV[DESCUENTO]),0))
   *(1+VLOOKUP($C$2,LISTAS[],2,FALSE))
   *(1+VLOOKUP($C$2,LISTAS[],3,FALSE))
)
/5,0)*5</f>
        <v>196270</v>
      </c>
      <c r="K12" s="65">
        <f t="array" ref="K12">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</f>
        <v>208460</v>
      </c>
      <c r="L12" s="66">
        <f t="array" ref="L12">ROUND(
IF($A$2="COSTO",
   ((B12*(1+IFERROR(VLOOKUP($D$2,COLORES[],2,FALSE),0)))+F12)
   *(1-IFERROR(_xlfn.XLOOKUP(1,(DESC_PROV[LINEA]=$B$2)*(DESC_PROV[LISTA]=$C$2),DESC_PROV[DESCUENTO]),0)),
   ((B12*(1+IFERROR(VLOOKUP($D$2,COLORES[],2,FALSE),0)))+F12)
   *(1-IFERROR(_xlfn.XLOOKUP(1,(DESC_PROV[LINEA]=$B$2)*(DESC_PROV[LISTA]=$C$2),DESC_PROV[DESCUENTO]),0))
   *(1+VLOOKUP($C$2,LISTAS[],2,FALSE))
   *(1+VLOOKUP($C$2,LISTAS[],3,FALSE))
)
/5,0)*5</f>
        <v>227830</v>
      </c>
    </row>
    <row r="13" spans="1:12" ht="15.75">
      <c r="A13" s="93" t="s">
        <v>244</v>
      </c>
      <c r="B13" s="64">
        <v>119776</v>
      </c>
      <c r="C13" s="64">
        <v>22321</v>
      </c>
      <c r="D13" s="64">
        <v>95472</v>
      </c>
      <c r="E13" s="64">
        <v>24570</v>
      </c>
      <c r="F13" s="64">
        <v>63622</v>
      </c>
      <c r="G13" s="88"/>
      <c r="H13" s="93" t="s">
        <v>244</v>
      </c>
      <c r="I13" s="65">
        <f t="array" ref="I13">IFERROR(
ROUND(
IF($A$2="COSTO",
   ((B13*(1+IFERROR(VLOOKUP($D$2,COLORES[],2,FALSE),0)))+C13)
   *(1-IFERROR(_xlfn.XLOOKUP(1,(DESC_PROV[LINEA]=$B$2)*(DESC_PROV[LISTA]=$C$2),DESC_PROV[DESCUENTO]),0)),
   ((B13*(1+IFERROR(VLOOKUP($D$2,COLORES[],2,FALSE),0)))+C13)
   *(1-IFERROR(_xlfn.XLOOKUP(1,(DESC_PROV[LINEA]=$B$2)*(DESC_PROV[LISTA]=$C$2),DESC_PROV[DESCUENTO]),0))
   *(1+VLOOKUP($C$2,LISTAS[],2,FALSE))
   *(1+VLOOKUP($C$2,LISTAS[],3,FALSE))
)
/5,0)*5,0)</f>
        <v>176230</v>
      </c>
      <c r="J13" s="65">
        <f t="array" ref="J13">ROUND(
IF($A$2="COSTO",
   ((B13*(1+IFERROR(VLOOKUP($D$2,COLORES[],2,FALSE),0)))+D13)
   *(1-IFERROR(_xlfn.XLOOKUP(1,(DESC_PROV[LINEA]=$B$2)*(DESC_PROV[LISTA]=$C$2),DESC_PROV[DESCUENTO]),0)),
   ((B13*(1+IFERROR(VLOOKUP($D$2,COLORES[],2,FALSE),0)))+D13)
   *(1-IFERROR(_xlfn.XLOOKUP(1,(DESC_PROV[LINEA]=$B$2)*(DESC_PROV[LISTA]=$C$2),DESC_PROV[DESCUENTO]),0))
   *(1+VLOOKUP($C$2,LISTAS[],2,FALSE))
   *(1+VLOOKUP($C$2,LISTAS[],3,FALSE))
)
/5,0)*5</f>
        <v>266950</v>
      </c>
      <c r="K13" s="65">
        <f t="array" ref="K13">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</f>
        <v>179020</v>
      </c>
      <c r="L13" s="66">
        <f t="array" ref="L13">ROUND(
IF($A$2="COSTO",
   ((B13*(1+IFERROR(VLOOKUP($D$2,COLORES[],2,FALSE),0)))+F13)
   *(1-IFERROR(_xlfn.XLOOKUP(1,(DESC_PROV[LINEA]=$B$2)*(DESC_PROV[LISTA]=$C$2),DESC_PROV[DESCUENTO]),0)),
   ((B13*(1+IFERROR(VLOOKUP($D$2,COLORES[],2,FALSE),0)))+F13)
   *(1-IFERROR(_xlfn.XLOOKUP(1,(DESC_PROV[LINEA]=$B$2)*(DESC_PROV[LISTA]=$C$2),DESC_PROV[DESCUENTO]),0))
   *(1+VLOOKUP($C$2,LISTAS[],2,FALSE))
   *(1+VLOOKUP($C$2,LISTAS[],3,FALSE))
)
/5,0)*5</f>
        <v>227450</v>
      </c>
    </row>
    <row r="14" spans="1:12" ht="14.65" thickBot="1">
      <c r="A14" s="94" t="s">
        <v>245</v>
      </c>
      <c r="B14" s="64">
        <v>115000</v>
      </c>
      <c r="C14" s="64">
        <v>19500</v>
      </c>
      <c r="D14" s="64">
        <v>65000</v>
      </c>
      <c r="E14" s="64">
        <v>19000</v>
      </c>
      <c r="F14" s="64">
        <v>49000</v>
      </c>
      <c r="G14" s="4"/>
      <c r="H14" s="94" t="s">
        <v>245</v>
      </c>
      <c r="I14" s="65">
        <f t="array" ref="I14">IFERROR(
ROUND(
IF($A$2="COSTO",
   ((B14*(1+IFERROR(VLOOKUP($D$2,COLORES[],2,FALSE),0)))+C14)
   *(1-IFERROR(_xlfn.XLOOKUP(1,(DESC_PROV[LINEA]=$B$2)*(DESC_PROV[LISTA]=$C$2),DESC_PROV[DESCUENTO]),0)),
   ((B14*(1+IFERROR(VLOOKUP($D$2,COLORES[],2,FALSE),0)))+C14)
   *(1-IFERROR(_xlfn.XLOOKUP(1,(DESC_PROV[LINEA]=$B$2)*(DESC_PROV[LISTA]=$C$2),DESC_PROV[DESCUENTO]),0))
   *(1+VLOOKUP($C$2,LISTAS[],2,FALSE))
   *(1+VLOOKUP($C$2,LISTAS[],3,FALSE))
)
/5,0)*5,0)</f>
        <v>166805</v>
      </c>
      <c r="J14" s="65">
        <f t="array" ref="J14">ROUND(
IF($A$2="COSTO",
   ((B14*(1+IFERROR(VLOOKUP($D$2,COLORES[],2,FALSE),0)))+D14)
   *(1-IFERROR(_xlfn.XLOOKUP(1,(DESC_PROV[LINEA]=$B$2)*(DESC_PROV[LISTA]=$C$2),DESC_PROV[DESCUENTO]),0)),
   ((B14*(1+IFERROR(VLOOKUP($D$2,COLORES[],2,FALSE),0)))+D14)
   *(1-IFERROR(_xlfn.XLOOKUP(1,(DESC_PROV[LINEA]=$B$2)*(DESC_PROV[LISTA]=$C$2),DESC_PROV[DESCUENTO]),0))
   *(1+VLOOKUP($C$2,LISTAS[],2,FALSE))
   *(1+VLOOKUP($C$2,LISTAS[],3,FALSE))
)
/5,0)*5</f>
        <v>223235</v>
      </c>
      <c r="K14" s="65">
        <f t="array" ref="K14">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</f>
        <v>166185</v>
      </c>
      <c r="L14" s="66">
        <f t="array" ref="L14">ROUND(
IF($A$2="COSTO",
   ((B14*(1+IFERROR(VLOOKUP($D$2,COLORES[],2,FALSE),0)))+F14)
   *(1-IFERROR(_xlfn.XLOOKUP(1,(DESC_PROV[LINEA]=$B$2)*(DESC_PROV[LISTA]=$C$2),DESC_PROV[DESCUENTO]),0)),
   ((B14*(1+IFERROR(VLOOKUP($D$2,COLORES[],2,FALSE),0)))+F14)
   *(1-IFERROR(_xlfn.XLOOKUP(1,(DESC_PROV[LINEA]=$B$2)*(DESC_PROV[LISTA]=$C$2),DESC_PROV[DESCUENTO]),0))
   *(1+VLOOKUP($C$2,LISTAS[],2,FALSE))
   *(1+VLOOKUP($C$2,LISTAS[],3,FALSE))
)
/5,0)*5</f>
        <v>203395</v>
      </c>
    </row>
  </sheetData>
  <mergeCells count="2">
    <mergeCell ref="A4:F4"/>
    <mergeCell ref="H4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FF0000"/>
    <pageSetUpPr fitToPage="1"/>
  </sheetPr>
  <dimension ref="A1:R59"/>
  <sheetViews>
    <sheetView zoomScale="85" zoomScaleNormal="85" workbookViewId="0">
      <selection activeCell="B5" sqref="B5"/>
    </sheetView>
  </sheetViews>
  <sheetFormatPr baseColWidth="10" defaultRowHeight="14.25"/>
  <cols>
    <col min="1" max="1" width="12.59765625" customWidth="1"/>
    <col min="2" max="2" width="11" customWidth="1"/>
    <col min="3" max="4" width="8.73046875"/>
    <col min="5" max="5" width="10.73046875" customWidth="1"/>
    <col min="6" max="6" width="10.59765625" customWidth="1"/>
    <col min="7" max="7" width="8.73046875"/>
    <col min="8" max="8" width="10.265625" customWidth="1"/>
    <col min="9" max="9" width="12.1328125" customWidth="1"/>
    <col min="10" max="13" width="8.73046875"/>
    <col min="14" max="14" width="10.73046875" customWidth="1"/>
    <col min="15" max="15" width="10.59765625" customWidth="1"/>
    <col min="16" max="16" width="10.265625" customWidth="1"/>
    <col min="17" max="17" width="12.1328125" customWidth="1"/>
    <col min="18" max="18" width="9.86328125" customWidth="1"/>
  </cols>
  <sheetData>
    <row r="1" spans="1:18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8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3" spans="1:18" ht="14.65" thickBot="1"/>
    <row r="4" spans="1:18" ht="14.65" thickBot="1">
      <c r="A4" s="296" t="s">
        <v>405</v>
      </c>
      <c r="B4" s="297"/>
      <c r="C4" s="297"/>
      <c r="D4" s="297"/>
      <c r="E4" s="297"/>
      <c r="F4" s="297"/>
      <c r="G4" s="297"/>
      <c r="H4" s="297"/>
      <c r="I4" s="298"/>
      <c r="K4" s="299" t="s">
        <v>405</v>
      </c>
      <c r="L4" s="300"/>
      <c r="M4" s="300"/>
      <c r="N4" s="300"/>
      <c r="O4" s="300"/>
      <c r="P4" s="300"/>
      <c r="Q4" s="300"/>
      <c r="R4" s="301"/>
    </row>
    <row r="5" spans="1:18">
      <c r="A5" s="104" t="s">
        <v>4</v>
      </c>
      <c r="B5" s="105" t="s">
        <v>5</v>
      </c>
      <c r="C5" s="105" t="s">
        <v>249</v>
      </c>
      <c r="D5" s="105" t="s">
        <v>250</v>
      </c>
      <c r="E5" s="105" t="s">
        <v>251</v>
      </c>
      <c r="F5" s="105" t="s">
        <v>198</v>
      </c>
      <c r="G5" s="105" t="s">
        <v>199</v>
      </c>
      <c r="H5" s="105" t="s">
        <v>252</v>
      </c>
      <c r="I5" s="106" t="s">
        <v>253</v>
      </c>
      <c r="J5" s="2"/>
      <c r="K5" s="104" t="s">
        <v>4</v>
      </c>
      <c r="L5" s="105" t="s">
        <v>122</v>
      </c>
      <c r="M5" s="105" t="s">
        <v>123</v>
      </c>
      <c r="N5" s="105" t="s">
        <v>124</v>
      </c>
      <c r="O5" s="105" t="s">
        <v>127</v>
      </c>
      <c r="P5" s="105" t="s">
        <v>254</v>
      </c>
      <c r="Q5" s="105" t="s">
        <v>2</v>
      </c>
      <c r="R5" s="106" t="s">
        <v>255</v>
      </c>
    </row>
    <row r="6" spans="1:18">
      <c r="A6" s="107" t="s">
        <v>6</v>
      </c>
      <c r="B6" s="64">
        <v>79094</v>
      </c>
      <c r="C6" s="64">
        <v>6884</v>
      </c>
      <c r="D6" s="64">
        <v>9900</v>
      </c>
      <c r="E6" s="64">
        <v>2550</v>
      </c>
      <c r="F6" s="64">
        <v>3090</v>
      </c>
      <c r="G6" s="64">
        <v>4068</v>
      </c>
      <c r="H6" s="64">
        <v>12737</v>
      </c>
      <c r="I6" s="64">
        <v>36118</v>
      </c>
      <c r="J6" s="2"/>
      <c r="K6" s="107" t="s">
        <v>6</v>
      </c>
      <c r="L6" s="65">
        <f t="array" ref="L6">ROUND(
IF($A$2="COSTO",
   ((B6*(1+IFERROR(VLOOKUP($D$2,COLORES[],2,FALSE),0)))+E6)
   *(1-IFERROR(_xlfn.XLOOKUP(1,(DESC_PROV[LINEA]=$B$2)*(DESC_PROV[LISTA]=$C$2),DESC_PROV[DESCUENTO]),0)),
   ((B6*(1+IFERROR(VLOOKUP($D$2,COLORES[],2,FALSE),0)))+E6)
   *(1-IFERROR(_xlfn.XLOOKUP(1,(DESC_PROV[LINEA]=$B$2)*(DESC_PROV[LISTA]=$C$2),DESC_PROV[DESCUENTO]),0))
   *(1+VLOOKUP($C$2,LISTAS[],2,FALSE))
   *(1+VLOOKUP($C$2,LISTAS[],3,FALSE))
)
/5,0)*5</f>
        <v>104630</v>
      </c>
      <c r="M6" s="65">
        <f t="array" ref="M6">ROUND(
IF($A$2="COSTO",
   ((B6*(1+IFERROR(VLOOKUP($D$2,COLORES[],2,FALSE),0)))+F6)
   *(1-IFERROR(_xlfn.XLOOKUP(1,(DESC_PROV[LINEA]=$B$2)*(DESC_PROV[LISTA]=$C$2),DESC_PROV[DESCUENTO]),0)),
   ((B6*(1+IFERROR(VLOOKUP($D$2,COLORES[],2,FALSE),0)))+F6)
   *(1-IFERROR(_xlfn.XLOOKUP(1,(DESC_PROV[LINEA]=$B$2)*(DESC_PROV[LISTA]=$C$2),DESC_PROV[DESCUENTO]),0))
   *(1+VLOOKUP($C$2,LISTAS[],2,FALSE))
   *(1+VLOOKUP($C$2,LISTAS[],3,FALSE))
)
/5,0)*5</f>
        <v>105320</v>
      </c>
      <c r="N6" s="65">
        <f t="array" ref="N6">ROUND(
IF($A$2="COSTO",
   ((B6*(1+IFERROR(VLOOKUP($D$2,COLORES[],2,FALSE),0)))+G6)
   *(1-IFERROR(_xlfn.XLOOKUP(1,(DESC_PROV[LINEA]=$B$2)*(DESC_PROV[LISTA]=$C$2),DESC_PROV[DESCUENTO]),0)),
   ((B6*(1+IFERROR(VLOOKUP($D$2,COLORES[],2,FALSE),0)))+G6)
   *(1-IFERROR(_xlfn.XLOOKUP(1,(DESC_PROV[LINEA]=$B$2)*(DESC_PROV[LISTA]=$C$2),DESC_PROV[DESCUENTO]),0))
   *(1+VLOOKUP($C$2,LISTAS[],2,FALSE))
   *(1+VLOOKUP($C$2,LISTAS[],3,FALSE))
)
/5,0)*5</f>
        <v>106575</v>
      </c>
      <c r="O6" s="65">
        <f t="array" ref="O6">ROUND(
IF($A$2="COSTO",
   ((B6*(1+IFERROR(VLOOKUP($D$2,COLORES[],2,FALSE),0)))+H6)
   *(1-IFERROR(_xlfn.XLOOKUP(1,(DESC_PROV[LINEA]=$B$2)*(DESC_PROV[LISTA]=$C$2),DESC_PROV[DESCUENTO]),0)),
   ((B6*(1+IFERROR(VLOOKUP($D$2,COLORES[],2,FALSE),0)))+H6)
   *(1-IFERROR(_xlfn.XLOOKUP(1,(DESC_PROV[LINEA]=$B$2)*(DESC_PROV[LISTA]=$C$2),DESC_PROV[DESCUENTO]),0))
   *(1+VLOOKUP($C$2,LISTAS[],2,FALSE))
   *(1+VLOOKUP($C$2,LISTAS[],3,FALSE))
)
/5,0)*5</f>
        <v>117685</v>
      </c>
      <c r="P6" s="65">
        <f t="array" ref="P6">ROUND(
IF($A$2="COSTO",
   (C6*(1+IFERROR(VLOOKUP($D$2,COLORES[],2,FALSE),0)))
   *(1-IFERROR(_xlfn.XLOOKUP(1,(DESC_PROV[LINEA]=$B$2)*(DESC_PROV[LISTA]=$C$2),DESC_PROV[DESCUENTO]),0)),
   (C6*(1+IFERROR(VLOOKUP($D$2,COLORES[],2,FALSE),0)))
   *(1-IFERROR(_xlfn.XLOOKUP(1,(DESC_PROV[LINEA]=$B$2)*(DESC_PROV[LISTA]=$C$2),DESC_PROV[DESCUENTO]),0))
   *(1+VLOOKUP($C$2,LISTAS[],2,FALSE))
   *(1+VLOOKUP($C$2,LISTAS[],3,FALSE))
)
/5,0)*5</f>
        <v>8820</v>
      </c>
      <c r="Q6" s="65">
        <f t="array" ref="Q6">ROUND(
IF($A$2="COSTO",
   (D6*(1+IFERROR(VLOOKUP($D$2,COLORES[],2,FALSE),0)))
   *(1-IFERROR(_xlfn.XLOOKUP(1,(DESC_PROV[LINEA]=$B$2)*(DESC_PROV[LISTA]=$C$2),DESC_PROV[DESCUENTO]),0)),
   (D6*(1+IFERROR(VLOOKUP($D$2,COLORES[],2,FALSE),0)))
   *(1-IFERROR(_xlfn.XLOOKUP(1,(DESC_PROV[LINEA]=$B$2)*(DESC_PROV[LISTA]=$C$2),DESC_PROV[DESCUENTO]),0))
   *(1+VLOOKUP($C$2,LISTAS[],2,FALSE))
   *(1+VLOOKUP($C$2,LISTAS[],4,FALSE))
)
/5,0)*5</f>
        <v>15615</v>
      </c>
      <c r="R6" s="66">
        <f t="array" ref="R6">ROUND(
IF($A$2="COSTO",
   ((B6*(1+IFERROR(VLOOKUP($D$2,COLORES[],2,FALSE),0)))+(F6+I6+F6))
   *(1-IFERROR(_xlfn.XLOOKUP(1,(DESC_PROV[LINEA]=$B$2)*(DESC_PROV[LISTA]=$C$2),DESC_PROV[DESCUENTO]),0)),
   ((B6*(1+IFERROR(VLOOKUP($D$2,COLORES[],2,FALSE),0)))+(F6+I6+F6))
   *(1-IFERROR(_xlfn.XLOOKUP(1,(DESC_PROV[LINEA]=$B$2)*(DESC_PROV[LISTA]=$C$2),DESC_PROV[DESCUENTO]),0))
   *(1+VLOOKUP($C$2,LISTAS[],2,FALSE))
   *(1+VLOOKUP($C$2,LISTAS[],3,FALSE))
)
/5,0)*5</f>
        <v>155570</v>
      </c>
    </row>
    <row r="7" spans="1:18">
      <c r="A7" s="107" t="s">
        <v>7</v>
      </c>
      <c r="B7" s="64">
        <v>86656</v>
      </c>
      <c r="C7" s="64">
        <v>6884</v>
      </c>
      <c r="D7" s="64">
        <v>11600</v>
      </c>
      <c r="E7" s="64">
        <v>3570</v>
      </c>
      <c r="F7" s="64">
        <v>4326</v>
      </c>
      <c r="G7" s="64">
        <v>5700</v>
      </c>
      <c r="H7" s="64">
        <v>17838</v>
      </c>
      <c r="I7" s="64">
        <v>41278</v>
      </c>
      <c r="J7" s="2"/>
      <c r="K7" s="107" t="s">
        <v>7</v>
      </c>
      <c r="L7" s="65">
        <f t="array" ref="L7">ROUND(
IF($A$2="COSTO",
   ((B7*(1+IFERROR(VLOOKUP($D$2,COLORES[],2,FALSE),0)))+E7)
   *(1-IFERROR(_xlfn.XLOOKUP(1,(DESC_PROV[LINEA]=$B$2)*(DESC_PROV[LISTA]=$C$2),DESC_PROV[DESCUENTO]),0)),
   ((B7*(1+IFERROR(VLOOKUP($D$2,COLORES[],2,FALSE),0)))+E7)
   *(1-IFERROR(_xlfn.XLOOKUP(1,(DESC_PROV[LINEA]=$B$2)*(DESC_PROV[LISTA]=$C$2),DESC_PROV[DESCUENTO]),0))
   *(1+VLOOKUP($C$2,LISTAS[],2,FALSE))
   *(1+VLOOKUP($C$2,LISTAS[],3,FALSE))
)
/5,0)*5</f>
        <v>115630</v>
      </c>
      <c r="M7" s="65">
        <f t="array" ref="M7">ROUND(
IF($A$2="COSTO",
   ((B7*(1+IFERROR(VLOOKUP($D$2,COLORES[],2,FALSE),0)))+F7)
   *(1-IFERROR(_xlfn.XLOOKUP(1,(DESC_PROV[LINEA]=$B$2)*(DESC_PROV[LISTA]=$C$2),DESC_PROV[DESCUENTO]),0)),
   ((B7*(1+IFERROR(VLOOKUP($D$2,COLORES[],2,FALSE),0)))+F7)
   *(1-IFERROR(_xlfn.XLOOKUP(1,(DESC_PROV[LINEA]=$B$2)*(DESC_PROV[LISTA]=$C$2),DESC_PROV[DESCUENTO]),0))
   *(1+VLOOKUP($C$2,LISTAS[],2,FALSE))
   *(1+VLOOKUP($C$2,LISTAS[],3,FALSE))
)
/5,0)*5</f>
        <v>116595</v>
      </c>
      <c r="N7" s="65">
        <f t="array" ref="N7">ROUND(
IF($A$2="COSTO",
   ((B7*(1+IFERROR(VLOOKUP($D$2,COLORES[],2,FALSE),0)))+G7)
   *(1-IFERROR(_xlfn.XLOOKUP(1,(DESC_PROV[LINEA]=$B$2)*(DESC_PROV[LISTA]=$C$2),DESC_PROV[DESCUENTO]),0)),
   ((B7*(1+IFERROR(VLOOKUP($D$2,COLORES[],2,FALSE),0)))+G7)
   *(1-IFERROR(_xlfn.XLOOKUP(1,(DESC_PROV[LINEA]=$B$2)*(DESC_PROV[LISTA]=$C$2),DESC_PROV[DESCUENTO]),0))
   *(1+VLOOKUP($C$2,LISTAS[],2,FALSE))
   *(1+VLOOKUP($C$2,LISTAS[],3,FALSE))
)
/5,0)*5</f>
        <v>118360</v>
      </c>
      <c r="O7" s="65">
        <f t="array" ref="O7">ROUND(
IF($A$2="COSTO",
   ((B7*(1+IFERROR(VLOOKUP($D$2,COLORES[],2,FALSE),0)))+H7)
   *(1-IFERROR(_xlfn.XLOOKUP(1,(DESC_PROV[LINEA]=$B$2)*(DESC_PROV[LISTA]=$C$2),DESC_PROV[DESCUENTO]),0)),
   ((B7*(1+IFERROR(VLOOKUP($D$2,COLORES[],2,FALSE),0)))+H7)
   *(1-IFERROR(_xlfn.XLOOKUP(1,(DESC_PROV[LINEA]=$B$2)*(DESC_PROV[LISTA]=$C$2),DESC_PROV[DESCUENTO]),0))
   *(1+VLOOKUP($C$2,LISTAS[],2,FALSE))
   *(1+VLOOKUP($C$2,LISTAS[],3,FALSE))
)
/5,0)*5</f>
        <v>133915</v>
      </c>
      <c r="P7" s="65">
        <f t="array" ref="P7">ROUND(
IF($A$2="COSTO",
   (C7*(1+IFERROR(VLOOKUP($D$2,COLORES[],2,FALSE),0)))
   *(1-IFERROR(_xlfn.XLOOKUP(1,(DESC_PROV[LINEA]=$B$2)*(DESC_PROV[LISTA]=$C$2),DESC_PROV[DESCUENTO]),0)),
   (C7*(1+IFERROR(VLOOKUP($D$2,COLORES[],2,FALSE),0)))
   *(1-IFERROR(_xlfn.XLOOKUP(1,(DESC_PROV[LINEA]=$B$2)*(DESC_PROV[LISTA]=$C$2),DESC_PROV[DESCUENTO]),0))
   *(1+VLOOKUP($C$2,LISTAS[],2,FALSE))
   *(1+VLOOKUP($C$2,LISTAS[],3,FALSE))
)
/5,0)*5</f>
        <v>8820</v>
      </c>
      <c r="Q7" s="65">
        <f t="array" ref="Q7">ROUND(
IF($A$2="COSTO",
   (D7*(1+IFERROR(VLOOKUP($D$2,COLORES[],2,FALSE),0)))
   *(1-IFERROR(_xlfn.XLOOKUP(1,(DESC_PROV[LINEA]=$B$2)*(DESC_PROV[LISTA]=$C$2),DESC_PROV[DESCUENTO]),0)),
   (D7*(1+IFERROR(VLOOKUP($D$2,COLORES[],2,FALSE),0)))
   *(1-IFERROR(_xlfn.XLOOKUP(1,(DESC_PROV[LINEA]=$B$2)*(DESC_PROV[LISTA]=$C$2),DESC_PROV[DESCUENTO]),0))
   *(1+VLOOKUP($C$2,LISTAS[],2,FALSE))
   *(1+VLOOKUP($C$2,LISTAS[],4,FALSE))
)
/5,0)*5</f>
        <v>18295</v>
      </c>
      <c r="R7" s="66">
        <f t="array" ref="R7">ROUND(
IF($A$2="COSTO",
   ((B7*(1+IFERROR(VLOOKUP($D$2,COLORES[],2,FALSE),0)))+(F7+I7+F7))
   *(1-IFERROR(_xlfn.XLOOKUP(1,(DESC_PROV[LINEA]=$B$2)*(DESC_PROV[LISTA]=$C$2),DESC_PROV[DESCUENTO]),0)),
   ((B7*(1+IFERROR(VLOOKUP($D$2,COLORES[],2,FALSE),0)))+(F7+I7+F7))
   *(1-IFERROR(_xlfn.XLOOKUP(1,(DESC_PROV[LINEA]=$B$2)*(DESC_PROV[LISTA]=$C$2),DESC_PROV[DESCUENTO]),0))
   *(1+VLOOKUP($C$2,LISTAS[],2,FALSE))
   *(1+VLOOKUP($C$2,LISTAS[],3,FALSE))
)
/5,0)*5</f>
        <v>175040</v>
      </c>
    </row>
    <row r="8" spans="1:18">
      <c r="A8" s="107" t="s">
        <v>8</v>
      </c>
      <c r="B8" s="64">
        <v>95394</v>
      </c>
      <c r="C8" s="64">
        <v>6884</v>
      </c>
      <c r="D8" s="64">
        <v>13300</v>
      </c>
      <c r="E8" s="64">
        <v>4590</v>
      </c>
      <c r="F8" s="64">
        <v>5568</v>
      </c>
      <c r="G8" s="64">
        <v>7326</v>
      </c>
      <c r="H8" s="64">
        <v>22933</v>
      </c>
      <c r="I8" s="64">
        <v>46437</v>
      </c>
      <c r="J8" s="2"/>
      <c r="K8" s="107" t="s">
        <v>8</v>
      </c>
      <c r="L8" s="65">
        <f t="array" ref="L8">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</f>
        <v>128135</v>
      </c>
      <c r="M8" s="65">
        <f t="array" ref="M8">ROUND(
IF($A$2="COSTO",
   ((B8*(1+IFERROR(VLOOKUP($D$2,COLORES[],2,FALSE),0)))+F8)
   *(1-IFERROR(_xlfn.XLOOKUP(1,(DESC_PROV[LINEA]=$B$2)*(DESC_PROV[LISTA]=$C$2),DESC_PROV[DESCUENTO]),0)),
   ((B8*(1+IFERROR(VLOOKUP($D$2,COLORES[],2,FALSE),0)))+F8)
   *(1-IFERROR(_xlfn.XLOOKUP(1,(DESC_PROV[LINEA]=$B$2)*(DESC_PROV[LISTA]=$C$2),DESC_PROV[DESCUENTO]),0))
   *(1+VLOOKUP($C$2,LISTAS[],2,FALSE))
   *(1+VLOOKUP($C$2,LISTAS[],3,FALSE))
)
/5,0)*5</f>
        <v>129385</v>
      </c>
      <c r="N8" s="65">
        <f t="array" ref="N8">ROUND(
IF($A$2="COSTO",
   ((B8*(1+IFERROR(VLOOKUP($D$2,COLORES[],2,FALSE),0)))+G8)
   *(1-IFERROR(_xlfn.XLOOKUP(1,(DESC_PROV[LINEA]=$B$2)*(DESC_PROV[LISTA]=$C$2),DESC_PROV[DESCUENTO]),0)),
   ((B8*(1+IFERROR(VLOOKUP($D$2,COLORES[],2,FALSE),0)))+G8)
   *(1-IFERROR(_xlfn.XLOOKUP(1,(DESC_PROV[LINEA]=$B$2)*(DESC_PROV[LISTA]=$C$2),DESC_PROV[DESCUENTO]),0))
   *(1+VLOOKUP($C$2,LISTAS[],2,FALSE))
   *(1+VLOOKUP($C$2,LISTAS[],3,FALSE))
)
/5,0)*5</f>
        <v>131640</v>
      </c>
      <c r="O8" s="65">
        <f t="array" ref="O8">ROUND(
IF($A$2="COSTO",
   ((B8*(1+IFERROR(VLOOKUP($D$2,COLORES[],2,FALSE),0)))+H8)
   *(1-IFERROR(_xlfn.XLOOKUP(1,(DESC_PROV[LINEA]=$B$2)*(DESC_PROV[LISTA]=$C$2),DESC_PROV[DESCUENTO]),0)),
   ((B8*(1+IFERROR(VLOOKUP($D$2,COLORES[],2,FALSE),0)))+H8)
   *(1-IFERROR(_xlfn.XLOOKUP(1,(DESC_PROV[LINEA]=$B$2)*(DESC_PROV[LISTA]=$C$2),DESC_PROV[DESCUENTO]),0))
   *(1+VLOOKUP($C$2,LISTAS[],2,FALSE))
   *(1+VLOOKUP($C$2,LISTAS[],3,FALSE))
)
/5,0)*5</f>
        <v>151640</v>
      </c>
      <c r="P8" s="65">
        <f t="array" ref="P8">ROUND(
IF($A$2="COSTO",
   (C8*(1+IFERROR(VLOOKUP($D$2,COLORES[],2,FALSE),0)))
   *(1-IFERROR(_xlfn.XLOOKUP(1,(DESC_PROV[LINEA]=$B$2)*(DESC_PROV[LISTA]=$C$2),DESC_PROV[DESCUENTO]),0)),
   (C8*(1+IFERROR(VLOOKUP($D$2,COLORES[],2,FALSE),0)))
   *(1-IFERROR(_xlfn.XLOOKUP(1,(DESC_PROV[LINEA]=$B$2)*(DESC_PROV[LISTA]=$C$2),DESC_PROV[DESCUENTO]),0))
   *(1+VLOOKUP($C$2,LISTAS[],2,FALSE))
   *(1+VLOOKUP($C$2,LISTAS[],3,FALSE))
)
/5,0)*5</f>
        <v>8820</v>
      </c>
      <c r="Q8" s="65">
        <f t="array" ref="Q8">ROUND(
IF($A$2="COSTO",
   (D8*(1+IFERROR(VLOOKUP($D$2,COLORES[],2,FALSE),0)))
   *(1-IFERROR(_xlfn.XLOOKUP(1,(DESC_PROV[LINEA]=$B$2)*(DESC_PROV[LISTA]=$C$2),DESC_PROV[DESCUENTO]),0)),
   (D8*(1+IFERROR(VLOOKUP($D$2,COLORES[],2,FALSE),0)))
   *(1-IFERROR(_xlfn.XLOOKUP(1,(DESC_PROV[LINEA]=$B$2)*(DESC_PROV[LISTA]=$C$2),DESC_PROV[DESCUENTO]),0))
   *(1+VLOOKUP($C$2,LISTAS[],2,FALSE))
   *(1+VLOOKUP($C$2,LISTAS[],4,FALSE))
)
/5,0)*5</f>
        <v>20980</v>
      </c>
      <c r="R8" s="66">
        <f t="array" ref="R8">ROUND(
IF($A$2="COSTO",
   ((B8*(1+IFERROR(VLOOKUP($D$2,COLORES[],2,FALSE),0)))+(F8+I8+F8))
   *(1-IFERROR(_xlfn.XLOOKUP(1,(DESC_PROV[LINEA]=$B$2)*(DESC_PROV[LISTA]=$C$2),DESC_PROV[DESCUENTO]),0)),
   ((B8*(1+IFERROR(VLOOKUP($D$2,COLORES[],2,FALSE),0)))+(F8+I8+F8))
   *(1-IFERROR(_xlfn.XLOOKUP(1,(DESC_PROV[LINEA]=$B$2)*(DESC_PROV[LISTA]=$C$2),DESC_PROV[DESCUENTO]),0))
   *(1+VLOOKUP($C$2,LISTAS[],2,FALSE))
   *(1+VLOOKUP($C$2,LISTAS[],3,FALSE))
)
/5,0)*5</f>
        <v>196035</v>
      </c>
    </row>
    <row r="9" spans="1:18">
      <c r="A9" s="107" t="s">
        <v>9</v>
      </c>
      <c r="B9" s="64">
        <v>104138</v>
      </c>
      <c r="C9" s="64">
        <v>6884</v>
      </c>
      <c r="D9" s="64">
        <v>15000</v>
      </c>
      <c r="E9" s="64">
        <v>5622</v>
      </c>
      <c r="F9" s="64">
        <v>6804</v>
      </c>
      <c r="G9" s="64">
        <v>8958</v>
      </c>
      <c r="H9" s="64">
        <v>28028</v>
      </c>
      <c r="I9" s="64">
        <v>51597</v>
      </c>
      <c r="J9" s="2"/>
      <c r="K9" s="107" t="s">
        <v>9</v>
      </c>
      <c r="L9" s="65">
        <f t="array" ref="L9">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</f>
        <v>140660</v>
      </c>
      <c r="M9" s="65">
        <f t="array" ref="M9">ROUND(
IF($A$2="COSTO",
   ((B9*(1+IFERROR(VLOOKUP($D$2,COLORES[],2,FALSE),0)))+F9)
   *(1-IFERROR(_xlfn.XLOOKUP(1,(DESC_PROV[LINEA]=$B$2)*(DESC_PROV[LISTA]=$C$2),DESC_PROV[DESCUENTO]),0)),
   ((B9*(1+IFERROR(VLOOKUP($D$2,COLORES[],2,FALSE),0)))+F9)
   *(1-IFERROR(_xlfn.XLOOKUP(1,(DESC_PROV[LINEA]=$B$2)*(DESC_PROV[LISTA]=$C$2),DESC_PROV[DESCUENTO]),0))
   *(1+VLOOKUP($C$2,LISTAS[],2,FALSE))
   *(1+VLOOKUP($C$2,LISTAS[],3,FALSE))
)
/5,0)*5</f>
        <v>142175</v>
      </c>
      <c r="N9" s="65">
        <f t="array" ref="N9">ROUND(
IF($A$2="COSTO",
   ((B9*(1+IFERROR(VLOOKUP($D$2,COLORES[],2,FALSE),0)))+G9)
   *(1-IFERROR(_xlfn.XLOOKUP(1,(DESC_PROV[LINEA]=$B$2)*(DESC_PROV[LISTA]=$C$2),DESC_PROV[DESCUENTO]),0)),
   ((B9*(1+IFERROR(VLOOKUP($D$2,COLORES[],2,FALSE),0)))+G9)
   *(1-IFERROR(_xlfn.XLOOKUP(1,(DESC_PROV[LINEA]=$B$2)*(DESC_PROV[LISTA]=$C$2),DESC_PROV[DESCUENTO]),0))
   *(1+VLOOKUP($C$2,LISTAS[],2,FALSE))
   *(1+VLOOKUP($C$2,LISTAS[],3,FALSE))
)
/5,0)*5</f>
        <v>144935</v>
      </c>
      <c r="O9" s="65">
        <f t="array" ref="O9">ROUND(
IF($A$2="COSTO",
   ((B9*(1+IFERROR(VLOOKUP($D$2,COLORES[],2,FALSE),0)))+H9)
   *(1-IFERROR(_xlfn.XLOOKUP(1,(DESC_PROV[LINEA]=$B$2)*(DESC_PROV[LISTA]=$C$2),DESC_PROV[DESCUENTO]),0)),
   ((B9*(1+IFERROR(VLOOKUP($D$2,COLORES[],2,FALSE),0)))+H9)
   *(1-IFERROR(_xlfn.XLOOKUP(1,(DESC_PROV[LINEA]=$B$2)*(DESC_PROV[LISTA]=$C$2),DESC_PROV[DESCUENTO]),0))
   *(1+VLOOKUP($C$2,LISTAS[],2,FALSE))
   *(1+VLOOKUP($C$2,LISTAS[],3,FALSE))
)
/5,0)*5</f>
        <v>169375</v>
      </c>
      <c r="P9" s="65">
        <f t="array" ref="P9">ROUND(
IF($A$2="COSTO",
   (C9*(1+IFERROR(VLOOKUP($D$2,COLORES[],2,FALSE),0)))
   *(1-IFERROR(_xlfn.XLOOKUP(1,(DESC_PROV[LINEA]=$B$2)*(DESC_PROV[LISTA]=$C$2),DESC_PROV[DESCUENTO]),0)),
   (C9*(1+IFERROR(VLOOKUP($D$2,COLORES[],2,FALSE),0)))
   *(1-IFERROR(_xlfn.XLOOKUP(1,(DESC_PROV[LINEA]=$B$2)*(DESC_PROV[LISTA]=$C$2),DESC_PROV[DESCUENTO]),0))
   *(1+VLOOKUP($C$2,LISTAS[],2,FALSE))
   *(1+VLOOKUP($C$2,LISTAS[],3,FALSE))
)
/5,0)*5</f>
        <v>8820</v>
      </c>
      <c r="Q9" s="65">
        <f t="array" ref="Q9">ROUND(
IF($A$2="COSTO",
   (D9*(1+IFERROR(VLOOKUP($D$2,COLORES[],2,FALSE),0)))
   *(1-IFERROR(_xlfn.XLOOKUP(1,(DESC_PROV[LINEA]=$B$2)*(DESC_PROV[LISTA]=$C$2),DESC_PROV[DESCUENTO]),0)),
   (D9*(1+IFERROR(VLOOKUP($D$2,COLORES[],2,FALSE),0)))
   *(1-IFERROR(_xlfn.XLOOKUP(1,(DESC_PROV[LINEA]=$B$2)*(DESC_PROV[LISTA]=$C$2),DESC_PROV[DESCUENTO]),0))
   *(1+VLOOKUP($C$2,LISTAS[],2,FALSE))
   *(1+VLOOKUP($C$2,LISTAS[],4,FALSE))
)
/5,0)*5</f>
        <v>23660</v>
      </c>
      <c r="R9" s="66">
        <f t="array" ref="R9">ROUND(
IF($A$2="COSTO",
   ((B9*(1+IFERROR(VLOOKUP($D$2,COLORES[],2,FALSE),0)))+(F9+I9+F9))
   *(1-IFERROR(_xlfn.XLOOKUP(1,(DESC_PROV[LINEA]=$B$2)*(DESC_PROV[LISTA]=$C$2),DESC_PROV[DESCUENTO]),0)),
   ((B9*(1+IFERROR(VLOOKUP($D$2,COLORES[],2,FALSE),0)))+(F9+I9+F9))
   *(1-IFERROR(_xlfn.XLOOKUP(1,(DESC_PROV[LINEA]=$B$2)*(DESC_PROV[LISTA]=$C$2),DESC_PROV[DESCUENTO]),0))
   *(1+VLOOKUP($C$2,LISTAS[],2,FALSE))
   *(1+VLOOKUP($C$2,LISTAS[],3,FALSE))
)
/5,0)*5</f>
        <v>217020</v>
      </c>
    </row>
    <row r="10" spans="1:18">
      <c r="A10" s="107" t="s">
        <v>10</v>
      </c>
      <c r="B10" s="64">
        <v>119019</v>
      </c>
      <c r="C10" s="64">
        <v>6884</v>
      </c>
      <c r="D10" s="64">
        <v>17550</v>
      </c>
      <c r="E10" s="64">
        <v>7140</v>
      </c>
      <c r="F10" s="64">
        <v>8652</v>
      </c>
      <c r="G10" s="64">
        <v>11394</v>
      </c>
      <c r="H10" s="64">
        <v>35670</v>
      </c>
      <c r="I10" s="64">
        <v>59337</v>
      </c>
      <c r="J10" s="2"/>
      <c r="K10" s="107" t="s">
        <v>10</v>
      </c>
      <c r="L10" s="65">
        <f t="array" ref="L10">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</f>
        <v>161680</v>
      </c>
      <c r="M10" s="65">
        <f t="array" ref="M10">ROUND(
IF($A$2="COSTO",
   ((B10*(1+IFERROR(VLOOKUP($D$2,COLORES[],2,FALSE),0)))+F10)
   *(1-IFERROR(_xlfn.XLOOKUP(1,(DESC_PROV[LINEA]=$B$2)*(DESC_PROV[LISTA]=$C$2),DESC_PROV[DESCUENTO]),0)),
   ((B10*(1+IFERROR(VLOOKUP($D$2,COLORES[],2,FALSE),0)))+F10)
   *(1-IFERROR(_xlfn.XLOOKUP(1,(DESC_PROV[LINEA]=$B$2)*(DESC_PROV[LISTA]=$C$2),DESC_PROV[DESCUENTO]),0))
   *(1+VLOOKUP($C$2,LISTAS[],2,FALSE))
   *(1+VLOOKUP($C$2,LISTAS[],3,FALSE))
)
/5,0)*5</f>
        <v>163615</v>
      </c>
      <c r="N10" s="65">
        <f t="array" ref="N10">ROUND(
IF($A$2="COSTO",
   ((B10*(1+IFERROR(VLOOKUP($D$2,COLORES[],2,FALSE),0)))+G10)
   *(1-IFERROR(_xlfn.XLOOKUP(1,(DESC_PROV[LINEA]=$B$2)*(DESC_PROV[LISTA]=$C$2),DESC_PROV[DESCUENTO]),0)),
   ((B10*(1+IFERROR(VLOOKUP($D$2,COLORES[],2,FALSE),0)))+G10)
   *(1-IFERROR(_xlfn.XLOOKUP(1,(DESC_PROV[LINEA]=$B$2)*(DESC_PROV[LISTA]=$C$2),DESC_PROV[DESCUENTO]),0))
   *(1+VLOOKUP($C$2,LISTAS[],2,FALSE))
   *(1+VLOOKUP($C$2,LISTAS[],3,FALSE))
)
/5,0)*5</f>
        <v>167130</v>
      </c>
      <c r="O10" s="65">
        <f t="array" ref="O10">ROUND(
IF($A$2="COSTO",
   ((B10*(1+IFERROR(VLOOKUP($D$2,COLORES[],2,FALSE),0)))+H10)
   *(1-IFERROR(_xlfn.XLOOKUP(1,(DESC_PROV[LINEA]=$B$2)*(DESC_PROV[LISTA]=$C$2),DESC_PROV[DESCUENTO]),0)),
   ((B10*(1+IFERROR(VLOOKUP($D$2,COLORES[],2,FALSE),0)))+H10)
   *(1-IFERROR(_xlfn.XLOOKUP(1,(DESC_PROV[LINEA]=$B$2)*(DESC_PROV[LISTA]=$C$2),DESC_PROV[DESCUENTO]),0))
   *(1+VLOOKUP($C$2,LISTAS[],2,FALSE))
   *(1+VLOOKUP($C$2,LISTAS[],3,FALSE))
)
/5,0)*5</f>
        <v>198240</v>
      </c>
      <c r="P10" s="65">
        <f t="array" ref="P10">ROUND(
IF($A$2="COSTO",
   (C10*(1+IFERROR(VLOOKUP($D$2,COLORES[],2,FALSE),0)))
   *(1-IFERROR(_xlfn.XLOOKUP(1,(DESC_PROV[LINEA]=$B$2)*(DESC_PROV[LISTA]=$C$2),DESC_PROV[DESCUENTO]),0)),
   (C10*(1+IFERROR(VLOOKUP($D$2,COLORES[],2,FALSE),0)))
   *(1-IFERROR(_xlfn.XLOOKUP(1,(DESC_PROV[LINEA]=$B$2)*(DESC_PROV[LISTA]=$C$2),DESC_PROV[DESCUENTO]),0))
   *(1+VLOOKUP($C$2,LISTAS[],2,FALSE))
   *(1+VLOOKUP($C$2,LISTAS[],3,FALSE))
)
/5,0)*5</f>
        <v>8820</v>
      </c>
      <c r="Q10" s="65">
        <f t="array" ref="Q10">ROUND(
IF($A$2="COSTO",
   (D10*(1+IFERROR(VLOOKUP($D$2,COLORES[],2,FALSE),0)))
   *(1-IFERROR(_xlfn.XLOOKUP(1,(DESC_PROV[LINEA]=$B$2)*(DESC_PROV[LISTA]=$C$2),DESC_PROV[DESCUENTO]),0)),
   (D10*(1+IFERROR(VLOOKUP($D$2,COLORES[],2,FALSE),0)))
   *(1-IFERROR(_xlfn.XLOOKUP(1,(DESC_PROV[LINEA]=$B$2)*(DESC_PROV[LISTA]=$C$2),DESC_PROV[DESCUENTO]),0))
   *(1+VLOOKUP($C$2,LISTAS[],2,FALSE))
   *(1+VLOOKUP($C$2,LISTAS[],4,FALSE))
)
/5,0)*5</f>
        <v>27680</v>
      </c>
      <c r="R10" s="66">
        <f t="array" ref="R10">ROUND(
IF($A$2="COSTO",
   ((B10*(1+IFERROR(VLOOKUP($D$2,COLORES[],2,FALSE),0)))+(F10+I10+F10))
   *(1-IFERROR(_xlfn.XLOOKUP(1,(DESC_PROV[LINEA]=$B$2)*(DESC_PROV[LISTA]=$C$2),DESC_PROV[DESCUENTO]),0)),
   ((B10*(1+IFERROR(VLOOKUP($D$2,COLORES[],2,FALSE),0)))+(F10+I10+F10))
   *(1-IFERROR(_xlfn.XLOOKUP(1,(DESC_PROV[LINEA]=$B$2)*(DESC_PROV[LISTA]=$C$2),DESC_PROV[DESCUENTO]),0))
   *(1+VLOOKUP($C$2,LISTAS[],2,FALSE))
   *(1+VLOOKUP($C$2,LISTAS[],3,FALSE))
)
/5,0)*5</f>
        <v>250745</v>
      </c>
    </row>
    <row r="11" spans="1:18">
      <c r="A11" s="107" t="s">
        <v>11</v>
      </c>
      <c r="B11" s="64">
        <v>134413</v>
      </c>
      <c r="C11" s="64">
        <v>6884</v>
      </c>
      <c r="D11" s="64">
        <v>20100</v>
      </c>
      <c r="E11" s="64">
        <v>8676</v>
      </c>
      <c r="F11" s="64">
        <v>10506</v>
      </c>
      <c r="G11" s="64">
        <v>13836</v>
      </c>
      <c r="H11" s="64">
        <v>43319</v>
      </c>
      <c r="I11" s="64">
        <v>67076</v>
      </c>
      <c r="J11" s="2"/>
      <c r="K11" s="107" t="s">
        <v>11</v>
      </c>
      <c r="L11" s="65">
        <f t="array" ref="L11">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</f>
        <v>183375</v>
      </c>
      <c r="M11" s="65">
        <f t="array" ref="M11">ROUND(
IF($A$2="COSTO",
   ((B11*(1+IFERROR(VLOOKUP($D$2,COLORES[],2,FALSE),0)))+F11)
   *(1-IFERROR(_xlfn.XLOOKUP(1,(DESC_PROV[LINEA]=$B$2)*(DESC_PROV[LISTA]=$C$2),DESC_PROV[DESCUENTO]),0)),
   ((B11*(1+IFERROR(VLOOKUP($D$2,COLORES[],2,FALSE),0)))+F11)
   *(1-IFERROR(_xlfn.XLOOKUP(1,(DESC_PROV[LINEA]=$B$2)*(DESC_PROV[LISTA]=$C$2),DESC_PROV[DESCUENTO]),0))
   *(1+VLOOKUP($C$2,LISTAS[],2,FALSE))
   *(1+VLOOKUP($C$2,LISTAS[],3,FALSE))
)
/5,0)*5</f>
        <v>185720</v>
      </c>
      <c r="N11" s="65">
        <f t="array" ref="N11">ROUND(
IF($A$2="COSTO",
   ((B11*(1+IFERROR(VLOOKUP($D$2,COLORES[],2,FALSE),0)))+G11)
   *(1-IFERROR(_xlfn.XLOOKUP(1,(DESC_PROV[LINEA]=$B$2)*(DESC_PROV[LISTA]=$C$2),DESC_PROV[DESCUENTO]),0)),
   ((B11*(1+IFERROR(VLOOKUP($D$2,COLORES[],2,FALSE),0)))+G11)
   *(1-IFERROR(_xlfn.XLOOKUP(1,(DESC_PROV[LINEA]=$B$2)*(DESC_PROV[LISTA]=$C$2),DESC_PROV[DESCUENTO]),0))
   *(1+VLOOKUP($C$2,LISTAS[],2,FALSE))
   *(1+VLOOKUP($C$2,LISTAS[],3,FALSE))
)
/5,0)*5</f>
        <v>189985</v>
      </c>
      <c r="O11" s="65">
        <f t="array" ref="O11">ROUND(
IF($A$2="COSTO",
   ((B11*(1+IFERROR(VLOOKUP($D$2,COLORES[],2,FALSE),0)))+H11)
   *(1-IFERROR(_xlfn.XLOOKUP(1,(DESC_PROV[LINEA]=$B$2)*(DESC_PROV[LISTA]=$C$2),DESC_PROV[DESCUENTO]),0)),
   ((B11*(1+IFERROR(VLOOKUP($D$2,COLORES[],2,FALSE),0)))+H11)
   *(1-IFERROR(_xlfn.XLOOKUP(1,(DESC_PROV[LINEA]=$B$2)*(DESC_PROV[LISTA]=$C$2),DESC_PROV[DESCUENTO]),0))
   *(1+VLOOKUP($C$2,LISTAS[],2,FALSE))
   *(1+VLOOKUP($C$2,LISTAS[],3,FALSE))
)
/5,0)*5</f>
        <v>227770</v>
      </c>
      <c r="P11" s="65">
        <f t="array" ref="P11">ROUND(
IF($A$2="COSTO",
   (C11*(1+IFERROR(VLOOKUP($D$2,COLORES[],2,FALSE),0)))
   *(1-IFERROR(_xlfn.XLOOKUP(1,(DESC_PROV[LINEA]=$B$2)*(DESC_PROV[LISTA]=$C$2),DESC_PROV[DESCUENTO]),0)),
   (C11*(1+IFERROR(VLOOKUP($D$2,COLORES[],2,FALSE),0)))
   *(1-IFERROR(_xlfn.XLOOKUP(1,(DESC_PROV[LINEA]=$B$2)*(DESC_PROV[LISTA]=$C$2),DESC_PROV[DESCUENTO]),0))
   *(1+VLOOKUP($C$2,LISTAS[],2,FALSE))
   *(1+VLOOKUP($C$2,LISTAS[],3,FALSE))
)
/5,0)*5</f>
        <v>8820</v>
      </c>
      <c r="Q11" s="65">
        <f t="array" ref="Q11">ROUND(
IF($A$2="COSTO",
   (D11*(1+IFERROR(VLOOKUP($D$2,COLORES[],2,FALSE),0)))
   *(1-IFERROR(_xlfn.XLOOKUP(1,(DESC_PROV[LINEA]=$B$2)*(DESC_PROV[LISTA]=$C$2),DESC_PROV[DESCUENTO]),0)),
   (D11*(1+IFERROR(VLOOKUP($D$2,COLORES[],2,FALSE),0)))
   *(1-IFERROR(_xlfn.XLOOKUP(1,(DESC_PROV[LINEA]=$B$2)*(DESC_PROV[LISTA]=$C$2),DESC_PROV[DESCUENTO]),0))
   *(1+VLOOKUP($C$2,LISTAS[],2,FALSE))
   *(1+VLOOKUP($C$2,LISTAS[],4,FALSE))
)
/5,0)*5</f>
        <v>31705</v>
      </c>
      <c r="R11" s="66">
        <f t="array" ref="R11">ROUND(
IF($A$2="COSTO",
   ((B11*(1+IFERROR(VLOOKUP($D$2,COLORES[],2,FALSE),0)))+(F11+I11+F11))
   *(1-IFERROR(_xlfn.XLOOKUP(1,(DESC_PROV[LINEA]=$B$2)*(DESC_PROV[LISTA]=$C$2),DESC_PROV[DESCUENTO]),0)),
   ((B11*(1+IFERROR(VLOOKUP($D$2,COLORES[],2,FALSE),0)))+(F11+I11+F11))
   *(1-IFERROR(_xlfn.XLOOKUP(1,(DESC_PROV[LINEA]=$B$2)*(DESC_PROV[LISTA]=$C$2),DESC_PROV[DESCUENTO]),0))
   *(1+VLOOKUP($C$2,LISTAS[],2,FALSE))
   *(1+VLOOKUP($C$2,LISTAS[],3,FALSE))
)
/5,0)*5</f>
        <v>285145</v>
      </c>
    </row>
    <row r="12" spans="1:18">
      <c r="A12" s="107" t="s">
        <v>12</v>
      </c>
      <c r="B12" s="64">
        <v>149738</v>
      </c>
      <c r="C12" s="64">
        <v>6884</v>
      </c>
      <c r="D12" s="64">
        <v>21800</v>
      </c>
      <c r="E12" s="64">
        <v>9696</v>
      </c>
      <c r="F12" s="64">
        <v>11748</v>
      </c>
      <c r="G12" s="64">
        <v>15462</v>
      </c>
      <c r="H12" s="64">
        <v>48421</v>
      </c>
      <c r="I12" s="64">
        <v>72236</v>
      </c>
      <c r="J12" s="2"/>
      <c r="K12" s="107" t="s">
        <v>12</v>
      </c>
      <c r="L12" s="65">
        <f t="array" ref="L12">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</f>
        <v>204320</v>
      </c>
      <c r="M12" s="65">
        <f t="array" ref="M12">ROUND(
IF($A$2="COSTO",
   ((B12*(1+IFERROR(VLOOKUP($D$2,COLORES[],2,FALSE),0)))+F12)
   *(1-IFERROR(_xlfn.XLOOKUP(1,(DESC_PROV[LINEA]=$B$2)*(DESC_PROV[LISTA]=$C$2),DESC_PROV[DESCUENTO]),0)),
   ((B12*(1+IFERROR(VLOOKUP($D$2,COLORES[],2,FALSE),0)))+F12)
   *(1-IFERROR(_xlfn.XLOOKUP(1,(DESC_PROV[LINEA]=$B$2)*(DESC_PROV[LISTA]=$C$2),DESC_PROV[DESCUENTO]),0))
   *(1+VLOOKUP($C$2,LISTAS[],2,FALSE))
   *(1+VLOOKUP($C$2,LISTAS[],3,FALSE))
)
/5,0)*5</f>
        <v>206950</v>
      </c>
      <c r="N12" s="65">
        <f t="array" ref="N12">ROUND(
IF($A$2="COSTO",
   ((B12*(1+IFERROR(VLOOKUP($D$2,COLORES[],2,FALSE),0)))+G12)
   *(1-IFERROR(_xlfn.XLOOKUP(1,(DESC_PROV[LINEA]=$B$2)*(DESC_PROV[LISTA]=$C$2),DESC_PROV[DESCUENTO]),0)),
   ((B12*(1+IFERROR(VLOOKUP($D$2,COLORES[],2,FALSE),0)))+G12)
   *(1-IFERROR(_xlfn.XLOOKUP(1,(DESC_PROV[LINEA]=$B$2)*(DESC_PROV[LISTA]=$C$2),DESC_PROV[DESCUENTO]),0))
   *(1+VLOOKUP($C$2,LISTAS[],2,FALSE))
   *(1+VLOOKUP($C$2,LISTAS[],3,FALSE))
)
/5,0)*5</f>
        <v>211710</v>
      </c>
      <c r="O12" s="65">
        <f t="array" ref="O12">ROUND(
IF($A$2="COSTO",
   ((B12*(1+IFERROR(VLOOKUP($D$2,COLORES[],2,FALSE),0)))+H12)
   *(1-IFERROR(_xlfn.XLOOKUP(1,(DESC_PROV[LINEA]=$B$2)*(DESC_PROV[LISTA]=$C$2),DESC_PROV[DESCUENTO]),0)),
   ((B12*(1+IFERROR(VLOOKUP($D$2,COLORES[],2,FALSE),0)))+H12)
   *(1-IFERROR(_xlfn.XLOOKUP(1,(DESC_PROV[LINEA]=$B$2)*(DESC_PROV[LISTA]=$C$2),DESC_PROV[DESCUENTO]),0))
   *(1+VLOOKUP($C$2,LISTAS[],2,FALSE))
   *(1+VLOOKUP($C$2,LISTAS[],3,FALSE))
)
/5,0)*5</f>
        <v>253950</v>
      </c>
      <c r="P12" s="65">
        <f t="array" ref="P12">ROUND(
IF($A$2="COSTO",
   (C12*(1+IFERROR(VLOOKUP($D$2,COLORES[],2,FALSE),0)))
   *(1-IFERROR(_xlfn.XLOOKUP(1,(DESC_PROV[LINEA]=$B$2)*(DESC_PROV[LISTA]=$C$2),DESC_PROV[DESCUENTO]),0)),
   (C12*(1+IFERROR(VLOOKUP($D$2,COLORES[],2,FALSE),0)))
   *(1-IFERROR(_xlfn.XLOOKUP(1,(DESC_PROV[LINEA]=$B$2)*(DESC_PROV[LISTA]=$C$2),DESC_PROV[DESCUENTO]),0))
   *(1+VLOOKUP($C$2,LISTAS[],2,FALSE))
   *(1+VLOOKUP($C$2,LISTAS[],3,FALSE))
)
/5,0)*5</f>
        <v>8820</v>
      </c>
      <c r="Q12" s="65">
        <f t="array" ref="Q12">ROUND(
IF($A$2="COSTO",
   (D12*(1+IFERROR(VLOOKUP($D$2,COLORES[],2,FALSE),0)))
   *(1-IFERROR(_xlfn.XLOOKUP(1,(DESC_PROV[LINEA]=$B$2)*(DESC_PROV[LISTA]=$C$2),DESC_PROV[DESCUENTO]),0)),
   (D12*(1+IFERROR(VLOOKUP($D$2,COLORES[],2,FALSE),0)))
   *(1-IFERROR(_xlfn.XLOOKUP(1,(DESC_PROV[LINEA]=$B$2)*(DESC_PROV[LISTA]=$C$2),DESC_PROV[DESCUENTO]),0))
   *(1+VLOOKUP($C$2,LISTAS[],2,FALSE))
   *(1+VLOOKUP($C$2,LISTAS[],4,FALSE))
)
/5,0)*5</f>
        <v>34385</v>
      </c>
      <c r="R12" s="66">
        <f t="array" ref="R12">ROUND(
IF($A$2="COSTO",
   ((B12*(1+IFERROR(VLOOKUP($D$2,COLORES[],2,FALSE),0)))+(F12+I12+F12))
   *(1-IFERROR(_xlfn.XLOOKUP(1,(DESC_PROV[LINEA]=$B$2)*(DESC_PROV[LISTA]=$C$2),DESC_PROV[DESCUENTO]),0)),
   ((B12*(1+IFERROR(VLOOKUP($D$2,COLORES[],2,FALSE),0)))+(F12+I12+F12))
   *(1-IFERROR(_xlfn.XLOOKUP(1,(DESC_PROV[LINEA]=$B$2)*(DESC_PROV[LISTA]=$C$2),DESC_PROV[DESCUENTO]),0))
   *(1+VLOOKUP($C$2,LISTAS[],2,FALSE))
   *(1+VLOOKUP($C$2,LISTAS[],3,FALSE))
)
/5,0)*5</f>
        <v>314580</v>
      </c>
    </row>
    <row r="13" spans="1:18">
      <c r="A13" s="107" t="s">
        <v>13</v>
      </c>
      <c r="B13" s="64">
        <v>89188</v>
      </c>
      <c r="C13" s="64">
        <v>10325</v>
      </c>
      <c r="D13" s="64">
        <v>13050</v>
      </c>
      <c r="E13" s="64">
        <v>4254</v>
      </c>
      <c r="F13" s="64">
        <v>5148</v>
      </c>
      <c r="G13" s="64">
        <v>6786</v>
      </c>
      <c r="H13" s="64">
        <v>21235</v>
      </c>
      <c r="I13" s="64">
        <v>46437</v>
      </c>
      <c r="J13" s="2"/>
      <c r="K13" s="107" t="s">
        <v>13</v>
      </c>
      <c r="L13" s="65">
        <f t="array" ref="L13">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</f>
        <v>119750</v>
      </c>
      <c r="M13" s="65">
        <f t="array" ref="M13">ROUND(
IF($A$2="COSTO",
   ((B13*(1+IFERROR(VLOOKUP($D$2,COLORES[],2,FALSE),0)))+F13)
   *(1-IFERROR(_xlfn.XLOOKUP(1,(DESC_PROV[LINEA]=$B$2)*(DESC_PROV[LISTA]=$C$2),DESC_PROV[DESCUENTO]),0)),
   ((B13*(1+IFERROR(VLOOKUP($D$2,COLORES[],2,FALSE),0)))+F13)
   *(1-IFERROR(_xlfn.XLOOKUP(1,(DESC_PROV[LINEA]=$B$2)*(DESC_PROV[LISTA]=$C$2),DESC_PROV[DESCUENTO]),0))
   *(1+VLOOKUP($C$2,LISTAS[],2,FALSE))
   *(1+VLOOKUP($C$2,LISTAS[],3,FALSE))
)
/5,0)*5</f>
        <v>120895</v>
      </c>
      <c r="N13" s="65">
        <f t="array" ref="N13">ROUND(
IF($A$2="COSTO",
   ((B13*(1+IFERROR(VLOOKUP($D$2,COLORES[],2,FALSE),0)))+G13)
   *(1-IFERROR(_xlfn.XLOOKUP(1,(DESC_PROV[LINEA]=$B$2)*(DESC_PROV[LISTA]=$C$2),DESC_PROV[DESCUENTO]),0)),
   ((B13*(1+IFERROR(VLOOKUP($D$2,COLORES[],2,FALSE),0)))+G13)
   *(1-IFERROR(_xlfn.XLOOKUP(1,(DESC_PROV[LINEA]=$B$2)*(DESC_PROV[LISTA]=$C$2),DESC_PROV[DESCUENTO]),0))
   *(1+VLOOKUP($C$2,LISTAS[],2,FALSE))
   *(1+VLOOKUP($C$2,LISTAS[],3,FALSE))
)
/5,0)*5</f>
        <v>122995</v>
      </c>
      <c r="O13" s="65">
        <f t="array" ref="O13">ROUND(
IF($A$2="COSTO",
   ((B13*(1+IFERROR(VLOOKUP($D$2,COLORES[],2,FALSE),0)))+H13)
   *(1-IFERROR(_xlfn.XLOOKUP(1,(DESC_PROV[LINEA]=$B$2)*(DESC_PROV[LISTA]=$C$2),DESC_PROV[DESCUENTO]),0)),
   ((B13*(1+IFERROR(VLOOKUP($D$2,COLORES[],2,FALSE),0)))+H13)
   *(1-IFERROR(_xlfn.XLOOKUP(1,(DESC_PROV[LINEA]=$B$2)*(DESC_PROV[LISTA]=$C$2),DESC_PROV[DESCUENTO]),0))
   *(1+VLOOKUP($C$2,LISTAS[],2,FALSE))
   *(1+VLOOKUP($C$2,LISTAS[],3,FALSE))
)
/5,0)*5</f>
        <v>141510</v>
      </c>
      <c r="P13" s="65">
        <f t="array" ref="P13">ROUND(
IF($A$2="COSTO",
   (C13*(1+IFERROR(VLOOKUP($D$2,COLORES[],2,FALSE),0)))
   *(1-IFERROR(_xlfn.XLOOKUP(1,(DESC_PROV[LINEA]=$B$2)*(DESC_PROV[LISTA]=$C$2),DESC_PROV[DESCUENTO]),0)),
   (C13*(1+IFERROR(VLOOKUP($D$2,COLORES[],2,FALSE),0)))
   *(1-IFERROR(_xlfn.XLOOKUP(1,(DESC_PROV[LINEA]=$B$2)*(DESC_PROV[LISTA]=$C$2),DESC_PROV[DESCUENTO]),0))
   *(1+VLOOKUP($C$2,LISTAS[],2,FALSE))
   *(1+VLOOKUP($C$2,LISTAS[],3,FALSE))
)
/5,0)*5</f>
        <v>13230</v>
      </c>
      <c r="Q13" s="65">
        <f t="array" ref="Q13">ROUND(
IF($A$2="COSTO",
   (D13*(1+IFERROR(VLOOKUP($D$2,COLORES[],2,FALSE),0)))
   *(1-IFERROR(_xlfn.XLOOKUP(1,(DESC_PROV[LINEA]=$B$2)*(DESC_PROV[LISTA]=$C$2),DESC_PROV[DESCUENTO]),0)),
   (D13*(1+IFERROR(VLOOKUP($D$2,COLORES[],2,FALSE),0)))
   *(1-IFERROR(_xlfn.XLOOKUP(1,(DESC_PROV[LINEA]=$B$2)*(DESC_PROV[LISTA]=$C$2),DESC_PROV[DESCUENTO]),0))
   *(1+VLOOKUP($C$2,LISTAS[],2,FALSE))
   *(1+VLOOKUP($C$2,LISTAS[],4,FALSE))
)
/5,0)*5</f>
        <v>20585</v>
      </c>
      <c r="R13" s="66">
        <f t="array" ref="R13">ROUND(
IF($A$2="COSTO",
   ((B13*(1+IFERROR(VLOOKUP($D$2,COLORES[],2,FALSE),0)))+(F13+I13+F13))
   *(1-IFERROR(_xlfn.XLOOKUP(1,(DESC_PROV[LINEA]=$B$2)*(DESC_PROV[LISTA]=$C$2),DESC_PROV[DESCUENTO]),0)),
   ((B13*(1+IFERROR(VLOOKUP($D$2,COLORES[],2,FALSE),0)))+(F13+I13+F13))
   *(1-IFERROR(_xlfn.XLOOKUP(1,(DESC_PROV[LINEA]=$B$2)*(DESC_PROV[LISTA]=$C$2),DESC_PROV[DESCUENTO]),0))
   *(1+VLOOKUP($C$2,LISTAS[],2,FALSE))
   *(1+VLOOKUP($C$2,LISTAS[],3,FALSE))
)
/5,0)*5</f>
        <v>187005</v>
      </c>
    </row>
    <row r="14" spans="1:18">
      <c r="A14" s="107" t="s">
        <v>14</v>
      </c>
      <c r="B14" s="64">
        <v>96781</v>
      </c>
      <c r="C14" s="64">
        <v>10325</v>
      </c>
      <c r="D14" s="64">
        <v>15000</v>
      </c>
      <c r="E14" s="64">
        <v>5952</v>
      </c>
      <c r="F14" s="64">
        <v>7212</v>
      </c>
      <c r="G14" s="64">
        <v>9498</v>
      </c>
      <c r="H14" s="64">
        <v>29726</v>
      </c>
      <c r="I14" s="64">
        <v>51597</v>
      </c>
      <c r="J14" s="2"/>
      <c r="K14" s="107" t="s">
        <v>14</v>
      </c>
      <c r="L14" s="65">
        <f t="array" ref="L14">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</f>
        <v>131655</v>
      </c>
      <c r="M14" s="65">
        <f t="array" ref="M14">ROUND(
IF($A$2="COSTO",
   ((B14*(1+IFERROR(VLOOKUP($D$2,COLORES[],2,FALSE),0)))+F14)
   *(1-IFERROR(_xlfn.XLOOKUP(1,(DESC_PROV[LINEA]=$B$2)*(DESC_PROV[LISTA]=$C$2),DESC_PROV[DESCUENTO]),0)),
   ((B14*(1+IFERROR(VLOOKUP($D$2,COLORES[],2,FALSE),0)))+F14)
   *(1-IFERROR(_xlfn.XLOOKUP(1,(DESC_PROV[LINEA]=$B$2)*(DESC_PROV[LISTA]=$C$2),DESC_PROV[DESCUENTO]),0))
   *(1+VLOOKUP($C$2,LISTAS[],2,FALSE))
   *(1+VLOOKUP($C$2,LISTAS[],3,FALSE))
)
/5,0)*5</f>
        <v>133270</v>
      </c>
      <c r="N14" s="65">
        <f t="array" ref="N14">ROUND(
IF($A$2="COSTO",
   ((B14*(1+IFERROR(VLOOKUP($D$2,COLORES[],2,FALSE),0)))+G14)
   *(1-IFERROR(_xlfn.XLOOKUP(1,(DESC_PROV[LINEA]=$B$2)*(DESC_PROV[LISTA]=$C$2),DESC_PROV[DESCUENTO]),0)),
   ((B14*(1+IFERROR(VLOOKUP($D$2,COLORES[],2,FALSE),0)))+G14)
   *(1-IFERROR(_xlfn.XLOOKUP(1,(DESC_PROV[LINEA]=$B$2)*(DESC_PROV[LISTA]=$C$2),DESC_PROV[DESCUENTO]),0))
   *(1+VLOOKUP($C$2,LISTAS[],2,FALSE))
   *(1+VLOOKUP($C$2,LISTAS[],3,FALSE))
)
/5,0)*5</f>
        <v>136200</v>
      </c>
      <c r="O14" s="65">
        <f t="array" ref="O14">ROUND(
IF($A$2="COSTO",
   ((B14*(1+IFERROR(VLOOKUP($D$2,COLORES[],2,FALSE),0)))+H14)
   *(1-IFERROR(_xlfn.XLOOKUP(1,(DESC_PROV[LINEA]=$B$2)*(DESC_PROV[LISTA]=$C$2),DESC_PROV[DESCUENTO]),0)),
   ((B14*(1+IFERROR(VLOOKUP($D$2,COLORES[],2,FALSE),0)))+H14)
   *(1-IFERROR(_xlfn.XLOOKUP(1,(DESC_PROV[LINEA]=$B$2)*(DESC_PROV[LISTA]=$C$2),DESC_PROV[DESCUENTO]),0))
   *(1+VLOOKUP($C$2,LISTAS[],2,FALSE))
   *(1+VLOOKUP($C$2,LISTAS[],3,FALSE))
)
/5,0)*5</f>
        <v>162125</v>
      </c>
      <c r="P14" s="65">
        <f t="array" ref="P14">ROUND(
IF($A$2="COSTO",
   (C14*(1+IFERROR(VLOOKUP($D$2,COLORES[],2,FALSE),0)))
   *(1-IFERROR(_xlfn.XLOOKUP(1,(DESC_PROV[LINEA]=$B$2)*(DESC_PROV[LISTA]=$C$2),DESC_PROV[DESCUENTO]),0)),
   (C14*(1+IFERROR(VLOOKUP($D$2,COLORES[],2,FALSE),0)))
   *(1-IFERROR(_xlfn.XLOOKUP(1,(DESC_PROV[LINEA]=$B$2)*(DESC_PROV[LISTA]=$C$2),DESC_PROV[DESCUENTO]),0))
   *(1+VLOOKUP($C$2,LISTAS[],2,FALSE))
   *(1+VLOOKUP($C$2,LISTAS[],3,FALSE))
)
/5,0)*5</f>
        <v>13230</v>
      </c>
      <c r="Q14" s="65">
        <f t="array" ref="Q14">ROUND(
IF($A$2="COSTO",
   (D14*(1+IFERROR(VLOOKUP($D$2,COLORES[],2,FALSE),0)))
   *(1-IFERROR(_xlfn.XLOOKUP(1,(DESC_PROV[LINEA]=$B$2)*(DESC_PROV[LISTA]=$C$2),DESC_PROV[DESCUENTO]),0)),
   (D14*(1+IFERROR(VLOOKUP($D$2,COLORES[],2,FALSE),0)))
   *(1-IFERROR(_xlfn.XLOOKUP(1,(DESC_PROV[LINEA]=$B$2)*(DESC_PROV[LISTA]=$C$2),DESC_PROV[DESCUENTO]),0))
   *(1+VLOOKUP($C$2,LISTAS[],2,FALSE))
   *(1+VLOOKUP($C$2,LISTAS[],4,FALSE))
)
/5,0)*5</f>
        <v>23660</v>
      </c>
      <c r="R14" s="66">
        <f t="array" ref="R14">ROUND(
IF($A$2="COSTO",
   ((B14*(1+IFERROR(VLOOKUP($D$2,COLORES[],2,FALSE),0)))+(F14+I14+F14))
   *(1-IFERROR(_xlfn.XLOOKUP(1,(DESC_PROV[LINEA]=$B$2)*(DESC_PROV[LISTA]=$C$2),DESC_PROV[DESCUENTO]),0)),
   ((B14*(1+IFERROR(VLOOKUP($D$2,COLORES[],2,FALSE),0)))+(F14+I14+F14))
   *(1-IFERROR(_xlfn.XLOOKUP(1,(DESC_PROV[LINEA]=$B$2)*(DESC_PROV[LISTA]=$C$2),DESC_PROV[DESCUENTO]),0))
   *(1+VLOOKUP($C$2,LISTAS[],2,FALSE))
   *(1+VLOOKUP($C$2,LISTAS[],3,FALSE))
)
/5,0)*5</f>
        <v>208635</v>
      </c>
    </row>
    <row r="15" spans="1:18">
      <c r="A15" s="107" t="s">
        <v>97</v>
      </c>
      <c r="B15" s="64">
        <v>105619</v>
      </c>
      <c r="C15" s="64">
        <v>10325</v>
      </c>
      <c r="D15" s="64">
        <v>16950</v>
      </c>
      <c r="E15" s="64">
        <v>7656</v>
      </c>
      <c r="F15" s="64">
        <v>9270</v>
      </c>
      <c r="G15" s="64">
        <v>12210</v>
      </c>
      <c r="H15" s="64">
        <v>38224</v>
      </c>
      <c r="I15" s="64">
        <v>56757</v>
      </c>
      <c r="J15" s="2"/>
      <c r="K15" s="107" t="s">
        <v>97</v>
      </c>
      <c r="L15" s="65">
        <f t="array" ref="L15">ROUND(
IF($A$2="COSTO",
   ((B15*(1+IFERROR(VLOOKUP($D$2,COLORES[],2,FALSE),0)))+E15)
   *(1-IFERROR(_xlfn.XLOOKUP(1,(DESC_PROV[LINEA]=$B$2)*(DESC_PROV[LISTA]=$C$2),DESC_PROV[DESCUENTO]),0)),
   ((B15*(1+IFERROR(VLOOKUP($D$2,COLORES[],2,FALSE),0)))+E15)
   *(1-IFERROR(_xlfn.XLOOKUP(1,(DESC_PROV[LINEA]=$B$2)*(DESC_PROV[LISTA]=$C$2),DESC_PROV[DESCUENTO]),0))
   *(1+VLOOKUP($C$2,LISTAS[],2,FALSE))
   *(1+VLOOKUP($C$2,LISTAS[],3,FALSE))
)
/5,0)*5</f>
        <v>145165</v>
      </c>
      <c r="M15" s="65">
        <f t="array" ref="M15">ROUND(
IF($A$2="COSTO",
   ((B15*(1+IFERROR(VLOOKUP($D$2,COLORES[],2,FALSE),0)))+F15)
   *(1-IFERROR(_xlfn.XLOOKUP(1,(DESC_PROV[LINEA]=$B$2)*(DESC_PROV[LISTA]=$C$2),DESC_PROV[DESCUENTO]),0)),
   ((B15*(1+IFERROR(VLOOKUP($D$2,COLORES[],2,FALSE),0)))+F15)
   *(1-IFERROR(_xlfn.XLOOKUP(1,(DESC_PROV[LINEA]=$B$2)*(DESC_PROV[LISTA]=$C$2),DESC_PROV[DESCUENTO]),0))
   *(1+VLOOKUP($C$2,LISTAS[],2,FALSE))
   *(1+VLOOKUP($C$2,LISTAS[],3,FALSE))
)
/5,0)*5</f>
        <v>147235</v>
      </c>
      <c r="N15" s="65">
        <f t="array" ref="N15">ROUND(
IF($A$2="COSTO",
   ((B15*(1+IFERROR(VLOOKUP($D$2,COLORES[],2,FALSE),0)))+G15)
   *(1-IFERROR(_xlfn.XLOOKUP(1,(DESC_PROV[LINEA]=$B$2)*(DESC_PROV[LISTA]=$C$2),DESC_PROV[DESCUENTO]),0)),
   ((B15*(1+IFERROR(VLOOKUP($D$2,COLORES[],2,FALSE),0)))+G15)
   *(1-IFERROR(_xlfn.XLOOKUP(1,(DESC_PROV[LINEA]=$B$2)*(DESC_PROV[LISTA]=$C$2),DESC_PROV[DESCUENTO]),0))
   *(1+VLOOKUP($C$2,LISTAS[],2,FALSE))
   *(1+VLOOKUP($C$2,LISTAS[],3,FALSE))
)
/5,0)*5</f>
        <v>151005</v>
      </c>
      <c r="O15" s="65">
        <f t="array" ref="O15">ROUND(
IF($A$2="COSTO",
   ((B15*(1+IFERROR(VLOOKUP($D$2,COLORES[],2,FALSE),0)))+H15)
   *(1-IFERROR(_xlfn.XLOOKUP(1,(DESC_PROV[LINEA]=$B$2)*(DESC_PROV[LISTA]=$C$2),DESC_PROV[DESCUENTO]),0)),
   ((B15*(1+IFERROR(VLOOKUP($D$2,COLORES[],2,FALSE),0)))+H15)
   *(1-IFERROR(_xlfn.XLOOKUP(1,(DESC_PROV[LINEA]=$B$2)*(DESC_PROV[LISTA]=$C$2),DESC_PROV[DESCUENTO]),0))
   *(1+VLOOKUP($C$2,LISTAS[],2,FALSE))
   *(1+VLOOKUP($C$2,LISTAS[],3,FALSE))
)
/5,0)*5</f>
        <v>184340</v>
      </c>
      <c r="P15" s="65">
        <f t="array" ref="P15">ROUND(
IF($A$2="COSTO",
   (C15*(1+IFERROR(VLOOKUP($D$2,COLORES[],2,FALSE),0)))
   *(1-IFERROR(_xlfn.XLOOKUP(1,(DESC_PROV[LINEA]=$B$2)*(DESC_PROV[LISTA]=$C$2),DESC_PROV[DESCUENTO]),0)),
   (C15*(1+IFERROR(VLOOKUP($D$2,COLORES[],2,FALSE),0)))
   *(1-IFERROR(_xlfn.XLOOKUP(1,(DESC_PROV[LINEA]=$B$2)*(DESC_PROV[LISTA]=$C$2),DESC_PROV[DESCUENTO]),0))
   *(1+VLOOKUP($C$2,LISTAS[],2,FALSE))
   *(1+VLOOKUP($C$2,LISTAS[],3,FALSE))
)
/5,0)*5</f>
        <v>13230</v>
      </c>
      <c r="Q15" s="65">
        <f t="array" ref="Q15">ROUND(
IF($A$2="COSTO",
   (D15*(1+IFERROR(VLOOKUP($D$2,COLORES[],2,FALSE),0)))
   *(1-IFERROR(_xlfn.XLOOKUP(1,(DESC_PROV[LINEA]=$B$2)*(DESC_PROV[LISTA]=$C$2),DESC_PROV[DESCUENTO]),0)),
   (D15*(1+IFERROR(VLOOKUP($D$2,COLORES[],2,FALSE),0)))
   *(1-IFERROR(_xlfn.XLOOKUP(1,(DESC_PROV[LINEA]=$B$2)*(DESC_PROV[LISTA]=$C$2),DESC_PROV[DESCUENTO]),0))
   *(1+VLOOKUP($C$2,LISTAS[],2,FALSE))
   *(1+VLOOKUP($C$2,LISTAS[],4,FALSE))
)
/5,0)*5</f>
        <v>26735</v>
      </c>
      <c r="R15" s="66">
        <f t="array" ref="R15">ROUND(
IF($A$2="COSTO",
   ((B15*(1+IFERROR(VLOOKUP($D$2,COLORES[],2,FALSE),0)))+(F15+I15+F15))
   *(1-IFERROR(_xlfn.XLOOKUP(1,(DESC_PROV[LINEA]=$B$2)*(DESC_PROV[LISTA]=$C$2),DESC_PROV[DESCUENTO]),0)),
   ((B15*(1+IFERROR(VLOOKUP($D$2,COLORES[],2,FALSE),0)))+(F15+I15+F15))
   *(1-IFERROR(_xlfn.XLOOKUP(1,(DESC_PROV[LINEA]=$B$2)*(DESC_PROV[LISTA]=$C$2),DESC_PROV[DESCUENTO]),0))
   *(1+VLOOKUP($C$2,LISTAS[],2,FALSE))
   *(1+VLOOKUP($C$2,LISTAS[],3,FALSE))
)
/5,0)*5</f>
        <v>231850</v>
      </c>
    </row>
    <row r="16" spans="1:18">
      <c r="A16" s="107" t="s">
        <v>98</v>
      </c>
      <c r="B16" s="64">
        <v>114369</v>
      </c>
      <c r="C16" s="64">
        <v>10325</v>
      </c>
      <c r="D16" s="64">
        <v>18900</v>
      </c>
      <c r="E16" s="64">
        <v>9354</v>
      </c>
      <c r="F16" s="64">
        <v>11334</v>
      </c>
      <c r="G16" s="64">
        <v>14922</v>
      </c>
      <c r="H16" s="64">
        <v>46716</v>
      </c>
      <c r="I16" s="64">
        <v>61916</v>
      </c>
      <c r="J16" s="2"/>
      <c r="K16" s="107" t="s">
        <v>98</v>
      </c>
      <c r="L16" s="65">
        <f t="array" ref="L16">ROUND(
IF($A$2="COSTO",
   ((B16*(1+IFERROR(VLOOKUP($D$2,COLORES[],2,FALSE),0)))+E16)
   *(1-IFERROR(_xlfn.XLOOKUP(1,(DESC_PROV[LINEA]=$B$2)*(DESC_PROV[LISTA]=$C$2),DESC_PROV[DESCUENTO]),0)),
   ((B16*(1+IFERROR(VLOOKUP($D$2,COLORES[],2,FALSE),0)))+E16)
   *(1-IFERROR(_xlfn.XLOOKUP(1,(DESC_PROV[LINEA]=$B$2)*(DESC_PROV[LISTA]=$C$2),DESC_PROV[DESCUENTO]),0))
   *(1+VLOOKUP($C$2,LISTAS[],2,FALSE))
   *(1+VLOOKUP($C$2,LISTAS[],3,FALSE))
)
/5,0)*5</f>
        <v>158555</v>
      </c>
      <c r="M16" s="65">
        <f t="array" ref="M16">ROUND(
IF($A$2="COSTO",
   ((B16*(1+IFERROR(VLOOKUP($D$2,COLORES[],2,FALSE),0)))+F16)
   *(1-IFERROR(_xlfn.XLOOKUP(1,(DESC_PROV[LINEA]=$B$2)*(DESC_PROV[LISTA]=$C$2),DESC_PROV[DESCUENTO]),0)),
   ((B16*(1+IFERROR(VLOOKUP($D$2,COLORES[],2,FALSE),0)))+F16)
   *(1-IFERROR(_xlfn.XLOOKUP(1,(DESC_PROV[LINEA]=$B$2)*(DESC_PROV[LISTA]=$C$2),DESC_PROV[DESCUENTO]),0))
   *(1+VLOOKUP($C$2,LISTAS[],2,FALSE))
   *(1+VLOOKUP($C$2,LISTAS[],3,FALSE))
)
/5,0)*5</f>
        <v>161095</v>
      </c>
      <c r="N16" s="65">
        <f t="array" ref="N16">ROUND(
IF($A$2="COSTO",
   ((B16*(1+IFERROR(VLOOKUP($D$2,COLORES[],2,FALSE),0)))+G16)
   *(1-IFERROR(_xlfn.XLOOKUP(1,(DESC_PROV[LINEA]=$B$2)*(DESC_PROV[LISTA]=$C$2),DESC_PROV[DESCUENTO]),0)),
   ((B16*(1+IFERROR(VLOOKUP($D$2,COLORES[],2,FALSE),0)))+G16)
   *(1-IFERROR(_xlfn.XLOOKUP(1,(DESC_PROV[LINEA]=$B$2)*(DESC_PROV[LISTA]=$C$2),DESC_PROV[DESCUENTO]),0))
   *(1+VLOOKUP($C$2,LISTAS[],2,FALSE))
   *(1+VLOOKUP($C$2,LISTAS[],3,FALSE))
)
/5,0)*5</f>
        <v>165690</v>
      </c>
      <c r="O16" s="65">
        <f t="array" ref="O16">ROUND(
IF($A$2="COSTO",
   ((B16*(1+IFERROR(VLOOKUP($D$2,COLORES[],2,FALSE),0)))+H16)
   *(1-IFERROR(_xlfn.XLOOKUP(1,(DESC_PROV[LINEA]=$B$2)*(DESC_PROV[LISTA]=$C$2),DESC_PROV[DESCUENTO]),0)),
   ((B16*(1+IFERROR(VLOOKUP($D$2,COLORES[],2,FALSE),0)))+H16)
   *(1-IFERROR(_xlfn.XLOOKUP(1,(DESC_PROV[LINEA]=$B$2)*(DESC_PROV[LISTA]=$C$2),DESC_PROV[DESCUENTO]),0))
   *(1+VLOOKUP($C$2,LISTAS[],2,FALSE))
   *(1+VLOOKUP($C$2,LISTAS[],3,FALSE))
)
/5,0)*5</f>
        <v>206435</v>
      </c>
      <c r="P16" s="65">
        <f t="array" ref="P16">ROUND(
IF($A$2="COSTO",
   (C16*(1+IFERROR(VLOOKUP($D$2,COLORES[],2,FALSE),0)))
   *(1-IFERROR(_xlfn.XLOOKUP(1,(DESC_PROV[LINEA]=$B$2)*(DESC_PROV[LISTA]=$C$2),DESC_PROV[DESCUENTO]),0)),
   (C16*(1+IFERROR(VLOOKUP($D$2,COLORES[],2,FALSE),0)))
   *(1-IFERROR(_xlfn.XLOOKUP(1,(DESC_PROV[LINEA]=$B$2)*(DESC_PROV[LISTA]=$C$2),DESC_PROV[DESCUENTO]),0))
   *(1+VLOOKUP($C$2,LISTAS[],2,FALSE))
   *(1+VLOOKUP($C$2,LISTAS[],3,FALSE))
)
/5,0)*5</f>
        <v>13230</v>
      </c>
      <c r="Q16" s="65">
        <f t="array" ref="Q16">ROUND(
IF($A$2="COSTO",
   (D16*(1+IFERROR(VLOOKUP($D$2,COLORES[],2,FALSE),0)))
   *(1-IFERROR(_xlfn.XLOOKUP(1,(DESC_PROV[LINEA]=$B$2)*(DESC_PROV[LISTA]=$C$2),DESC_PROV[DESCUENTO]),0)),
   (D16*(1+IFERROR(VLOOKUP($D$2,COLORES[],2,FALSE),0)))
   *(1-IFERROR(_xlfn.XLOOKUP(1,(DESC_PROV[LINEA]=$B$2)*(DESC_PROV[LISTA]=$C$2),DESC_PROV[DESCUENTO]),0))
   *(1+VLOOKUP($C$2,LISTAS[],2,FALSE))
   *(1+VLOOKUP($C$2,LISTAS[],4,FALSE))
)
/5,0)*5</f>
        <v>29810</v>
      </c>
      <c r="R16" s="66">
        <f t="array" ref="R16">ROUND(
IF($A$2="COSTO",
   ((B16*(1+IFERROR(VLOOKUP($D$2,COLORES[],2,FALSE),0)))+(F16+I16+F16))
   *(1-IFERROR(_xlfn.XLOOKUP(1,(DESC_PROV[LINEA]=$B$2)*(DESC_PROV[LISTA]=$C$2),DESC_PROV[DESCUENTO]),0)),
   ((B16*(1+IFERROR(VLOOKUP($D$2,COLORES[],2,FALSE),0)))+(F16+I16+F16))
   *(1-IFERROR(_xlfn.XLOOKUP(1,(DESC_PROV[LINEA]=$B$2)*(DESC_PROV[LISTA]=$C$2),DESC_PROV[DESCUENTO]),0))
   *(1+VLOOKUP($C$2,LISTAS[],2,FALSE))
   *(1+VLOOKUP($C$2,LISTAS[],3,FALSE))
)
/5,0)*5</f>
        <v>254965</v>
      </c>
    </row>
    <row r="17" spans="1:18">
      <c r="A17" s="107" t="s">
        <v>99</v>
      </c>
      <c r="B17" s="64">
        <v>129250</v>
      </c>
      <c r="C17" s="64">
        <v>10325</v>
      </c>
      <c r="D17" s="64">
        <v>21825</v>
      </c>
      <c r="E17" s="64">
        <v>11910</v>
      </c>
      <c r="F17" s="64">
        <v>14424</v>
      </c>
      <c r="G17" s="64">
        <v>18990</v>
      </c>
      <c r="H17" s="64">
        <v>59459</v>
      </c>
      <c r="I17" s="64">
        <v>69656</v>
      </c>
      <c r="J17" s="2"/>
      <c r="K17" s="107" t="s">
        <v>99</v>
      </c>
      <c r="L17" s="65">
        <f t="array" ref="L17">ROUND(
IF($A$2="COSTO",
   ((B17*(1+IFERROR(VLOOKUP($D$2,COLORES[],2,FALSE),0)))+E17)
   *(1-IFERROR(_xlfn.XLOOKUP(1,(DESC_PROV[LINEA]=$B$2)*(DESC_PROV[LISTA]=$C$2),DESC_PROV[DESCUENTO]),0)),
   ((B17*(1+IFERROR(VLOOKUP($D$2,COLORES[],2,FALSE),0)))+E17)
   *(1-IFERROR(_xlfn.XLOOKUP(1,(DESC_PROV[LINEA]=$B$2)*(DESC_PROV[LISTA]=$C$2),DESC_PROV[DESCUENTO]),0))
   *(1+VLOOKUP($C$2,LISTAS[],2,FALSE))
   *(1+VLOOKUP($C$2,LISTAS[],3,FALSE))
)
/5,0)*5</f>
        <v>180900</v>
      </c>
      <c r="M17" s="65">
        <f t="array" ref="M17">ROUND(
IF($A$2="COSTO",
   ((B17*(1+IFERROR(VLOOKUP($D$2,COLORES[],2,FALSE),0)))+F17)
   *(1-IFERROR(_xlfn.XLOOKUP(1,(DESC_PROV[LINEA]=$B$2)*(DESC_PROV[LISTA]=$C$2),DESC_PROV[DESCUENTO]),0)),
   ((B17*(1+IFERROR(VLOOKUP($D$2,COLORES[],2,FALSE),0)))+F17)
   *(1-IFERROR(_xlfn.XLOOKUP(1,(DESC_PROV[LINEA]=$B$2)*(DESC_PROV[LISTA]=$C$2),DESC_PROV[DESCUENTO]),0))
   *(1+VLOOKUP($C$2,LISTAS[],2,FALSE))
   *(1+VLOOKUP($C$2,LISTAS[],3,FALSE))
)
/5,0)*5</f>
        <v>184125</v>
      </c>
      <c r="N17" s="65">
        <f t="array" ref="N17">ROUND(
IF($A$2="COSTO",
   ((B17*(1+IFERROR(VLOOKUP($D$2,COLORES[],2,FALSE),0)))+G17)
   *(1-IFERROR(_xlfn.XLOOKUP(1,(DESC_PROV[LINEA]=$B$2)*(DESC_PROV[LISTA]=$C$2),DESC_PROV[DESCUENTO]),0)),
   ((B17*(1+IFERROR(VLOOKUP($D$2,COLORES[],2,FALSE),0)))+G17)
   *(1-IFERROR(_xlfn.XLOOKUP(1,(DESC_PROV[LINEA]=$B$2)*(DESC_PROV[LISTA]=$C$2),DESC_PROV[DESCUENTO]),0))
   *(1+VLOOKUP($C$2,LISTAS[],2,FALSE))
   *(1+VLOOKUP($C$2,LISTAS[],3,FALSE))
)
/5,0)*5</f>
        <v>189975</v>
      </c>
      <c r="O17" s="65">
        <f t="array" ref="O17">ROUND(
IF($A$2="COSTO",
   ((B17*(1+IFERROR(VLOOKUP($D$2,COLORES[],2,FALSE),0)))+H17)
   *(1-IFERROR(_xlfn.XLOOKUP(1,(DESC_PROV[LINEA]=$B$2)*(DESC_PROV[LISTA]=$C$2),DESC_PROV[DESCUENTO]),0)),
   ((B17*(1+IFERROR(VLOOKUP($D$2,COLORES[],2,FALSE),0)))+H17)
   *(1-IFERROR(_xlfn.XLOOKUP(1,(DESC_PROV[LINEA]=$B$2)*(DESC_PROV[LISTA]=$C$2),DESC_PROV[DESCUENTO]),0))
   *(1+VLOOKUP($C$2,LISTAS[],2,FALSE))
   *(1+VLOOKUP($C$2,LISTAS[],3,FALSE))
)
/5,0)*5</f>
        <v>241840</v>
      </c>
      <c r="P17" s="65">
        <f t="array" ref="P17">ROUND(
IF($A$2="COSTO",
   (C17*(1+IFERROR(VLOOKUP($D$2,COLORES[],2,FALSE),0)))
   *(1-IFERROR(_xlfn.XLOOKUP(1,(DESC_PROV[LINEA]=$B$2)*(DESC_PROV[LISTA]=$C$2),DESC_PROV[DESCUENTO]),0)),
   (C17*(1+IFERROR(VLOOKUP($D$2,COLORES[],2,FALSE),0)))
   *(1-IFERROR(_xlfn.XLOOKUP(1,(DESC_PROV[LINEA]=$B$2)*(DESC_PROV[LISTA]=$C$2),DESC_PROV[DESCUENTO]),0))
   *(1+VLOOKUP($C$2,LISTAS[],2,FALSE))
   *(1+VLOOKUP($C$2,LISTAS[],3,FALSE))
)
/5,0)*5</f>
        <v>13230</v>
      </c>
      <c r="Q17" s="65">
        <f t="array" ref="Q17">ROUND(
IF($A$2="COSTO",
   (D17*(1+IFERROR(VLOOKUP($D$2,COLORES[],2,FALSE),0)))
   *(1-IFERROR(_xlfn.XLOOKUP(1,(DESC_PROV[LINEA]=$B$2)*(DESC_PROV[LISTA]=$C$2),DESC_PROV[DESCUENTO]),0)),
   (D17*(1+IFERROR(VLOOKUP($D$2,COLORES[],2,FALSE),0)))
   *(1-IFERROR(_xlfn.XLOOKUP(1,(DESC_PROV[LINEA]=$B$2)*(DESC_PROV[LISTA]=$C$2),DESC_PROV[DESCUENTO]),0))
   *(1+VLOOKUP($C$2,LISTAS[],2,FALSE))
   *(1+VLOOKUP($C$2,LISTAS[],4,FALSE))
)
/5,0)*5</f>
        <v>34425</v>
      </c>
      <c r="R17" s="66">
        <f t="array" ref="R17">ROUND(
IF($A$2="COSTO",
   ((B17*(1+IFERROR(VLOOKUP($D$2,COLORES[],2,FALSE),0)))+(F17+I17+F17))
   *(1-IFERROR(_xlfn.XLOOKUP(1,(DESC_PROV[LINEA]=$B$2)*(DESC_PROV[LISTA]=$C$2),DESC_PROV[DESCUENTO]),0)),
   ((B17*(1+IFERROR(VLOOKUP($D$2,COLORES[],2,FALSE),0)))+(F17+I17+F17))
   *(1-IFERROR(_xlfn.XLOOKUP(1,(DESC_PROV[LINEA]=$B$2)*(DESC_PROV[LISTA]=$C$2),DESC_PROV[DESCUENTO]),0))
   *(1+VLOOKUP($C$2,LISTAS[],2,FALSE))
   *(1+VLOOKUP($C$2,LISTAS[],3,FALSE))
)
/5,0)*5</f>
        <v>291875</v>
      </c>
    </row>
    <row r="18" spans="1:18">
      <c r="A18" s="107" t="s">
        <v>100</v>
      </c>
      <c r="B18" s="64">
        <v>144138</v>
      </c>
      <c r="C18" s="64">
        <v>10325</v>
      </c>
      <c r="D18" s="64">
        <v>24750</v>
      </c>
      <c r="E18" s="64">
        <v>14460</v>
      </c>
      <c r="F18" s="64">
        <v>17514</v>
      </c>
      <c r="G18" s="64">
        <v>23064</v>
      </c>
      <c r="H18" s="64">
        <v>72196</v>
      </c>
      <c r="I18" s="64">
        <v>77396</v>
      </c>
      <c r="J18" s="2"/>
      <c r="K18" s="107" t="s">
        <v>100</v>
      </c>
      <c r="L18" s="65">
        <f t="array" ref="L18">ROUND(
IF($A$2="COSTO",
   ((B18*(1+IFERROR(VLOOKUP($D$2,COLORES[],2,FALSE),0)))+E18)
   *(1-IFERROR(_xlfn.XLOOKUP(1,(DESC_PROV[LINEA]=$B$2)*(DESC_PROV[LISTA]=$C$2),DESC_PROV[DESCUENTO]),0)),
   ((B18*(1+IFERROR(VLOOKUP($D$2,COLORES[],2,FALSE),0)))+E18)
   *(1-IFERROR(_xlfn.XLOOKUP(1,(DESC_PROV[LINEA]=$B$2)*(DESC_PROV[LISTA]=$C$2),DESC_PROV[DESCUENTO]),0))
   *(1+VLOOKUP($C$2,LISTAS[],2,FALSE))
   *(1+VLOOKUP($C$2,LISTAS[],3,FALSE))
)
/5,0)*5</f>
        <v>203250</v>
      </c>
      <c r="M18" s="65">
        <f t="array" ref="M18">ROUND(
IF($A$2="COSTO",
   ((B18*(1+IFERROR(VLOOKUP($D$2,COLORES[],2,FALSE),0)))+F18)
   *(1-IFERROR(_xlfn.XLOOKUP(1,(DESC_PROV[LINEA]=$B$2)*(DESC_PROV[LISTA]=$C$2),DESC_PROV[DESCUENTO]),0)),
   ((B18*(1+IFERROR(VLOOKUP($D$2,COLORES[],2,FALSE),0)))+F18)
   *(1-IFERROR(_xlfn.XLOOKUP(1,(DESC_PROV[LINEA]=$B$2)*(DESC_PROV[LISTA]=$C$2),DESC_PROV[DESCUENTO]),0))
   *(1+VLOOKUP($C$2,LISTAS[],2,FALSE))
   *(1+VLOOKUP($C$2,LISTAS[],3,FALSE))
)
/5,0)*5</f>
        <v>207165</v>
      </c>
      <c r="N18" s="65">
        <f t="array" ref="N18">ROUND(
IF($A$2="COSTO",
   ((B18*(1+IFERROR(VLOOKUP($D$2,COLORES[],2,FALSE),0)))+G18)
   *(1-IFERROR(_xlfn.XLOOKUP(1,(DESC_PROV[LINEA]=$B$2)*(DESC_PROV[LISTA]=$C$2),DESC_PROV[DESCUENTO]),0)),
   ((B18*(1+IFERROR(VLOOKUP($D$2,COLORES[],2,FALSE),0)))+G18)
   *(1-IFERROR(_xlfn.XLOOKUP(1,(DESC_PROV[LINEA]=$B$2)*(DESC_PROV[LISTA]=$C$2),DESC_PROV[DESCUENTO]),0))
   *(1+VLOOKUP($C$2,LISTAS[],2,FALSE))
   *(1+VLOOKUP($C$2,LISTAS[],3,FALSE))
)
/5,0)*5</f>
        <v>214275</v>
      </c>
      <c r="O18" s="65">
        <f t="array" ref="O18">ROUND(
IF($A$2="COSTO",
   ((B18*(1+IFERROR(VLOOKUP($D$2,COLORES[],2,FALSE),0)))+H18)
   *(1-IFERROR(_xlfn.XLOOKUP(1,(DESC_PROV[LINEA]=$B$2)*(DESC_PROV[LISTA]=$C$2),DESC_PROV[DESCUENTO]),0)),
   ((B18*(1+IFERROR(VLOOKUP($D$2,COLORES[],2,FALSE),0)))+H18)
   *(1-IFERROR(_xlfn.XLOOKUP(1,(DESC_PROV[LINEA]=$B$2)*(DESC_PROV[LISTA]=$C$2),DESC_PROV[DESCUENTO]),0))
   *(1+VLOOKUP($C$2,LISTAS[],2,FALSE))
   *(1+VLOOKUP($C$2,LISTAS[],3,FALSE))
)
/5,0)*5</f>
        <v>277240</v>
      </c>
      <c r="P18" s="65">
        <f t="array" ref="P18">ROUND(
IF($A$2="COSTO",
   (C18*(1+IFERROR(VLOOKUP($D$2,COLORES[],2,FALSE),0)))
   *(1-IFERROR(_xlfn.XLOOKUP(1,(DESC_PROV[LINEA]=$B$2)*(DESC_PROV[LISTA]=$C$2),DESC_PROV[DESCUENTO]),0)),
   (C18*(1+IFERROR(VLOOKUP($D$2,COLORES[],2,FALSE),0)))
   *(1-IFERROR(_xlfn.XLOOKUP(1,(DESC_PROV[LINEA]=$B$2)*(DESC_PROV[LISTA]=$C$2),DESC_PROV[DESCUENTO]),0))
   *(1+VLOOKUP($C$2,LISTAS[],2,FALSE))
   *(1+VLOOKUP($C$2,LISTAS[],3,FALSE))
)
/5,0)*5</f>
        <v>13230</v>
      </c>
      <c r="Q18" s="65">
        <f t="array" ref="Q18">ROUND(
IF($A$2="COSTO",
   (D18*(1+IFERROR(VLOOKUP($D$2,COLORES[],2,FALSE),0)))
   *(1-IFERROR(_xlfn.XLOOKUP(1,(DESC_PROV[LINEA]=$B$2)*(DESC_PROV[LISTA]=$C$2),DESC_PROV[DESCUENTO]),0)),
   (D18*(1+IFERROR(VLOOKUP($D$2,COLORES[],2,FALSE),0)))
   *(1-IFERROR(_xlfn.XLOOKUP(1,(DESC_PROV[LINEA]=$B$2)*(DESC_PROV[LISTA]=$C$2),DESC_PROV[DESCUENTO]),0))
   *(1+VLOOKUP($C$2,LISTAS[],2,FALSE))
   *(1+VLOOKUP($C$2,LISTAS[],4,FALSE))
)
/5,0)*5</f>
        <v>39040</v>
      </c>
      <c r="R18" s="66">
        <f t="array" ref="R18">ROUND(
IF($A$2="COSTO",
   ((B18*(1+IFERROR(VLOOKUP($D$2,COLORES[],2,FALSE),0)))+(F18+I18+F18))
   *(1-IFERROR(_xlfn.XLOOKUP(1,(DESC_PROV[LINEA]=$B$2)*(DESC_PROV[LISTA]=$C$2),DESC_PROV[DESCUENTO]),0)),
   ((B18*(1+IFERROR(VLOOKUP($D$2,COLORES[],2,FALSE),0)))+(F18+I18+F18))
   *(1-IFERROR(_xlfn.XLOOKUP(1,(DESC_PROV[LINEA]=$B$2)*(DESC_PROV[LISTA]=$C$2),DESC_PROV[DESCUENTO]),0))
   *(1+VLOOKUP($C$2,LISTAS[],2,FALSE))
   *(1+VLOOKUP($C$2,LISTAS[],3,FALSE))
)
/5,0)*5</f>
        <v>328795</v>
      </c>
    </row>
    <row r="19" spans="1:18">
      <c r="A19" s="107" t="s">
        <v>101</v>
      </c>
      <c r="B19" s="64">
        <v>159969</v>
      </c>
      <c r="C19" s="64">
        <v>10325</v>
      </c>
      <c r="D19" s="64">
        <v>26700</v>
      </c>
      <c r="E19" s="64">
        <v>16158</v>
      </c>
      <c r="F19" s="64">
        <v>19572</v>
      </c>
      <c r="G19" s="64">
        <v>25776</v>
      </c>
      <c r="H19" s="64">
        <v>80694</v>
      </c>
      <c r="I19" s="64">
        <v>82555</v>
      </c>
      <c r="J19" s="2"/>
      <c r="K19" s="107" t="s">
        <v>101</v>
      </c>
      <c r="L19" s="65">
        <f t="array" ref="L19">ROUND(
IF($A$2="COSTO",
   ((B19*(1+IFERROR(VLOOKUP($D$2,COLORES[],2,FALSE),0)))+E19)
   *(1-IFERROR(_xlfn.XLOOKUP(1,(DESC_PROV[LINEA]=$B$2)*(DESC_PROV[LISTA]=$C$2),DESC_PROV[DESCUENTO]),0)),
   ((B19*(1+IFERROR(VLOOKUP($D$2,COLORES[],2,FALSE),0)))+E19)
   *(1-IFERROR(_xlfn.XLOOKUP(1,(DESC_PROV[LINEA]=$B$2)*(DESC_PROV[LISTA]=$C$2),DESC_PROV[DESCUENTO]),0))
   *(1+VLOOKUP($C$2,LISTAS[],2,FALSE))
   *(1+VLOOKUP($C$2,LISTAS[],3,FALSE))
)
/5,0)*5</f>
        <v>225715</v>
      </c>
      <c r="M19" s="65">
        <f t="array" ref="M19">ROUND(
IF($A$2="COSTO",
   ((B19*(1+IFERROR(VLOOKUP($D$2,COLORES[],2,FALSE),0)))+F19)
   *(1-IFERROR(_xlfn.XLOOKUP(1,(DESC_PROV[LINEA]=$B$2)*(DESC_PROV[LISTA]=$C$2),DESC_PROV[DESCUENTO]),0)),
   ((B19*(1+IFERROR(VLOOKUP($D$2,COLORES[],2,FALSE),0)))+F19)
   *(1-IFERROR(_xlfn.XLOOKUP(1,(DESC_PROV[LINEA]=$B$2)*(DESC_PROV[LISTA]=$C$2),DESC_PROV[DESCUENTO]),0))
   *(1+VLOOKUP($C$2,LISTAS[],2,FALSE))
   *(1+VLOOKUP($C$2,LISTAS[],3,FALSE))
)
/5,0)*5</f>
        <v>230090</v>
      </c>
      <c r="N19" s="65">
        <f t="array" ref="N19">ROUND(
IF($A$2="COSTO",
   ((B19*(1+IFERROR(VLOOKUP($D$2,COLORES[],2,FALSE),0)))+G19)
   *(1-IFERROR(_xlfn.XLOOKUP(1,(DESC_PROV[LINEA]=$B$2)*(DESC_PROV[LISTA]=$C$2),DESC_PROV[DESCUENTO]),0)),
   ((B19*(1+IFERROR(VLOOKUP($D$2,COLORES[],2,FALSE),0)))+G19)
   *(1-IFERROR(_xlfn.XLOOKUP(1,(DESC_PROV[LINEA]=$B$2)*(DESC_PROV[LISTA]=$C$2),DESC_PROV[DESCUENTO]),0))
   *(1+VLOOKUP($C$2,LISTAS[],2,FALSE))
   *(1+VLOOKUP($C$2,LISTAS[],3,FALSE))
)
/5,0)*5</f>
        <v>238040</v>
      </c>
      <c r="O19" s="65">
        <f t="array" ref="O19">ROUND(
IF($A$2="COSTO",
   ((B19*(1+IFERROR(VLOOKUP($D$2,COLORES[],2,FALSE),0)))+H19)
   *(1-IFERROR(_xlfn.XLOOKUP(1,(DESC_PROV[LINEA]=$B$2)*(DESC_PROV[LISTA]=$C$2),DESC_PROV[DESCUENTO]),0)),
   ((B19*(1+IFERROR(VLOOKUP($D$2,COLORES[],2,FALSE),0)))+H19)
   *(1-IFERROR(_xlfn.XLOOKUP(1,(DESC_PROV[LINEA]=$B$2)*(DESC_PROV[LISTA]=$C$2),DESC_PROV[DESCUENTO]),0))
   *(1+VLOOKUP($C$2,LISTAS[],2,FALSE))
   *(1+VLOOKUP($C$2,LISTAS[],3,FALSE))
)
/5,0)*5</f>
        <v>308420</v>
      </c>
      <c r="P19" s="65">
        <f t="array" ref="P19">ROUND(
IF($A$2="COSTO",
   (C19*(1+IFERROR(VLOOKUP($D$2,COLORES[],2,FALSE),0)))
   *(1-IFERROR(_xlfn.XLOOKUP(1,(DESC_PROV[LINEA]=$B$2)*(DESC_PROV[LISTA]=$C$2),DESC_PROV[DESCUENTO]),0)),
   (C19*(1+IFERROR(VLOOKUP($D$2,COLORES[],2,FALSE),0)))
   *(1-IFERROR(_xlfn.XLOOKUP(1,(DESC_PROV[LINEA]=$B$2)*(DESC_PROV[LISTA]=$C$2),DESC_PROV[DESCUENTO]),0))
   *(1+VLOOKUP($C$2,LISTAS[],2,FALSE))
   *(1+VLOOKUP($C$2,LISTAS[],3,FALSE))
)
/5,0)*5</f>
        <v>13230</v>
      </c>
      <c r="Q19" s="65">
        <f t="array" ref="Q19">ROUND(
IF($A$2="COSTO",
   (D19*(1+IFERROR(VLOOKUP($D$2,COLORES[],2,FALSE),0)))
   *(1-IFERROR(_xlfn.XLOOKUP(1,(DESC_PROV[LINEA]=$B$2)*(DESC_PROV[LISTA]=$C$2),DESC_PROV[DESCUENTO]),0)),
   (D19*(1+IFERROR(VLOOKUP($D$2,COLORES[],2,FALSE),0)))
   *(1-IFERROR(_xlfn.XLOOKUP(1,(DESC_PROV[LINEA]=$B$2)*(DESC_PROV[LISTA]=$C$2),DESC_PROV[DESCUENTO]),0))
   *(1+VLOOKUP($C$2,LISTAS[],2,FALSE))
   *(1+VLOOKUP($C$2,LISTAS[],4,FALSE))
)
/5,0)*5</f>
        <v>42115</v>
      </c>
      <c r="R19" s="66">
        <f t="array" ref="R19">ROUND(
IF($A$2="COSTO",
   ((B19*(1+IFERROR(VLOOKUP($D$2,COLORES[],2,FALSE),0)))+(F19+I19+F19))
   *(1-IFERROR(_xlfn.XLOOKUP(1,(DESC_PROV[LINEA]=$B$2)*(DESC_PROV[LISTA]=$C$2),DESC_PROV[DESCUENTO]),0)),
   ((B19*(1+IFERROR(VLOOKUP($D$2,COLORES[],2,FALSE),0)))+(F19+I19+F19))
   *(1-IFERROR(_xlfn.XLOOKUP(1,(DESC_PROV[LINEA]=$B$2)*(DESC_PROV[LISTA]=$C$2),DESC_PROV[DESCUENTO]),0))
   *(1+VLOOKUP($C$2,LISTAS[],2,FALSE))
   *(1+VLOOKUP($C$2,LISTAS[],3,FALSE))
)
/5,0)*5</f>
        <v>360970</v>
      </c>
    </row>
    <row r="20" spans="1:18">
      <c r="A20" s="107" t="s">
        <v>44</v>
      </c>
      <c r="B20" s="64">
        <v>115844</v>
      </c>
      <c r="C20" s="64">
        <v>13768</v>
      </c>
      <c r="D20" s="64">
        <v>20600</v>
      </c>
      <c r="E20" s="64">
        <v>10716</v>
      </c>
      <c r="F20" s="64">
        <v>12978</v>
      </c>
      <c r="G20" s="64">
        <v>17094</v>
      </c>
      <c r="H20" s="64">
        <v>53515</v>
      </c>
      <c r="I20" s="64">
        <v>67076</v>
      </c>
      <c r="J20" s="2"/>
      <c r="K20" s="107" t="s">
        <v>44</v>
      </c>
      <c r="L20" s="65">
        <f t="array" ref="L20">ROUND(
IF($A$2="COSTO",
   ((B20*(1+IFERROR(VLOOKUP($D$2,COLORES[],2,FALSE),0)))+E20)
   *(1-IFERROR(_xlfn.XLOOKUP(1,(DESC_PROV[LINEA]=$B$2)*(DESC_PROV[LISTA]=$C$2),DESC_PROV[DESCUENTO]),0)),
   ((B20*(1+IFERROR(VLOOKUP($D$2,COLORES[],2,FALSE),0)))+E20)
   *(1-IFERROR(_xlfn.XLOOKUP(1,(DESC_PROV[LINEA]=$B$2)*(DESC_PROV[LISTA]=$C$2),DESC_PROV[DESCUENTO]),0))
   *(1+VLOOKUP($C$2,LISTAS[],2,FALSE))
   *(1+VLOOKUP($C$2,LISTAS[],3,FALSE))
)
/5,0)*5</f>
        <v>162190</v>
      </c>
      <c r="M20" s="65">
        <f t="array" ref="M20">ROUND(
IF($A$2="COSTO",
   ((B20*(1+IFERROR(VLOOKUP($D$2,COLORES[],2,FALSE),0)))+F20)
   *(1-IFERROR(_xlfn.XLOOKUP(1,(DESC_PROV[LINEA]=$B$2)*(DESC_PROV[LISTA]=$C$2),DESC_PROV[DESCUENTO]),0)),
   ((B20*(1+IFERROR(VLOOKUP($D$2,COLORES[],2,FALSE),0)))+F20)
   *(1-IFERROR(_xlfn.XLOOKUP(1,(DESC_PROV[LINEA]=$B$2)*(DESC_PROV[LISTA]=$C$2),DESC_PROV[DESCUENTO]),0))
   *(1+VLOOKUP($C$2,LISTAS[],2,FALSE))
   *(1+VLOOKUP($C$2,LISTAS[],3,FALSE))
)
/5,0)*5</f>
        <v>165090</v>
      </c>
      <c r="N20" s="65">
        <f t="array" ref="N20">ROUND(
IF($A$2="COSTO",
   ((B20*(1+IFERROR(VLOOKUP($D$2,COLORES[],2,FALSE),0)))+G20)
   *(1-IFERROR(_xlfn.XLOOKUP(1,(DESC_PROV[LINEA]=$B$2)*(DESC_PROV[LISTA]=$C$2),DESC_PROV[DESCUENTO]),0)),
   ((B20*(1+IFERROR(VLOOKUP($D$2,COLORES[],2,FALSE),0)))+G20)
   *(1-IFERROR(_xlfn.XLOOKUP(1,(DESC_PROV[LINEA]=$B$2)*(DESC_PROV[LISTA]=$C$2),DESC_PROV[DESCUENTO]),0))
   *(1+VLOOKUP($C$2,LISTAS[],2,FALSE))
   *(1+VLOOKUP($C$2,LISTAS[],3,FALSE))
)
/5,0)*5</f>
        <v>170365</v>
      </c>
      <c r="O20" s="65">
        <f t="array" ref="O20">ROUND(
IF($A$2="COSTO",
   ((B20*(1+IFERROR(VLOOKUP($D$2,COLORES[],2,FALSE),0)))+H20)
   *(1-IFERROR(_xlfn.XLOOKUP(1,(DESC_PROV[LINEA]=$B$2)*(DESC_PROV[LISTA]=$C$2),DESC_PROV[DESCUENTO]),0)),
   ((B20*(1+IFERROR(VLOOKUP($D$2,COLORES[],2,FALSE),0)))+H20)
   *(1-IFERROR(_xlfn.XLOOKUP(1,(DESC_PROV[LINEA]=$B$2)*(DESC_PROV[LISTA]=$C$2),DESC_PROV[DESCUENTO]),0))
   *(1+VLOOKUP($C$2,LISTAS[],2,FALSE))
   *(1+VLOOKUP($C$2,LISTAS[],3,FALSE))
)
/5,0)*5</f>
        <v>217040</v>
      </c>
      <c r="P20" s="65">
        <f t="array" ref="P20">ROUND(
IF($A$2="COSTO",
   (C20*(1+IFERROR(VLOOKUP($D$2,COLORES[],2,FALSE),0)))
   *(1-IFERROR(_xlfn.XLOOKUP(1,(DESC_PROV[LINEA]=$B$2)*(DESC_PROV[LISTA]=$C$2),DESC_PROV[DESCUENTO]),0)),
   (C20*(1+IFERROR(VLOOKUP($D$2,COLORES[],2,FALSE),0)))
   *(1-IFERROR(_xlfn.XLOOKUP(1,(DESC_PROV[LINEA]=$B$2)*(DESC_PROV[LISTA]=$C$2),DESC_PROV[DESCUENTO]),0))
   *(1+VLOOKUP($C$2,LISTAS[],2,FALSE))
   *(1+VLOOKUP($C$2,LISTAS[],3,FALSE))
)
/5,0)*5</f>
        <v>17645</v>
      </c>
      <c r="Q20" s="65">
        <f t="array" ref="Q20">ROUND(
IF($A$2="COSTO",
   (D20*(1+IFERROR(VLOOKUP($D$2,COLORES[],2,FALSE),0)))
   *(1-IFERROR(_xlfn.XLOOKUP(1,(DESC_PROV[LINEA]=$B$2)*(DESC_PROV[LISTA]=$C$2),DESC_PROV[DESCUENTO]),0)),
   (D20*(1+IFERROR(VLOOKUP($D$2,COLORES[],2,FALSE),0)))
   *(1-IFERROR(_xlfn.XLOOKUP(1,(DESC_PROV[LINEA]=$B$2)*(DESC_PROV[LISTA]=$C$2),DESC_PROV[DESCUENTO]),0))
   *(1+VLOOKUP($C$2,LISTAS[],2,FALSE))
   *(1+VLOOKUP($C$2,LISTAS[],4,FALSE))
)
/5,0)*5</f>
        <v>32490</v>
      </c>
      <c r="R20" s="66">
        <f t="array" ref="R20">ROUND(
IF($A$2="COSTO",
   ((B20*(1+IFERROR(VLOOKUP($D$2,COLORES[],2,FALSE),0)))+(F20+I20+F20))
   *(1-IFERROR(_xlfn.XLOOKUP(1,(DESC_PROV[LINEA]=$B$2)*(DESC_PROV[LISTA]=$C$2),DESC_PROV[DESCUENTO]),0)),
   ((B20*(1+IFERROR(VLOOKUP($D$2,COLORES[],2,FALSE),0)))+(F20+I20+F20))
   *(1-IFERROR(_xlfn.XLOOKUP(1,(DESC_PROV[LINEA]=$B$2)*(DESC_PROV[LISTA]=$C$2),DESC_PROV[DESCUENTO]),0))
   *(1+VLOOKUP($C$2,LISTAS[],2,FALSE))
   *(1+VLOOKUP($C$2,LISTAS[],3,FALSE))
)
/5,0)*5</f>
        <v>267685</v>
      </c>
    </row>
    <row r="21" spans="1:18">
      <c r="A21" s="107" t="s">
        <v>45</v>
      </c>
      <c r="B21" s="64">
        <v>124588</v>
      </c>
      <c r="C21" s="64">
        <v>13768</v>
      </c>
      <c r="D21" s="64">
        <v>22800</v>
      </c>
      <c r="E21" s="64">
        <v>13098</v>
      </c>
      <c r="F21" s="64">
        <v>15864</v>
      </c>
      <c r="G21" s="64">
        <v>20892</v>
      </c>
      <c r="H21" s="64">
        <v>65403</v>
      </c>
      <c r="I21" s="64">
        <v>72236</v>
      </c>
      <c r="J21" s="2"/>
      <c r="K21" s="107" t="s">
        <v>45</v>
      </c>
      <c r="L21" s="65">
        <f t="array" ref="L21">ROUND(
IF($A$2="COSTO",
   ((B21*(1+IFERROR(VLOOKUP($D$2,COLORES[],2,FALSE),0)))+E21)
   *(1-IFERROR(_xlfn.XLOOKUP(1,(DESC_PROV[LINEA]=$B$2)*(DESC_PROV[LISTA]=$C$2),DESC_PROV[DESCUENTO]),0)),
   ((B21*(1+IFERROR(VLOOKUP($D$2,COLORES[],2,FALSE),0)))+E21)
   *(1-IFERROR(_xlfn.XLOOKUP(1,(DESC_PROV[LINEA]=$B$2)*(DESC_PROV[LISTA]=$C$2),DESC_PROV[DESCUENTO]),0))
   *(1+VLOOKUP($C$2,LISTAS[],2,FALSE))
   *(1+VLOOKUP($C$2,LISTAS[],3,FALSE))
)
/5,0)*5</f>
        <v>176450</v>
      </c>
      <c r="M21" s="65">
        <f t="array" ref="M21">ROUND(
IF($A$2="COSTO",
   ((B21*(1+IFERROR(VLOOKUP($D$2,COLORES[],2,FALSE),0)))+F21)
   *(1-IFERROR(_xlfn.XLOOKUP(1,(DESC_PROV[LINEA]=$B$2)*(DESC_PROV[LISTA]=$C$2),DESC_PROV[DESCUENTO]),0)),
   ((B21*(1+IFERROR(VLOOKUP($D$2,COLORES[],2,FALSE),0)))+F21)
   *(1-IFERROR(_xlfn.XLOOKUP(1,(DESC_PROV[LINEA]=$B$2)*(DESC_PROV[LISTA]=$C$2),DESC_PROV[DESCUENTO]),0))
   *(1+VLOOKUP($C$2,LISTAS[],2,FALSE))
   *(1+VLOOKUP($C$2,LISTAS[],3,FALSE))
)
/5,0)*5</f>
        <v>179995</v>
      </c>
      <c r="N21" s="65">
        <f t="array" ref="N21">ROUND(
IF($A$2="COSTO",
   ((B21*(1+IFERROR(VLOOKUP($D$2,COLORES[],2,FALSE),0)))+G21)
   *(1-IFERROR(_xlfn.XLOOKUP(1,(DESC_PROV[LINEA]=$B$2)*(DESC_PROV[LISTA]=$C$2),DESC_PROV[DESCUENTO]),0)),
   ((B21*(1+IFERROR(VLOOKUP($D$2,COLORES[],2,FALSE),0)))+G21)
   *(1-IFERROR(_xlfn.XLOOKUP(1,(DESC_PROV[LINEA]=$B$2)*(DESC_PROV[LISTA]=$C$2),DESC_PROV[DESCUENTO]),0))
   *(1+VLOOKUP($C$2,LISTAS[],2,FALSE))
   *(1+VLOOKUP($C$2,LISTAS[],3,FALSE))
)
/5,0)*5</f>
        <v>186440</v>
      </c>
      <c r="O21" s="65">
        <f t="array" ref="O21">ROUND(
IF($A$2="COSTO",
   ((B21*(1+IFERROR(VLOOKUP($D$2,COLORES[],2,FALSE),0)))+H21)
   *(1-IFERROR(_xlfn.XLOOKUP(1,(DESC_PROV[LINEA]=$B$2)*(DESC_PROV[LISTA]=$C$2),DESC_PROV[DESCUENTO]),0)),
   ((B21*(1+IFERROR(VLOOKUP($D$2,COLORES[],2,FALSE),0)))+H21)
   *(1-IFERROR(_xlfn.XLOOKUP(1,(DESC_PROV[LINEA]=$B$2)*(DESC_PROV[LISTA]=$C$2),DESC_PROV[DESCUENTO]),0))
   *(1+VLOOKUP($C$2,LISTAS[],2,FALSE))
   *(1+VLOOKUP($C$2,LISTAS[],3,FALSE))
)
/5,0)*5</f>
        <v>243480</v>
      </c>
      <c r="P21" s="65">
        <f t="array" ref="P21">ROUND(
IF($A$2="COSTO",
   (C21*(1+IFERROR(VLOOKUP($D$2,COLORES[],2,FALSE),0)))
   *(1-IFERROR(_xlfn.XLOOKUP(1,(DESC_PROV[LINEA]=$B$2)*(DESC_PROV[LISTA]=$C$2),DESC_PROV[DESCUENTO]),0)),
   (C21*(1+IFERROR(VLOOKUP($D$2,COLORES[],2,FALSE),0)))
   *(1-IFERROR(_xlfn.XLOOKUP(1,(DESC_PROV[LINEA]=$B$2)*(DESC_PROV[LISTA]=$C$2),DESC_PROV[DESCUENTO]),0))
   *(1+VLOOKUP($C$2,LISTAS[],2,FALSE))
   *(1+VLOOKUP($C$2,LISTAS[],3,FALSE))
)
/5,0)*5</f>
        <v>17645</v>
      </c>
      <c r="Q21" s="65">
        <f t="array" ref="Q21">ROUND(
IF($A$2="COSTO",
   (D21*(1+IFERROR(VLOOKUP($D$2,COLORES[],2,FALSE),0)))
   *(1-IFERROR(_xlfn.XLOOKUP(1,(DESC_PROV[LINEA]=$B$2)*(DESC_PROV[LISTA]=$C$2),DESC_PROV[DESCUENTO]),0)),
   (D21*(1+IFERROR(VLOOKUP($D$2,COLORES[],2,FALSE),0)))
   *(1-IFERROR(_xlfn.XLOOKUP(1,(DESC_PROV[LINEA]=$B$2)*(DESC_PROV[LISTA]=$C$2),DESC_PROV[DESCUENTO]),0))
   *(1+VLOOKUP($C$2,LISTAS[],2,FALSE))
   *(1+VLOOKUP($C$2,LISTAS[],4,FALSE))
)
/5,0)*5</f>
        <v>35960</v>
      </c>
      <c r="R21" s="66">
        <f t="array" ref="R21">ROUND(
IF($A$2="COSTO",
   ((B21*(1+IFERROR(VLOOKUP($D$2,COLORES[],2,FALSE),0)))+(F21+I21+F21))
   *(1-IFERROR(_xlfn.XLOOKUP(1,(DESC_PROV[LINEA]=$B$2)*(DESC_PROV[LISTA]=$C$2),DESC_PROV[DESCUENTO]),0)),
   ((B21*(1+IFERROR(VLOOKUP($D$2,COLORES[],2,FALSE),0)))+(F21+I21+F21))
   *(1-IFERROR(_xlfn.XLOOKUP(1,(DESC_PROV[LINEA]=$B$2)*(DESC_PROV[LISTA]=$C$2),DESC_PROV[DESCUENTO]),0))
   *(1+VLOOKUP($C$2,LISTAS[],2,FALSE))
   *(1+VLOOKUP($C$2,LISTAS[],3,FALSE))
)
/5,0)*5</f>
        <v>292900</v>
      </c>
    </row>
    <row r="22" spans="1:18">
      <c r="A22" s="107" t="s">
        <v>46</v>
      </c>
      <c r="B22" s="64">
        <v>139475</v>
      </c>
      <c r="C22" s="64">
        <v>13768</v>
      </c>
      <c r="D22" s="64">
        <v>26100</v>
      </c>
      <c r="E22" s="64">
        <v>16668</v>
      </c>
      <c r="F22" s="64">
        <v>20190</v>
      </c>
      <c r="G22" s="64">
        <v>26592</v>
      </c>
      <c r="H22" s="64">
        <v>83242</v>
      </c>
      <c r="I22" s="64">
        <v>79975</v>
      </c>
      <c r="J22" s="2"/>
      <c r="K22" s="107" t="s">
        <v>46</v>
      </c>
      <c r="L22" s="65">
        <f t="array" ref="L22">ROUND(
IF($A$2="COSTO",
   ((B22*(1+IFERROR(VLOOKUP($D$2,COLORES[],2,FALSE),0)))+E22)
   *(1-IFERROR(_xlfn.XLOOKUP(1,(DESC_PROV[LINEA]=$B$2)*(DESC_PROV[LISTA]=$C$2),DESC_PROV[DESCUENTO]),0)),
   ((B22*(1+IFERROR(VLOOKUP($D$2,COLORES[],2,FALSE),0)))+E22)
   *(1-IFERROR(_xlfn.XLOOKUP(1,(DESC_PROV[LINEA]=$B$2)*(DESC_PROV[LISTA]=$C$2),DESC_PROV[DESCUENTO]),0))
   *(1+VLOOKUP($C$2,LISTAS[],2,FALSE))
   *(1+VLOOKUP($C$2,LISTAS[],3,FALSE))
)
/5,0)*5</f>
        <v>200105</v>
      </c>
      <c r="M22" s="65">
        <f t="array" ref="M22">ROUND(
IF($A$2="COSTO",
   ((B22*(1+IFERROR(VLOOKUP($D$2,COLORES[],2,FALSE),0)))+F22)
   *(1-IFERROR(_xlfn.XLOOKUP(1,(DESC_PROV[LINEA]=$B$2)*(DESC_PROV[LISTA]=$C$2),DESC_PROV[DESCUENTO]),0)),
   ((B22*(1+IFERROR(VLOOKUP($D$2,COLORES[],2,FALSE),0)))+F22)
   *(1-IFERROR(_xlfn.XLOOKUP(1,(DESC_PROV[LINEA]=$B$2)*(DESC_PROV[LISTA]=$C$2),DESC_PROV[DESCUENTO]),0))
   *(1+VLOOKUP($C$2,LISTAS[],2,FALSE))
   *(1+VLOOKUP($C$2,LISTAS[],3,FALSE))
)
/5,0)*5</f>
        <v>204615</v>
      </c>
      <c r="N22" s="65">
        <f t="array" ref="N22">ROUND(
IF($A$2="COSTO",
   ((B22*(1+IFERROR(VLOOKUP($D$2,COLORES[],2,FALSE),0)))+G22)
   *(1-IFERROR(_xlfn.XLOOKUP(1,(DESC_PROV[LINEA]=$B$2)*(DESC_PROV[LISTA]=$C$2),DESC_PROV[DESCUENTO]),0)),
   ((B22*(1+IFERROR(VLOOKUP($D$2,COLORES[],2,FALSE),0)))+G22)
   *(1-IFERROR(_xlfn.XLOOKUP(1,(DESC_PROV[LINEA]=$B$2)*(DESC_PROV[LISTA]=$C$2),DESC_PROV[DESCUENTO]),0))
   *(1+VLOOKUP($C$2,LISTAS[],2,FALSE))
   *(1+VLOOKUP($C$2,LISTAS[],3,FALSE))
)
/5,0)*5</f>
        <v>212820</v>
      </c>
      <c r="O22" s="65">
        <f t="array" ref="O22">ROUND(
IF($A$2="COSTO",
   ((B22*(1+IFERROR(VLOOKUP($D$2,COLORES[],2,FALSE),0)))+H22)
   *(1-IFERROR(_xlfn.XLOOKUP(1,(DESC_PROV[LINEA]=$B$2)*(DESC_PROV[LISTA]=$C$2),DESC_PROV[DESCUENTO]),0)),
   ((B22*(1+IFERROR(VLOOKUP($D$2,COLORES[],2,FALSE),0)))+H22)
   *(1-IFERROR(_xlfn.XLOOKUP(1,(DESC_PROV[LINEA]=$B$2)*(DESC_PROV[LISTA]=$C$2),DESC_PROV[DESCUENTO]),0))
   *(1+VLOOKUP($C$2,LISTAS[],2,FALSE))
   *(1+VLOOKUP($C$2,LISTAS[],3,FALSE))
)
/5,0)*5</f>
        <v>285420</v>
      </c>
      <c r="P22" s="65">
        <f t="array" ref="P22">ROUND(
IF($A$2="COSTO",
   (C22*(1+IFERROR(VLOOKUP($D$2,COLORES[],2,FALSE),0)))
   *(1-IFERROR(_xlfn.XLOOKUP(1,(DESC_PROV[LINEA]=$B$2)*(DESC_PROV[LISTA]=$C$2),DESC_PROV[DESCUENTO]),0)),
   (C22*(1+IFERROR(VLOOKUP($D$2,COLORES[],2,FALSE),0)))
   *(1-IFERROR(_xlfn.XLOOKUP(1,(DESC_PROV[LINEA]=$B$2)*(DESC_PROV[LISTA]=$C$2),DESC_PROV[DESCUENTO]),0))
   *(1+VLOOKUP($C$2,LISTAS[],2,FALSE))
   *(1+VLOOKUP($C$2,LISTAS[],3,FALSE))
)
/5,0)*5</f>
        <v>17645</v>
      </c>
      <c r="Q22" s="65">
        <f t="array" ref="Q22">ROUND(
IF($A$2="COSTO",
   (D22*(1+IFERROR(VLOOKUP($D$2,COLORES[],2,FALSE),0)))
   *(1-IFERROR(_xlfn.XLOOKUP(1,(DESC_PROV[LINEA]=$B$2)*(DESC_PROV[LISTA]=$C$2),DESC_PROV[DESCUENTO]),0)),
   (D22*(1+IFERROR(VLOOKUP($D$2,COLORES[],2,FALSE),0)))
   *(1-IFERROR(_xlfn.XLOOKUP(1,(DESC_PROV[LINEA]=$B$2)*(DESC_PROV[LISTA]=$C$2),DESC_PROV[DESCUENTO]),0))
   *(1+VLOOKUP($C$2,LISTAS[],2,FALSE))
   *(1+VLOOKUP($C$2,LISTAS[],4,FALSE))
)
/5,0)*5</f>
        <v>41165</v>
      </c>
      <c r="R22" s="66">
        <f t="array" ref="R22">ROUND(
IF($A$2="COSTO",
   ((B22*(1+IFERROR(VLOOKUP($D$2,COLORES[],2,FALSE),0)))+(F22+I22+F22))
   *(1-IFERROR(_xlfn.XLOOKUP(1,(DESC_PROV[LINEA]=$B$2)*(DESC_PROV[LISTA]=$C$2),DESC_PROV[DESCUENTO]),0)),
   ((B22*(1+IFERROR(VLOOKUP($D$2,COLORES[],2,FALSE),0)))+(F22+I22+F22))
   *(1-IFERROR(_xlfn.XLOOKUP(1,(DESC_PROV[LINEA]=$B$2)*(DESC_PROV[LISTA]=$C$2),DESC_PROV[DESCUENTO]),0))
   *(1+VLOOKUP($C$2,LISTAS[],2,FALSE))
   *(1+VLOOKUP($C$2,LISTAS[],3,FALSE))
)
/5,0)*5</f>
        <v>332985</v>
      </c>
    </row>
    <row r="23" spans="1:18">
      <c r="A23" s="107" t="s">
        <v>47</v>
      </c>
      <c r="B23" s="64">
        <v>154356</v>
      </c>
      <c r="C23" s="64">
        <v>13768</v>
      </c>
      <c r="D23" s="64">
        <v>29400</v>
      </c>
      <c r="E23" s="64">
        <v>20244</v>
      </c>
      <c r="F23" s="64">
        <v>24516</v>
      </c>
      <c r="G23" s="64">
        <v>32292</v>
      </c>
      <c r="H23" s="64">
        <v>101080</v>
      </c>
      <c r="I23" s="64">
        <v>87715</v>
      </c>
      <c r="J23" s="2"/>
      <c r="K23" s="107" t="s">
        <v>47</v>
      </c>
      <c r="L23" s="65">
        <f t="array" ref="L23">ROUND(
IF($A$2="COSTO",
   ((B23*(1+IFERROR(VLOOKUP($D$2,COLORES[],2,FALSE),0)))+E23)
   *(1-IFERROR(_xlfn.XLOOKUP(1,(DESC_PROV[LINEA]=$B$2)*(DESC_PROV[LISTA]=$C$2),DESC_PROV[DESCUENTO]),0)),
   ((B23*(1+IFERROR(VLOOKUP($D$2,COLORES[],2,FALSE),0)))+E23)
   *(1-IFERROR(_xlfn.XLOOKUP(1,(DESC_PROV[LINEA]=$B$2)*(DESC_PROV[LISTA]=$C$2),DESC_PROV[DESCUENTO]),0))
   *(1+VLOOKUP($C$2,LISTAS[],2,FALSE))
   *(1+VLOOKUP($C$2,LISTAS[],3,FALSE))
)
/5,0)*5</f>
        <v>223755</v>
      </c>
      <c r="M23" s="65">
        <f t="array" ref="M23">ROUND(
IF($A$2="COSTO",
   ((B23*(1+IFERROR(VLOOKUP($D$2,COLORES[],2,FALSE),0)))+F23)
   *(1-IFERROR(_xlfn.XLOOKUP(1,(DESC_PROV[LINEA]=$B$2)*(DESC_PROV[LISTA]=$C$2),DESC_PROV[DESCUENTO]),0)),
   ((B23*(1+IFERROR(VLOOKUP($D$2,COLORES[],2,FALSE),0)))+F23)
   *(1-IFERROR(_xlfn.XLOOKUP(1,(DESC_PROV[LINEA]=$B$2)*(DESC_PROV[LISTA]=$C$2),DESC_PROV[DESCUENTO]),0))
   *(1+VLOOKUP($C$2,LISTAS[],2,FALSE))
   *(1+VLOOKUP($C$2,LISTAS[],3,FALSE))
)
/5,0)*5</f>
        <v>229230</v>
      </c>
      <c r="N23" s="65">
        <f t="array" ref="N23">ROUND(
IF($A$2="COSTO",
   ((B23*(1+IFERROR(VLOOKUP($D$2,COLORES[],2,FALSE),0)))+G23)
   *(1-IFERROR(_xlfn.XLOOKUP(1,(DESC_PROV[LINEA]=$B$2)*(DESC_PROV[LISTA]=$C$2),DESC_PROV[DESCUENTO]),0)),
   ((B23*(1+IFERROR(VLOOKUP($D$2,COLORES[],2,FALSE),0)))+G23)
   *(1-IFERROR(_xlfn.XLOOKUP(1,(DESC_PROV[LINEA]=$B$2)*(DESC_PROV[LISTA]=$C$2),DESC_PROV[DESCUENTO]),0))
   *(1+VLOOKUP($C$2,LISTAS[],2,FALSE))
   *(1+VLOOKUP($C$2,LISTAS[],3,FALSE))
)
/5,0)*5</f>
        <v>239195</v>
      </c>
      <c r="O23" s="65">
        <f t="array" ref="O23">ROUND(
IF($A$2="COSTO",
   ((B23*(1+IFERROR(VLOOKUP($D$2,COLORES[],2,FALSE),0)))+H23)
   *(1-IFERROR(_xlfn.XLOOKUP(1,(DESC_PROV[LINEA]=$B$2)*(DESC_PROV[LISTA]=$C$2),DESC_PROV[DESCUENTO]),0)),
   ((B23*(1+IFERROR(VLOOKUP($D$2,COLORES[],2,FALSE),0)))+H23)
   *(1-IFERROR(_xlfn.XLOOKUP(1,(DESC_PROV[LINEA]=$B$2)*(DESC_PROV[LISTA]=$C$2),DESC_PROV[DESCUENTO]),0))
   *(1+VLOOKUP($C$2,LISTAS[],2,FALSE))
   *(1+VLOOKUP($C$2,LISTAS[],3,FALSE))
)
/5,0)*5</f>
        <v>327350</v>
      </c>
      <c r="P23" s="65">
        <f t="array" ref="P23">ROUND(
IF($A$2="COSTO",
   (C23*(1+IFERROR(VLOOKUP($D$2,COLORES[],2,FALSE),0)))
   *(1-IFERROR(_xlfn.XLOOKUP(1,(DESC_PROV[LINEA]=$B$2)*(DESC_PROV[LISTA]=$C$2),DESC_PROV[DESCUENTO]),0)),
   (C23*(1+IFERROR(VLOOKUP($D$2,COLORES[],2,FALSE),0)))
   *(1-IFERROR(_xlfn.XLOOKUP(1,(DESC_PROV[LINEA]=$B$2)*(DESC_PROV[LISTA]=$C$2),DESC_PROV[DESCUENTO]),0))
   *(1+VLOOKUP($C$2,LISTAS[],2,FALSE))
   *(1+VLOOKUP($C$2,LISTAS[],3,FALSE))
)
/5,0)*5</f>
        <v>17645</v>
      </c>
      <c r="Q23" s="65">
        <f t="array" ref="Q23">ROUND(
IF($A$2="COSTO",
   (D23*(1+IFERROR(VLOOKUP($D$2,COLORES[],2,FALSE),0)))
   *(1-IFERROR(_xlfn.XLOOKUP(1,(DESC_PROV[LINEA]=$B$2)*(DESC_PROV[LISTA]=$C$2),DESC_PROV[DESCUENTO]),0)),
   (D23*(1+IFERROR(VLOOKUP($D$2,COLORES[],2,FALSE),0)))
   *(1-IFERROR(_xlfn.XLOOKUP(1,(DESC_PROV[LINEA]=$B$2)*(DESC_PROV[LISTA]=$C$2),DESC_PROV[DESCUENTO]),0))
   *(1+VLOOKUP($C$2,LISTAS[],2,FALSE))
   *(1+VLOOKUP($C$2,LISTAS[],4,FALSE))
)
/5,0)*5</f>
        <v>46370</v>
      </c>
      <c r="R23" s="66">
        <f t="array" ref="R23">ROUND(
IF($A$2="COSTO",
   ((B23*(1+IFERROR(VLOOKUP($D$2,COLORES[],2,FALSE),0)))+(F23+I23+F23))
   *(1-IFERROR(_xlfn.XLOOKUP(1,(DESC_PROV[LINEA]=$B$2)*(DESC_PROV[LISTA]=$C$2),DESC_PROV[DESCUENTO]),0)),
   ((B23*(1+IFERROR(VLOOKUP($D$2,COLORES[],2,FALSE),0)))+(F23+I23+F23))
   *(1-IFERROR(_xlfn.XLOOKUP(1,(DESC_PROV[LINEA]=$B$2)*(DESC_PROV[LISTA]=$C$2),DESC_PROV[DESCUENTO]),0))
   *(1+VLOOKUP($C$2,LISTAS[],2,FALSE))
   *(1+VLOOKUP($C$2,LISTAS[],3,FALSE))
)
/5,0)*5</f>
        <v>373060</v>
      </c>
    </row>
    <row r="24" spans="1:18">
      <c r="A24" s="107" t="s">
        <v>48</v>
      </c>
      <c r="B24" s="64">
        <v>170325</v>
      </c>
      <c r="C24" s="64">
        <v>13768</v>
      </c>
      <c r="D24" s="64">
        <v>31600</v>
      </c>
      <c r="E24" s="64">
        <v>22620</v>
      </c>
      <c r="F24" s="64">
        <v>27402</v>
      </c>
      <c r="G24" s="64">
        <v>36084</v>
      </c>
      <c r="H24" s="64">
        <v>112968</v>
      </c>
      <c r="I24" s="64">
        <v>92875</v>
      </c>
      <c r="J24" s="2"/>
      <c r="K24" s="107" t="s">
        <v>48</v>
      </c>
      <c r="L24" s="65">
        <f t="array" ref="L24">ROUND(
IF($A$2="COSTO",
   ((B24*(1+IFERROR(VLOOKUP($D$2,COLORES[],2,FALSE),0)))+E24)
   *(1-IFERROR(_xlfn.XLOOKUP(1,(DESC_PROV[LINEA]=$B$2)*(DESC_PROV[LISTA]=$C$2),DESC_PROV[DESCUENTO]),0)),
   ((B24*(1+IFERROR(VLOOKUP($D$2,COLORES[],2,FALSE),0)))+E24)
   *(1-IFERROR(_xlfn.XLOOKUP(1,(DESC_PROV[LINEA]=$B$2)*(DESC_PROV[LISTA]=$C$2),DESC_PROV[DESCUENTO]),0))
   *(1+VLOOKUP($C$2,LISTAS[],2,FALSE))
   *(1+VLOOKUP($C$2,LISTAS[],3,FALSE))
)
/5,0)*5</f>
        <v>247265</v>
      </c>
      <c r="M24" s="65">
        <f t="array" ref="M24">ROUND(
IF($A$2="COSTO",
   ((B24*(1+IFERROR(VLOOKUP($D$2,COLORES[],2,FALSE),0)))+F24)
   *(1-IFERROR(_xlfn.XLOOKUP(1,(DESC_PROV[LINEA]=$B$2)*(DESC_PROV[LISTA]=$C$2),DESC_PROV[DESCUENTO]),0)),
   ((B24*(1+IFERROR(VLOOKUP($D$2,COLORES[],2,FALSE),0)))+F24)
   *(1-IFERROR(_xlfn.XLOOKUP(1,(DESC_PROV[LINEA]=$B$2)*(DESC_PROV[LISTA]=$C$2),DESC_PROV[DESCUENTO]),0))
   *(1+VLOOKUP($C$2,LISTAS[],2,FALSE))
   *(1+VLOOKUP($C$2,LISTAS[],3,FALSE))
)
/5,0)*5</f>
        <v>253395</v>
      </c>
      <c r="N24" s="65">
        <f t="array" ref="N24">ROUND(
IF($A$2="COSTO",
   ((B24*(1+IFERROR(VLOOKUP($D$2,COLORES[],2,FALSE),0)))+G24)
   *(1-IFERROR(_xlfn.XLOOKUP(1,(DESC_PROV[LINEA]=$B$2)*(DESC_PROV[LISTA]=$C$2),DESC_PROV[DESCUENTO]),0)),
   ((B24*(1+IFERROR(VLOOKUP($D$2,COLORES[],2,FALSE),0)))+G24)
   *(1-IFERROR(_xlfn.XLOOKUP(1,(DESC_PROV[LINEA]=$B$2)*(DESC_PROV[LISTA]=$C$2),DESC_PROV[DESCUENTO]),0))
   *(1+VLOOKUP($C$2,LISTAS[],2,FALSE))
   *(1+VLOOKUP($C$2,LISTAS[],3,FALSE))
)
/5,0)*5</f>
        <v>264520</v>
      </c>
      <c r="O24" s="65">
        <f t="array" ref="O24">ROUND(
IF($A$2="COSTO",
   ((B24*(1+IFERROR(VLOOKUP($D$2,COLORES[],2,FALSE),0)))+H24)
   *(1-IFERROR(_xlfn.XLOOKUP(1,(DESC_PROV[LINEA]=$B$2)*(DESC_PROV[LISTA]=$C$2),DESC_PROV[DESCUENTO]),0)),
   ((B24*(1+IFERROR(VLOOKUP($D$2,COLORES[],2,FALSE),0)))+H24)
   *(1-IFERROR(_xlfn.XLOOKUP(1,(DESC_PROV[LINEA]=$B$2)*(DESC_PROV[LISTA]=$C$2),DESC_PROV[DESCUENTO]),0))
   *(1+VLOOKUP($C$2,LISTAS[],2,FALSE))
   *(1+VLOOKUP($C$2,LISTAS[],3,FALSE))
)
/5,0)*5</f>
        <v>363050</v>
      </c>
      <c r="P24" s="65">
        <f t="array" ref="P24">ROUND(
IF($A$2="COSTO",
   (C24*(1+IFERROR(VLOOKUP($D$2,COLORES[],2,FALSE),0)))
   *(1-IFERROR(_xlfn.XLOOKUP(1,(DESC_PROV[LINEA]=$B$2)*(DESC_PROV[LISTA]=$C$2),DESC_PROV[DESCUENTO]),0)),
   (C24*(1+IFERROR(VLOOKUP($D$2,COLORES[],2,FALSE),0)))
   *(1-IFERROR(_xlfn.XLOOKUP(1,(DESC_PROV[LINEA]=$B$2)*(DESC_PROV[LISTA]=$C$2),DESC_PROV[DESCUENTO]),0))
   *(1+VLOOKUP($C$2,LISTAS[],2,FALSE))
   *(1+VLOOKUP($C$2,LISTAS[],3,FALSE))
)
/5,0)*5</f>
        <v>17645</v>
      </c>
      <c r="Q24" s="65">
        <f t="array" ref="Q24">ROUND(
IF($A$2="COSTO",
   (D24*(1+IFERROR(VLOOKUP($D$2,COLORES[],2,FALSE),0)))
   *(1-IFERROR(_xlfn.XLOOKUP(1,(DESC_PROV[LINEA]=$B$2)*(DESC_PROV[LISTA]=$C$2),DESC_PROV[DESCUENTO]),0)),
   (D24*(1+IFERROR(VLOOKUP($D$2,COLORES[],2,FALSE),0)))
   *(1-IFERROR(_xlfn.XLOOKUP(1,(DESC_PROV[LINEA]=$B$2)*(DESC_PROV[LISTA]=$C$2),DESC_PROV[DESCUENTO]),0))
   *(1+VLOOKUP($C$2,LISTAS[],2,FALSE))
   *(1+VLOOKUP($C$2,LISTAS[],4,FALSE))
)
/5,0)*5</f>
        <v>49840</v>
      </c>
      <c r="R24" s="66">
        <f t="array" ref="R24">ROUND(
IF($A$2="COSTO",
   ((B24*(1+IFERROR(VLOOKUP($D$2,COLORES[],2,FALSE),0)))+(F24+I24+F24))
   *(1-IFERROR(_xlfn.XLOOKUP(1,(DESC_PROV[LINEA]=$B$2)*(DESC_PROV[LISTA]=$C$2),DESC_PROV[DESCUENTO]),0)),
   ((B24*(1+IFERROR(VLOOKUP($D$2,COLORES[],2,FALSE),0)))+(F24+I24+F24))
   *(1-IFERROR(_xlfn.XLOOKUP(1,(DESC_PROV[LINEA]=$B$2)*(DESC_PROV[LISTA]=$C$2),DESC_PROV[DESCUENTO]),0))
   *(1+VLOOKUP($C$2,LISTAS[],2,FALSE))
   *(1+VLOOKUP($C$2,LISTAS[],3,FALSE))
)
/5,0)*5</f>
        <v>407535</v>
      </c>
    </row>
    <row r="25" spans="1:18">
      <c r="A25" s="107" t="s">
        <v>15</v>
      </c>
      <c r="B25" s="64">
        <v>124919</v>
      </c>
      <c r="C25" s="64">
        <v>17209</v>
      </c>
      <c r="D25" s="64">
        <v>24250</v>
      </c>
      <c r="E25" s="64">
        <v>13776</v>
      </c>
      <c r="F25" s="64">
        <v>16692</v>
      </c>
      <c r="G25" s="64">
        <v>21978</v>
      </c>
      <c r="H25" s="64">
        <v>68807</v>
      </c>
      <c r="I25" s="64">
        <v>77396</v>
      </c>
      <c r="J25" s="2"/>
      <c r="K25" s="107" t="s">
        <v>15</v>
      </c>
      <c r="L25" s="65">
        <f t="array" ref="L25">ROUND(
IF($A$2="COSTO",
   ((B25*(1+IFERROR(VLOOKUP($D$2,COLORES[],2,FALSE),0)))+E25)
   *(1-IFERROR(_xlfn.XLOOKUP(1,(DESC_PROV[LINEA]=$B$2)*(DESC_PROV[LISTA]=$C$2),DESC_PROV[DESCUENTO]),0)),
   ((B25*(1+IFERROR(VLOOKUP($D$2,COLORES[],2,FALSE),0)))+E25)
   *(1-IFERROR(_xlfn.XLOOKUP(1,(DESC_PROV[LINEA]=$B$2)*(DESC_PROV[LISTA]=$C$2),DESC_PROV[DESCUENTO]),0))
   *(1+VLOOKUP($C$2,LISTAS[],2,FALSE))
   *(1+VLOOKUP($C$2,LISTAS[],3,FALSE))
)
/5,0)*5</f>
        <v>177745</v>
      </c>
      <c r="M25" s="65">
        <f t="array" ref="M25">ROUND(
IF($A$2="COSTO",
   ((B25*(1+IFERROR(VLOOKUP($D$2,COLORES[],2,FALSE),0)))+F25)
   *(1-IFERROR(_xlfn.XLOOKUP(1,(DESC_PROV[LINEA]=$B$2)*(DESC_PROV[LISTA]=$C$2),DESC_PROV[DESCUENTO]),0)),
   ((B25*(1+IFERROR(VLOOKUP($D$2,COLORES[],2,FALSE),0)))+F25)
   *(1-IFERROR(_xlfn.XLOOKUP(1,(DESC_PROV[LINEA]=$B$2)*(DESC_PROV[LISTA]=$C$2),DESC_PROV[DESCUENTO]),0))
   *(1+VLOOKUP($C$2,LISTAS[],2,FALSE))
   *(1+VLOOKUP($C$2,LISTAS[],3,FALSE))
)
/5,0)*5</f>
        <v>181480</v>
      </c>
      <c r="N25" s="65">
        <f t="array" ref="N25">ROUND(
IF($A$2="COSTO",
   ((B25*(1+IFERROR(VLOOKUP($D$2,COLORES[],2,FALSE),0)))+G25)
   *(1-IFERROR(_xlfn.XLOOKUP(1,(DESC_PROV[LINEA]=$B$2)*(DESC_PROV[LISTA]=$C$2),DESC_PROV[DESCUENTO]),0)),
   ((B25*(1+IFERROR(VLOOKUP($D$2,COLORES[],2,FALSE),0)))+G25)
   *(1-IFERROR(_xlfn.XLOOKUP(1,(DESC_PROV[LINEA]=$B$2)*(DESC_PROV[LISTA]=$C$2),DESC_PROV[DESCUENTO]),0))
   *(1+VLOOKUP($C$2,LISTAS[],2,FALSE))
   *(1+VLOOKUP($C$2,LISTAS[],3,FALSE))
)
/5,0)*5</f>
        <v>188255</v>
      </c>
      <c r="O25" s="65">
        <f t="array" ref="O25">ROUND(
IF($A$2="COSTO",
   ((B25*(1+IFERROR(VLOOKUP($D$2,COLORES[],2,FALSE),0)))+H25)
   *(1-IFERROR(_xlfn.XLOOKUP(1,(DESC_PROV[LINEA]=$B$2)*(DESC_PROV[LISTA]=$C$2),DESC_PROV[DESCUENTO]),0)),
   ((B25*(1+IFERROR(VLOOKUP($D$2,COLORES[],2,FALSE),0)))+H25)
   *(1-IFERROR(_xlfn.XLOOKUP(1,(DESC_PROV[LINEA]=$B$2)*(DESC_PROV[LISTA]=$C$2),DESC_PROV[DESCUENTO]),0))
   *(1+VLOOKUP($C$2,LISTAS[],2,FALSE))
   *(1+VLOOKUP($C$2,LISTAS[],3,FALSE))
)
/5,0)*5</f>
        <v>248270</v>
      </c>
      <c r="P25" s="65">
        <f t="array" ref="P25">ROUND(
IF($A$2="COSTO",
   (C25*(1+IFERROR(VLOOKUP($D$2,COLORES[],2,FALSE),0)))
   *(1-IFERROR(_xlfn.XLOOKUP(1,(DESC_PROV[LINEA]=$B$2)*(DESC_PROV[LISTA]=$C$2),DESC_PROV[DESCUENTO]),0)),
   (C25*(1+IFERROR(VLOOKUP($D$2,COLORES[],2,FALSE),0)))
   *(1-IFERROR(_xlfn.XLOOKUP(1,(DESC_PROV[LINEA]=$B$2)*(DESC_PROV[LISTA]=$C$2),DESC_PROV[DESCUENTO]),0))
   *(1+VLOOKUP($C$2,LISTAS[],2,FALSE))
   *(1+VLOOKUP($C$2,LISTAS[],3,FALSE))
)
/5,0)*5</f>
        <v>22055</v>
      </c>
      <c r="Q25" s="65">
        <f t="array" ref="Q25">ROUND(
IF($A$2="COSTO",
   (D25*(1+IFERROR(VLOOKUP($D$2,COLORES[],2,FALSE),0)))
   *(1-IFERROR(_xlfn.XLOOKUP(1,(DESC_PROV[LINEA]=$B$2)*(DESC_PROV[LISTA]=$C$2),DESC_PROV[DESCUENTO]),0)),
   (D25*(1+IFERROR(VLOOKUP($D$2,COLORES[],2,FALSE),0)))
   *(1-IFERROR(_xlfn.XLOOKUP(1,(DESC_PROV[LINEA]=$B$2)*(DESC_PROV[LISTA]=$C$2),DESC_PROV[DESCUENTO]),0))
   *(1+VLOOKUP($C$2,LISTAS[],2,FALSE))
   *(1+VLOOKUP($C$2,LISTAS[],4,FALSE))
)
/5,0)*5</f>
        <v>38250</v>
      </c>
      <c r="R25" s="66">
        <f t="array" ref="R25">ROUND(
IF($A$2="COSTO",
   ((B25*(1+IFERROR(VLOOKUP($D$2,COLORES[],2,FALSE),0)))+(F25+I25+F25))
   *(1-IFERROR(_xlfn.XLOOKUP(1,(DESC_PROV[LINEA]=$B$2)*(DESC_PROV[LISTA]=$C$2),DESC_PROV[DESCUENTO]),0)),
   ((B25*(1+IFERROR(VLOOKUP($D$2,COLORES[],2,FALSE),0)))+(F25+I25+F25))
   *(1-IFERROR(_xlfn.XLOOKUP(1,(DESC_PROV[LINEA]=$B$2)*(DESC_PROV[LISTA]=$C$2),DESC_PROV[DESCUENTO]),0))
   *(1+VLOOKUP($C$2,LISTAS[],2,FALSE))
   *(1+VLOOKUP($C$2,LISTAS[],3,FALSE))
)
/5,0)*5</f>
        <v>302060</v>
      </c>
    </row>
    <row r="26" spans="1:18">
      <c r="A26" s="107" t="s">
        <v>102</v>
      </c>
      <c r="B26" s="64">
        <v>132888</v>
      </c>
      <c r="C26" s="64">
        <v>17209</v>
      </c>
      <c r="D26" s="64">
        <v>26700</v>
      </c>
      <c r="E26" s="64">
        <v>16842</v>
      </c>
      <c r="F26" s="64">
        <v>20400</v>
      </c>
      <c r="G26" s="64">
        <v>26862</v>
      </c>
      <c r="H26" s="64">
        <v>84091</v>
      </c>
      <c r="I26" s="64">
        <v>82555</v>
      </c>
      <c r="J26" s="2"/>
      <c r="K26" s="107" t="s">
        <v>102</v>
      </c>
      <c r="L26" s="65">
        <f t="array" ref="L26">ROUND(
IF($A$2="COSTO",
   ((B26*(1+IFERROR(VLOOKUP($D$2,COLORES[],2,FALSE),0)))+E26)
   *(1-IFERROR(_xlfn.XLOOKUP(1,(DESC_PROV[LINEA]=$B$2)*(DESC_PROV[LISTA]=$C$2),DESC_PROV[DESCUENTO]),0)),
   ((B26*(1+IFERROR(VLOOKUP($D$2,COLORES[],2,FALSE),0)))+E26)
   *(1-IFERROR(_xlfn.XLOOKUP(1,(DESC_PROV[LINEA]=$B$2)*(DESC_PROV[LISTA]=$C$2),DESC_PROV[DESCUENTO]),0))
   *(1+VLOOKUP($C$2,LISTAS[],2,FALSE))
   *(1+VLOOKUP($C$2,LISTAS[],3,FALSE))
)
/5,0)*5</f>
        <v>191885</v>
      </c>
      <c r="M26" s="65">
        <f t="array" ref="M26">ROUND(
IF($A$2="COSTO",
   ((B26*(1+IFERROR(VLOOKUP($D$2,COLORES[],2,FALSE),0)))+F26)
   *(1-IFERROR(_xlfn.XLOOKUP(1,(DESC_PROV[LINEA]=$B$2)*(DESC_PROV[LISTA]=$C$2),DESC_PROV[DESCUENTO]),0)),
   ((B26*(1+IFERROR(VLOOKUP($D$2,COLORES[],2,FALSE),0)))+F26)
   *(1-IFERROR(_xlfn.XLOOKUP(1,(DESC_PROV[LINEA]=$B$2)*(DESC_PROV[LISTA]=$C$2),DESC_PROV[DESCUENTO]),0))
   *(1+VLOOKUP($C$2,LISTAS[],2,FALSE))
   *(1+VLOOKUP($C$2,LISTAS[],3,FALSE))
)
/5,0)*5</f>
        <v>196445</v>
      </c>
      <c r="N26" s="65">
        <f t="array" ref="N26">ROUND(
IF($A$2="COSTO",
   ((B26*(1+IFERROR(VLOOKUP($D$2,COLORES[],2,FALSE),0)))+G26)
   *(1-IFERROR(_xlfn.XLOOKUP(1,(DESC_PROV[LINEA]=$B$2)*(DESC_PROV[LISTA]=$C$2),DESC_PROV[DESCUENTO]),0)),
   ((B26*(1+IFERROR(VLOOKUP($D$2,COLORES[],2,FALSE),0)))+G26)
   *(1-IFERROR(_xlfn.XLOOKUP(1,(DESC_PROV[LINEA]=$B$2)*(DESC_PROV[LISTA]=$C$2),DESC_PROV[DESCUENTO]),0))
   *(1+VLOOKUP($C$2,LISTAS[],2,FALSE))
   *(1+VLOOKUP($C$2,LISTAS[],3,FALSE))
)
/5,0)*5</f>
        <v>204725</v>
      </c>
      <c r="O26" s="65">
        <f t="array" ref="O26">ROUND(
IF($A$2="COSTO",
   ((B26*(1+IFERROR(VLOOKUP($D$2,COLORES[],2,FALSE),0)))+H26)
   *(1-IFERROR(_xlfn.XLOOKUP(1,(DESC_PROV[LINEA]=$B$2)*(DESC_PROV[LISTA]=$C$2),DESC_PROV[DESCUENTO]),0)),
   ((B26*(1+IFERROR(VLOOKUP($D$2,COLORES[],2,FALSE),0)))+H26)
   *(1-IFERROR(_xlfn.XLOOKUP(1,(DESC_PROV[LINEA]=$B$2)*(DESC_PROV[LISTA]=$C$2),DESC_PROV[DESCUENTO]),0))
   *(1+VLOOKUP($C$2,LISTAS[],2,FALSE))
   *(1+VLOOKUP($C$2,LISTAS[],3,FALSE))
)
/5,0)*5</f>
        <v>278065</v>
      </c>
      <c r="P26" s="65">
        <f t="array" ref="P26">ROUND(
IF($A$2="COSTO",
   (C26*(1+IFERROR(VLOOKUP($D$2,COLORES[],2,FALSE),0)))
   *(1-IFERROR(_xlfn.XLOOKUP(1,(DESC_PROV[LINEA]=$B$2)*(DESC_PROV[LISTA]=$C$2),DESC_PROV[DESCUENTO]),0)),
   (C26*(1+IFERROR(VLOOKUP($D$2,COLORES[],2,FALSE),0)))
   *(1-IFERROR(_xlfn.XLOOKUP(1,(DESC_PROV[LINEA]=$B$2)*(DESC_PROV[LISTA]=$C$2),DESC_PROV[DESCUENTO]),0))
   *(1+VLOOKUP($C$2,LISTAS[],2,FALSE))
   *(1+VLOOKUP($C$2,LISTAS[],3,FALSE))
)
/5,0)*5</f>
        <v>22055</v>
      </c>
      <c r="Q26" s="65">
        <f t="array" ref="Q26">ROUND(
IF($A$2="COSTO",
   (D26*(1+IFERROR(VLOOKUP($D$2,COLORES[],2,FALSE),0)))
   *(1-IFERROR(_xlfn.XLOOKUP(1,(DESC_PROV[LINEA]=$B$2)*(DESC_PROV[LISTA]=$C$2),DESC_PROV[DESCUENTO]),0)),
   (D26*(1+IFERROR(VLOOKUP($D$2,COLORES[],2,FALSE),0)))
   *(1-IFERROR(_xlfn.XLOOKUP(1,(DESC_PROV[LINEA]=$B$2)*(DESC_PROV[LISTA]=$C$2),DESC_PROV[DESCUENTO]),0))
   *(1+VLOOKUP($C$2,LISTAS[],2,FALSE))
   *(1+VLOOKUP($C$2,LISTAS[],4,FALSE))
)
/5,0)*5</f>
        <v>42115</v>
      </c>
      <c r="R26" s="66">
        <f t="array" ref="R26">ROUND(
IF($A$2="COSTO",
   ((B26*(1+IFERROR(VLOOKUP($D$2,COLORES[],2,FALSE),0)))+(F26+I26+F26))
   *(1-IFERROR(_xlfn.XLOOKUP(1,(DESC_PROV[LINEA]=$B$2)*(DESC_PROV[LISTA]=$C$2),DESC_PROV[DESCUENTO]),0)),
   ((B26*(1+IFERROR(VLOOKUP($D$2,COLORES[],2,FALSE),0)))+(F26+I26+F26))
   *(1-IFERROR(_xlfn.XLOOKUP(1,(DESC_PROV[LINEA]=$B$2)*(DESC_PROV[LISTA]=$C$2),DESC_PROV[DESCUENTO]),0))
   *(1+VLOOKUP($C$2,LISTAS[],2,FALSE))
   *(1+VLOOKUP($C$2,LISTAS[],3,FALSE))
)
/5,0)*5</f>
        <v>328385</v>
      </c>
    </row>
    <row r="27" spans="1:18">
      <c r="A27" s="107" t="s">
        <v>16</v>
      </c>
      <c r="B27" s="64">
        <v>147769</v>
      </c>
      <c r="C27" s="64">
        <v>17209</v>
      </c>
      <c r="D27" s="64">
        <v>30375</v>
      </c>
      <c r="E27" s="64">
        <v>21432</v>
      </c>
      <c r="F27" s="64">
        <v>25962</v>
      </c>
      <c r="G27" s="64">
        <v>34188</v>
      </c>
      <c r="H27" s="64">
        <v>107024</v>
      </c>
      <c r="I27" s="64">
        <v>90295</v>
      </c>
      <c r="J27" s="2"/>
      <c r="K27" s="107" t="s">
        <v>16</v>
      </c>
      <c r="L27" s="65">
        <f t="array" ref="L27">ROUND(
IF($A$2="COSTO",
   ((B27*(1+IFERROR(VLOOKUP($D$2,COLORES[],2,FALSE),0)))+E27)
   *(1-IFERROR(_xlfn.XLOOKUP(1,(DESC_PROV[LINEA]=$B$2)*(DESC_PROV[LISTA]=$C$2),DESC_PROV[DESCUENTO]),0)),
   ((B27*(1+IFERROR(VLOOKUP($D$2,COLORES[],2,FALSE),0)))+E27)
   *(1-IFERROR(_xlfn.XLOOKUP(1,(DESC_PROV[LINEA]=$B$2)*(DESC_PROV[LISTA]=$C$2),DESC_PROV[DESCUENTO]),0))
   *(1+VLOOKUP($C$2,LISTAS[],2,FALSE))
   *(1+VLOOKUP($C$2,LISTAS[],3,FALSE))
)
/5,0)*5</f>
        <v>216840</v>
      </c>
      <c r="M27" s="65">
        <f t="array" ref="M27">ROUND(
IF($A$2="COSTO",
   ((B27*(1+IFERROR(VLOOKUP($D$2,COLORES[],2,FALSE),0)))+F27)
   *(1-IFERROR(_xlfn.XLOOKUP(1,(DESC_PROV[LINEA]=$B$2)*(DESC_PROV[LISTA]=$C$2),DESC_PROV[DESCUENTO]),0)),
   ((B27*(1+IFERROR(VLOOKUP($D$2,COLORES[],2,FALSE),0)))+F27)
   *(1-IFERROR(_xlfn.XLOOKUP(1,(DESC_PROV[LINEA]=$B$2)*(DESC_PROV[LISTA]=$C$2),DESC_PROV[DESCUENTO]),0))
   *(1+VLOOKUP($C$2,LISTAS[],2,FALSE))
   *(1+VLOOKUP($C$2,LISTAS[],3,FALSE))
)
/5,0)*5</f>
        <v>222645</v>
      </c>
      <c r="N27" s="65">
        <f t="array" ref="N27">ROUND(
IF($A$2="COSTO",
   ((B27*(1+IFERROR(VLOOKUP($D$2,COLORES[],2,FALSE),0)))+G27)
   *(1-IFERROR(_xlfn.XLOOKUP(1,(DESC_PROV[LINEA]=$B$2)*(DESC_PROV[LISTA]=$C$2),DESC_PROV[DESCUENTO]),0)),
   ((B27*(1+IFERROR(VLOOKUP($D$2,COLORES[],2,FALSE),0)))+G27)
   *(1-IFERROR(_xlfn.XLOOKUP(1,(DESC_PROV[LINEA]=$B$2)*(DESC_PROV[LISTA]=$C$2),DESC_PROV[DESCUENTO]),0))
   *(1+VLOOKUP($C$2,LISTAS[],2,FALSE))
   *(1+VLOOKUP($C$2,LISTAS[],3,FALSE))
)
/5,0)*5</f>
        <v>233185</v>
      </c>
      <c r="O27" s="65">
        <f t="array" ref="O27">ROUND(
IF($A$2="COSTO",
   ((B27*(1+IFERROR(VLOOKUP($D$2,COLORES[],2,FALSE),0)))+H27)
   *(1-IFERROR(_xlfn.XLOOKUP(1,(DESC_PROV[LINEA]=$B$2)*(DESC_PROV[LISTA]=$C$2),DESC_PROV[DESCUENTO]),0)),
   ((B27*(1+IFERROR(VLOOKUP($D$2,COLORES[],2,FALSE),0)))+H27)
   *(1-IFERROR(_xlfn.XLOOKUP(1,(DESC_PROV[LINEA]=$B$2)*(DESC_PROV[LISTA]=$C$2),DESC_PROV[DESCUENTO]),0))
   *(1+VLOOKUP($C$2,LISTAS[],2,FALSE))
   *(1+VLOOKUP($C$2,LISTAS[],3,FALSE))
)
/5,0)*5</f>
        <v>326525</v>
      </c>
      <c r="P27" s="65">
        <f t="array" ref="P27">ROUND(
IF($A$2="COSTO",
   (C27*(1+IFERROR(VLOOKUP($D$2,COLORES[],2,FALSE),0)))
   *(1-IFERROR(_xlfn.XLOOKUP(1,(DESC_PROV[LINEA]=$B$2)*(DESC_PROV[LISTA]=$C$2),DESC_PROV[DESCUENTO]),0)),
   (C27*(1+IFERROR(VLOOKUP($D$2,COLORES[],2,FALSE),0)))
   *(1-IFERROR(_xlfn.XLOOKUP(1,(DESC_PROV[LINEA]=$B$2)*(DESC_PROV[LISTA]=$C$2),DESC_PROV[DESCUENTO]),0))
   *(1+VLOOKUP($C$2,LISTAS[],2,FALSE))
   *(1+VLOOKUP($C$2,LISTAS[],3,FALSE))
)
/5,0)*5</f>
        <v>22055</v>
      </c>
      <c r="Q27" s="65">
        <f t="array" ref="Q27">ROUND(
IF($A$2="COSTO",
   (D27*(1+IFERROR(VLOOKUP($D$2,COLORES[],2,FALSE),0)))
   *(1-IFERROR(_xlfn.XLOOKUP(1,(DESC_PROV[LINEA]=$B$2)*(DESC_PROV[LISTA]=$C$2),DESC_PROV[DESCUENTO]),0)),
   (D27*(1+IFERROR(VLOOKUP($D$2,COLORES[],2,FALSE),0)))
   *(1-IFERROR(_xlfn.XLOOKUP(1,(DESC_PROV[LINEA]=$B$2)*(DESC_PROV[LISTA]=$C$2),DESC_PROV[DESCUENTO]),0))
   *(1+VLOOKUP($C$2,LISTAS[],2,FALSE))
   *(1+VLOOKUP($C$2,LISTAS[],4,FALSE))
)
/5,0)*5</f>
        <v>47910</v>
      </c>
      <c r="R27" s="66">
        <f t="array" ref="R27">ROUND(
IF($A$2="COSTO",
   ((B27*(1+IFERROR(VLOOKUP($D$2,COLORES[],2,FALSE),0)))+(F27+I27+F27))
   *(1-IFERROR(_xlfn.XLOOKUP(1,(DESC_PROV[LINEA]=$B$2)*(DESC_PROV[LISTA]=$C$2),DESC_PROV[DESCUENTO]),0)),
   ((B27*(1+IFERROR(VLOOKUP($D$2,COLORES[],2,FALSE),0)))+(F27+I27+F27))
   *(1-IFERROR(_xlfn.XLOOKUP(1,(DESC_PROV[LINEA]=$B$2)*(DESC_PROV[LISTA]=$C$2),DESC_PROV[DESCUENTO]),0))
   *(1+VLOOKUP($C$2,LISTAS[],2,FALSE))
   *(1+VLOOKUP($C$2,LISTAS[],3,FALSE))
)
/5,0)*5</f>
        <v>371630</v>
      </c>
    </row>
    <row r="28" spans="1:18">
      <c r="A28" s="107" t="s">
        <v>103</v>
      </c>
      <c r="B28" s="64">
        <v>162644</v>
      </c>
      <c r="C28" s="64">
        <v>17209</v>
      </c>
      <c r="D28" s="64">
        <v>34050</v>
      </c>
      <c r="E28" s="64">
        <v>26022</v>
      </c>
      <c r="F28" s="64">
        <v>31524</v>
      </c>
      <c r="G28" s="64">
        <v>39072</v>
      </c>
      <c r="H28" s="64">
        <v>129957</v>
      </c>
      <c r="I28" s="64">
        <v>98034</v>
      </c>
      <c r="J28" s="2"/>
      <c r="K28" s="107" t="s">
        <v>103</v>
      </c>
      <c r="L28" s="65">
        <f t="array" ref="L28">ROUND(
IF($A$2="COSTO",
   ((B28*(1+IFERROR(VLOOKUP($D$2,COLORES[],2,FALSE),0)))+E28)
   *(1-IFERROR(_xlfn.XLOOKUP(1,(DESC_PROV[LINEA]=$B$2)*(DESC_PROV[LISTA]=$C$2),DESC_PROV[DESCUENTO]),0)),
   ((B28*(1+IFERROR(VLOOKUP($D$2,COLORES[],2,FALSE),0)))+E28)
   *(1-IFERROR(_xlfn.XLOOKUP(1,(DESC_PROV[LINEA]=$B$2)*(DESC_PROV[LISTA]=$C$2),DESC_PROV[DESCUENTO]),0))
   *(1+VLOOKUP($C$2,LISTAS[],2,FALSE))
   *(1+VLOOKUP($C$2,LISTAS[],3,FALSE))
)
/5,0)*5</f>
        <v>241785</v>
      </c>
      <c r="M28" s="65">
        <f t="array" ref="M28">ROUND(
IF($A$2="COSTO",
   ((B28*(1+IFERROR(VLOOKUP($D$2,COLORES[],2,FALSE),0)))+F28)
   *(1-IFERROR(_xlfn.XLOOKUP(1,(DESC_PROV[LINEA]=$B$2)*(DESC_PROV[LISTA]=$C$2),DESC_PROV[DESCUENTO]),0)),
   ((B28*(1+IFERROR(VLOOKUP($D$2,COLORES[],2,FALSE),0)))+F28)
   *(1-IFERROR(_xlfn.XLOOKUP(1,(DESC_PROV[LINEA]=$B$2)*(DESC_PROV[LISTA]=$C$2),DESC_PROV[DESCUENTO]),0))
   *(1+VLOOKUP($C$2,LISTAS[],2,FALSE))
   *(1+VLOOKUP($C$2,LISTAS[],3,FALSE))
)
/5,0)*5</f>
        <v>248835</v>
      </c>
      <c r="N28" s="65">
        <f t="array" ref="N28">ROUND(
IF($A$2="COSTO",
   ((B28*(1+IFERROR(VLOOKUP($D$2,COLORES[],2,FALSE),0)))+G28)
   *(1-IFERROR(_xlfn.XLOOKUP(1,(DESC_PROV[LINEA]=$B$2)*(DESC_PROV[LISTA]=$C$2),DESC_PROV[DESCUENTO]),0)),
   ((B28*(1+IFERROR(VLOOKUP($D$2,COLORES[],2,FALSE),0)))+G28)
   *(1-IFERROR(_xlfn.XLOOKUP(1,(DESC_PROV[LINEA]=$B$2)*(DESC_PROV[LISTA]=$C$2),DESC_PROV[DESCUENTO]),0))
   *(1+VLOOKUP($C$2,LISTAS[],2,FALSE))
   *(1+VLOOKUP($C$2,LISTAS[],3,FALSE))
)
/5,0)*5</f>
        <v>258505</v>
      </c>
      <c r="O28" s="65">
        <f t="array" ref="O28">ROUND(
IF($A$2="COSTO",
   ((B28*(1+IFERROR(VLOOKUP($D$2,COLORES[],2,FALSE),0)))+H28)
   *(1-IFERROR(_xlfn.XLOOKUP(1,(DESC_PROV[LINEA]=$B$2)*(DESC_PROV[LISTA]=$C$2),DESC_PROV[DESCUENTO]),0)),
   ((B28*(1+IFERROR(VLOOKUP($D$2,COLORES[],2,FALSE),0)))+H28)
   *(1-IFERROR(_xlfn.XLOOKUP(1,(DESC_PROV[LINEA]=$B$2)*(DESC_PROV[LISTA]=$C$2),DESC_PROV[DESCUENTO]),0))
   *(1+VLOOKUP($C$2,LISTAS[],2,FALSE))
   *(1+VLOOKUP($C$2,LISTAS[],3,FALSE))
)
/5,0)*5</f>
        <v>374980</v>
      </c>
      <c r="P28" s="65">
        <f t="array" ref="P28">ROUND(
IF($A$2="COSTO",
   (C28*(1+IFERROR(VLOOKUP($D$2,COLORES[],2,FALSE),0)))
   *(1-IFERROR(_xlfn.XLOOKUP(1,(DESC_PROV[LINEA]=$B$2)*(DESC_PROV[LISTA]=$C$2),DESC_PROV[DESCUENTO]),0)),
   (C28*(1+IFERROR(VLOOKUP($D$2,COLORES[],2,FALSE),0)))
   *(1-IFERROR(_xlfn.XLOOKUP(1,(DESC_PROV[LINEA]=$B$2)*(DESC_PROV[LISTA]=$C$2),DESC_PROV[DESCUENTO]),0))
   *(1+VLOOKUP($C$2,LISTAS[],2,FALSE))
   *(1+VLOOKUP($C$2,LISTAS[],3,FALSE))
)
/5,0)*5</f>
        <v>22055</v>
      </c>
      <c r="Q28" s="65">
        <f t="array" ref="Q28">ROUND(
IF($A$2="COSTO",
   (D28*(1+IFERROR(VLOOKUP($D$2,COLORES[],2,FALSE),0)))
   *(1-IFERROR(_xlfn.XLOOKUP(1,(DESC_PROV[LINEA]=$B$2)*(DESC_PROV[LISTA]=$C$2),DESC_PROV[DESCUENTO]),0)),
   (D28*(1+IFERROR(VLOOKUP($D$2,COLORES[],2,FALSE),0)))
   *(1-IFERROR(_xlfn.XLOOKUP(1,(DESC_PROV[LINEA]=$B$2)*(DESC_PROV[LISTA]=$C$2),DESC_PROV[DESCUENTO]),0))
   *(1+VLOOKUP($C$2,LISTAS[],2,FALSE))
   *(1+VLOOKUP($C$2,LISTAS[],4,FALSE))
)
/5,0)*5</f>
        <v>53705</v>
      </c>
      <c r="R28" s="66">
        <f t="array" ref="R28">ROUND(
IF($A$2="COSTO",
   ((B28*(1+IFERROR(VLOOKUP($D$2,COLORES[],2,FALSE),0)))+(F28+I28+F28))
   *(1-IFERROR(_xlfn.XLOOKUP(1,(DESC_PROV[LINEA]=$B$2)*(DESC_PROV[LISTA]=$C$2),DESC_PROV[DESCUENTO]),0)),
   ((B28*(1+IFERROR(VLOOKUP($D$2,COLORES[],2,FALSE),0)))+(F28+I28+F28))
   *(1-IFERROR(_xlfn.XLOOKUP(1,(DESC_PROV[LINEA]=$B$2)*(DESC_PROV[LISTA]=$C$2),DESC_PROV[DESCUENTO]),0))
   *(1+VLOOKUP($C$2,LISTAS[],2,FALSE))
   *(1+VLOOKUP($C$2,LISTAS[],3,FALSE))
)
/5,0)*5</f>
        <v>414870</v>
      </c>
    </row>
    <row r="29" spans="1:18">
      <c r="A29" s="107" t="s">
        <v>104</v>
      </c>
      <c r="B29" s="64">
        <v>177156</v>
      </c>
      <c r="C29" s="64">
        <v>17209</v>
      </c>
      <c r="D29" s="64">
        <v>36500</v>
      </c>
      <c r="E29" s="64">
        <v>29088</v>
      </c>
      <c r="F29" s="64">
        <v>35232</v>
      </c>
      <c r="G29" s="64">
        <v>44844</v>
      </c>
      <c r="H29" s="64">
        <v>145248</v>
      </c>
      <c r="I29" s="64">
        <v>103194</v>
      </c>
      <c r="J29" s="2"/>
      <c r="K29" s="107" t="s">
        <v>104</v>
      </c>
      <c r="L29" s="65">
        <f t="array" ref="L29">ROUND(
IF($A$2="COSTO",
   ((B29*(1+IFERROR(VLOOKUP($D$2,COLORES[],2,FALSE),0)))+E29)
   *(1-IFERROR(_xlfn.XLOOKUP(1,(DESC_PROV[LINEA]=$B$2)*(DESC_PROV[LISTA]=$C$2),DESC_PROV[DESCUENTO]),0)),
   ((B29*(1+IFERROR(VLOOKUP($D$2,COLORES[],2,FALSE),0)))+E29)
   *(1-IFERROR(_xlfn.XLOOKUP(1,(DESC_PROV[LINEA]=$B$2)*(DESC_PROV[LISTA]=$C$2),DESC_PROV[DESCUENTO]),0))
   *(1+VLOOKUP($C$2,LISTAS[],2,FALSE))
   *(1+VLOOKUP($C$2,LISTAS[],3,FALSE))
)
/5,0)*5</f>
        <v>264310</v>
      </c>
      <c r="M29" s="65">
        <f t="array" ref="M29">ROUND(
IF($A$2="COSTO",
   ((B29*(1+IFERROR(VLOOKUP($D$2,COLORES[],2,FALSE),0)))+F29)
   *(1-IFERROR(_xlfn.XLOOKUP(1,(DESC_PROV[LINEA]=$B$2)*(DESC_PROV[LISTA]=$C$2),DESC_PROV[DESCUENTO]),0)),
   ((B29*(1+IFERROR(VLOOKUP($D$2,COLORES[],2,FALSE),0)))+F29)
   *(1-IFERROR(_xlfn.XLOOKUP(1,(DESC_PROV[LINEA]=$B$2)*(DESC_PROV[LISTA]=$C$2),DESC_PROV[DESCUENTO]),0))
   *(1+VLOOKUP($C$2,LISTAS[],2,FALSE))
   *(1+VLOOKUP($C$2,LISTAS[],3,FALSE))
)
/5,0)*5</f>
        <v>272185</v>
      </c>
      <c r="N29" s="65">
        <f t="array" ref="N29">ROUND(
IF($A$2="COSTO",
   ((B29*(1+IFERROR(VLOOKUP($D$2,COLORES[],2,FALSE),0)))+G29)
   *(1-IFERROR(_xlfn.XLOOKUP(1,(DESC_PROV[LINEA]=$B$2)*(DESC_PROV[LISTA]=$C$2),DESC_PROV[DESCUENTO]),0)),
   ((B29*(1+IFERROR(VLOOKUP($D$2,COLORES[],2,FALSE),0)))+G29)
   *(1-IFERROR(_xlfn.XLOOKUP(1,(DESC_PROV[LINEA]=$B$2)*(DESC_PROV[LISTA]=$C$2),DESC_PROV[DESCUENTO]),0))
   *(1+VLOOKUP($C$2,LISTAS[],2,FALSE))
   *(1+VLOOKUP($C$2,LISTAS[],3,FALSE))
)
/5,0)*5</f>
        <v>284500</v>
      </c>
      <c r="O29" s="65">
        <f t="array" ref="O29">ROUND(
IF($A$2="COSTO",
   ((B29*(1+IFERROR(VLOOKUP($D$2,COLORES[],2,FALSE),0)))+H29)
   *(1-IFERROR(_xlfn.XLOOKUP(1,(DESC_PROV[LINEA]=$B$2)*(DESC_PROV[LISTA]=$C$2),DESC_PROV[DESCUENTO]),0)),
   ((B29*(1+IFERROR(VLOOKUP($D$2,COLORES[],2,FALSE),0)))+H29)
   *(1-IFERROR(_xlfn.XLOOKUP(1,(DESC_PROV[LINEA]=$B$2)*(DESC_PROV[LISTA]=$C$2),DESC_PROV[DESCUENTO]),0))
   *(1+VLOOKUP($C$2,LISTAS[],2,FALSE))
   *(1+VLOOKUP($C$2,LISTAS[],3,FALSE))
)
/5,0)*5</f>
        <v>413175</v>
      </c>
      <c r="P29" s="65">
        <f t="array" ref="P29">ROUND(
IF($A$2="COSTO",
   (C29*(1+IFERROR(VLOOKUP($D$2,COLORES[],2,FALSE),0)))
   *(1-IFERROR(_xlfn.XLOOKUP(1,(DESC_PROV[LINEA]=$B$2)*(DESC_PROV[LISTA]=$C$2),DESC_PROV[DESCUENTO]),0)),
   (C29*(1+IFERROR(VLOOKUP($D$2,COLORES[],2,FALSE),0)))
   *(1-IFERROR(_xlfn.XLOOKUP(1,(DESC_PROV[LINEA]=$B$2)*(DESC_PROV[LISTA]=$C$2),DESC_PROV[DESCUENTO]),0))
   *(1+VLOOKUP($C$2,LISTAS[],2,FALSE))
   *(1+VLOOKUP($C$2,LISTAS[],3,FALSE))
)
/5,0)*5</f>
        <v>22055</v>
      </c>
      <c r="Q29" s="65">
        <f t="array" ref="Q29">ROUND(
IF($A$2="COSTO",
   (D29*(1+IFERROR(VLOOKUP($D$2,COLORES[],2,FALSE),0)))
   *(1-IFERROR(_xlfn.XLOOKUP(1,(DESC_PROV[LINEA]=$B$2)*(DESC_PROV[LISTA]=$C$2),DESC_PROV[DESCUENTO]),0)),
   (D29*(1+IFERROR(VLOOKUP($D$2,COLORES[],2,FALSE),0)))
   *(1-IFERROR(_xlfn.XLOOKUP(1,(DESC_PROV[LINEA]=$B$2)*(DESC_PROV[LISTA]=$C$2),DESC_PROV[DESCUENTO]),0))
   *(1+VLOOKUP($C$2,LISTAS[],2,FALSE))
   *(1+VLOOKUP($C$2,LISTAS[],4,FALSE))
)
/5,0)*5</f>
        <v>57570</v>
      </c>
      <c r="R29" s="66">
        <f t="array" ref="R29">ROUND(
IF($A$2="COSTO",
   ((B29*(1+IFERROR(VLOOKUP($D$2,COLORES[],2,FALSE),0)))+(F29+I29+F29))
   *(1-IFERROR(_xlfn.XLOOKUP(1,(DESC_PROV[LINEA]=$B$2)*(DESC_PROV[LISTA]=$C$2),DESC_PROV[DESCUENTO]),0)),
   ((B29*(1+IFERROR(VLOOKUP($D$2,COLORES[],2,FALSE),0)))+(F29+I29+F29))
   *(1-IFERROR(_xlfn.XLOOKUP(1,(DESC_PROV[LINEA]=$B$2)*(DESC_PROV[LISTA]=$C$2),DESC_PROV[DESCUENTO]),0))
   *(1+VLOOKUP($C$2,LISTAS[],2,FALSE))
   *(1+VLOOKUP($C$2,LISTAS[],3,FALSE))
)
/5,0)*5</f>
        <v>449580</v>
      </c>
    </row>
    <row r="30" spans="1:18">
      <c r="A30" s="107" t="s">
        <v>105</v>
      </c>
      <c r="B30" s="64">
        <v>188250</v>
      </c>
      <c r="C30" s="64">
        <v>17209</v>
      </c>
      <c r="D30" s="64">
        <v>38950</v>
      </c>
      <c r="E30" s="64">
        <v>32148</v>
      </c>
      <c r="F30" s="64">
        <v>38940</v>
      </c>
      <c r="G30" s="64">
        <v>51282</v>
      </c>
      <c r="H30" s="64">
        <v>160539</v>
      </c>
      <c r="I30" s="64">
        <v>108354</v>
      </c>
      <c r="J30" s="2"/>
      <c r="K30" s="107" t="s">
        <v>105</v>
      </c>
      <c r="L30" s="65">
        <f t="array" ref="L30">ROUND(
IF($A$2="COSTO",
   ((B30*(1+IFERROR(VLOOKUP($D$2,COLORES[],2,FALSE),0)))+E30)
   *(1-IFERROR(_xlfn.XLOOKUP(1,(DESC_PROV[LINEA]=$B$2)*(DESC_PROV[LISTA]=$C$2),DESC_PROV[DESCUENTO]),0)),
   ((B30*(1+IFERROR(VLOOKUP($D$2,COLORES[],2,FALSE),0)))+E30)
   *(1-IFERROR(_xlfn.XLOOKUP(1,(DESC_PROV[LINEA]=$B$2)*(DESC_PROV[LISTA]=$C$2),DESC_PROV[DESCUENTO]),0))
   *(1+VLOOKUP($C$2,LISTAS[],2,FALSE))
   *(1+VLOOKUP($C$2,LISTAS[],3,FALSE))
)
/5,0)*5</f>
        <v>282450</v>
      </c>
      <c r="M30" s="65">
        <f t="array" ref="M30">ROUND(
IF($A$2="COSTO",
   ((B30*(1+IFERROR(VLOOKUP($D$2,COLORES[],2,FALSE),0)))+F30)
   *(1-IFERROR(_xlfn.XLOOKUP(1,(DESC_PROV[LINEA]=$B$2)*(DESC_PROV[LISTA]=$C$2),DESC_PROV[DESCUENTO]),0)),
   ((B30*(1+IFERROR(VLOOKUP($D$2,COLORES[],2,FALSE),0)))+F30)
   *(1-IFERROR(_xlfn.XLOOKUP(1,(DESC_PROV[LINEA]=$B$2)*(DESC_PROV[LISTA]=$C$2),DESC_PROV[DESCUENTO]),0))
   *(1+VLOOKUP($C$2,LISTAS[],2,FALSE))
   *(1+VLOOKUP($C$2,LISTAS[],3,FALSE))
)
/5,0)*5</f>
        <v>291155</v>
      </c>
      <c r="N30" s="65">
        <f t="array" ref="N30">ROUND(
IF($A$2="COSTO",
   ((B30*(1+IFERROR(VLOOKUP($D$2,COLORES[],2,FALSE),0)))+G30)
   *(1-IFERROR(_xlfn.XLOOKUP(1,(DESC_PROV[LINEA]=$B$2)*(DESC_PROV[LISTA]=$C$2),DESC_PROV[DESCUENTO]),0)),
   ((B30*(1+IFERROR(VLOOKUP($D$2,COLORES[],2,FALSE),0)))+G30)
   *(1-IFERROR(_xlfn.XLOOKUP(1,(DESC_PROV[LINEA]=$B$2)*(DESC_PROV[LISTA]=$C$2),DESC_PROV[DESCUENTO]),0))
   *(1+VLOOKUP($C$2,LISTAS[],2,FALSE))
   *(1+VLOOKUP($C$2,LISTAS[],3,FALSE))
)
/5,0)*5</f>
        <v>306970</v>
      </c>
      <c r="O30" s="65">
        <f t="array" ref="O30">ROUND(
IF($A$2="COSTO",
   ((B30*(1+IFERROR(VLOOKUP($D$2,COLORES[],2,FALSE),0)))+H30)
   *(1-IFERROR(_xlfn.XLOOKUP(1,(DESC_PROV[LINEA]=$B$2)*(DESC_PROV[LISTA]=$C$2),DESC_PROV[DESCUENTO]),0)),
   ((B30*(1+IFERROR(VLOOKUP($D$2,COLORES[],2,FALSE),0)))+H30)
   *(1-IFERROR(_xlfn.XLOOKUP(1,(DESC_PROV[LINEA]=$B$2)*(DESC_PROV[LISTA]=$C$2),DESC_PROV[DESCUENTO]),0))
   *(1+VLOOKUP($C$2,LISTAS[],2,FALSE))
   *(1+VLOOKUP($C$2,LISTAS[],3,FALSE))
)
/5,0)*5</f>
        <v>446985</v>
      </c>
      <c r="P30" s="65">
        <f t="array" ref="P30">ROUND(
IF($A$2="COSTO",
   (C30*(1+IFERROR(VLOOKUP($D$2,COLORES[],2,FALSE),0)))
   *(1-IFERROR(_xlfn.XLOOKUP(1,(DESC_PROV[LINEA]=$B$2)*(DESC_PROV[LISTA]=$C$2),DESC_PROV[DESCUENTO]),0)),
   (C30*(1+IFERROR(VLOOKUP($D$2,COLORES[],2,FALSE),0)))
   *(1-IFERROR(_xlfn.XLOOKUP(1,(DESC_PROV[LINEA]=$B$2)*(DESC_PROV[LISTA]=$C$2),DESC_PROV[DESCUENTO]),0))
   *(1+VLOOKUP($C$2,LISTAS[],2,FALSE))
   *(1+VLOOKUP($C$2,LISTAS[],3,FALSE))
)
/5,0)*5</f>
        <v>22055</v>
      </c>
      <c r="Q30" s="65">
        <f t="array" ref="Q30">ROUND(
IF($A$2="COSTO",
   (D30*(1+IFERROR(VLOOKUP($D$2,COLORES[],2,FALSE),0)))
   *(1-IFERROR(_xlfn.XLOOKUP(1,(DESC_PROV[LINEA]=$B$2)*(DESC_PROV[LISTA]=$C$2),DESC_PROV[DESCUENTO]),0)),
   (D30*(1+IFERROR(VLOOKUP($D$2,COLORES[],2,FALSE),0)))
   *(1-IFERROR(_xlfn.XLOOKUP(1,(DESC_PROV[LINEA]=$B$2)*(DESC_PROV[LISTA]=$C$2),DESC_PROV[DESCUENTO]),0))
   *(1+VLOOKUP($C$2,LISTAS[],2,FALSE))
   *(1+VLOOKUP($C$2,LISTAS[],4,FALSE))
)
/5,0)*5</f>
        <v>61435</v>
      </c>
      <c r="R30" s="66">
        <f t="array" ref="R30">ROUND(
IF($A$2="COSTO",
   ((B30*(1+IFERROR(VLOOKUP($D$2,COLORES[],2,FALSE),0)))+(F30+I30+F30))
   *(1-IFERROR(_xlfn.XLOOKUP(1,(DESC_PROV[LINEA]=$B$2)*(DESC_PROV[LISTA]=$C$2),DESC_PROV[DESCUENTO]),0)),
   ((B30*(1+IFERROR(VLOOKUP($D$2,COLORES[],2,FALSE),0)))+(F30+I30+F30))
   *(1-IFERROR(_xlfn.XLOOKUP(1,(DESC_PROV[LINEA]=$B$2)*(DESC_PROV[LISTA]=$C$2),DESC_PROV[DESCUENTO]),0))
   *(1+VLOOKUP($C$2,LISTAS[],2,FALSE))
   *(1+VLOOKUP($C$2,LISTAS[],3,FALSE))
)
/5,0)*5</f>
        <v>479915</v>
      </c>
    </row>
    <row r="31" spans="1:18">
      <c r="A31" s="107" t="s">
        <v>106</v>
      </c>
      <c r="B31" s="64">
        <v>199994</v>
      </c>
      <c r="C31" s="64">
        <v>17209</v>
      </c>
      <c r="D31" s="64">
        <v>41400</v>
      </c>
      <c r="E31" s="64">
        <v>35208</v>
      </c>
      <c r="F31" s="64">
        <v>42648</v>
      </c>
      <c r="G31" s="64">
        <v>56166</v>
      </c>
      <c r="H31" s="64">
        <v>175824</v>
      </c>
      <c r="I31" s="64">
        <v>113513</v>
      </c>
      <c r="J31" s="2"/>
      <c r="K31" s="107" t="s">
        <v>106</v>
      </c>
      <c r="L31" s="65">
        <f t="array" ref="L31">ROUND(
IF($A$2="COSTO",
   ((B31*(1+IFERROR(VLOOKUP($D$2,COLORES[],2,FALSE),0)))+E31)
   *(1-IFERROR(_xlfn.XLOOKUP(1,(DESC_PROV[LINEA]=$B$2)*(DESC_PROV[LISTA]=$C$2),DESC_PROV[DESCUENTO]),0)),
   ((B31*(1+IFERROR(VLOOKUP($D$2,COLORES[],2,FALSE),0)))+E31)
   *(1-IFERROR(_xlfn.XLOOKUP(1,(DESC_PROV[LINEA]=$B$2)*(DESC_PROV[LISTA]=$C$2),DESC_PROV[DESCUENTO]),0))
   *(1+VLOOKUP($C$2,LISTAS[],2,FALSE))
   *(1+VLOOKUP($C$2,LISTAS[],3,FALSE))
)
/5,0)*5</f>
        <v>301420</v>
      </c>
      <c r="M31" s="65">
        <f t="array" ref="M31">ROUND(
IF($A$2="COSTO",
   ((B31*(1+IFERROR(VLOOKUP($D$2,COLORES[],2,FALSE),0)))+F31)
   *(1-IFERROR(_xlfn.XLOOKUP(1,(DESC_PROV[LINEA]=$B$2)*(DESC_PROV[LISTA]=$C$2),DESC_PROV[DESCUENTO]),0)),
   ((B31*(1+IFERROR(VLOOKUP($D$2,COLORES[],2,FALSE),0)))+F31)
   *(1-IFERROR(_xlfn.XLOOKUP(1,(DESC_PROV[LINEA]=$B$2)*(DESC_PROV[LISTA]=$C$2),DESC_PROV[DESCUENTO]),0))
   *(1+VLOOKUP($C$2,LISTAS[],2,FALSE))
   *(1+VLOOKUP($C$2,LISTAS[],3,FALSE))
)
/5,0)*5</f>
        <v>310955</v>
      </c>
      <c r="N31" s="65">
        <f t="array" ref="N31">ROUND(
IF($A$2="COSTO",
   ((B31*(1+IFERROR(VLOOKUP($D$2,COLORES[],2,FALSE),0)))+G31)
   *(1-IFERROR(_xlfn.XLOOKUP(1,(DESC_PROV[LINEA]=$B$2)*(DESC_PROV[LISTA]=$C$2),DESC_PROV[DESCUENTO]),0)),
   ((B31*(1+IFERROR(VLOOKUP($D$2,COLORES[],2,FALSE),0)))+G31)
   *(1-IFERROR(_xlfn.XLOOKUP(1,(DESC_PROV[LINEA]=$B$2)*(DESC_PROV[LISTA]=$C$2),DESC_PROV[DESCUENTO]),0))
   *(1+VLOOKUP($C$2,LISTAS[],2,FALSE))
   *(1+VLOOKUP($C$2,LISTAS[],3,FALSE))
)
/5,0)*5</f>
        <v>328280</v>
      </c>
      <c r="O31" s="65">
        <f t="array" ref="O31">ROUND(
IF($A$2="COSTO",
   ((B31*(1+IFERROR(VLOOKUP($D$2,COLORES[],2,FALSE),0)))+H31)
   *(1-IFERROR(_xlfn.XLOOKUP(1,(DESC_PROV[LINEA]=$B$2)*(DESC_PROV[LISTA]=$C$2),DESC_PROV[DESCUENTO]),0)),
   ((B31*(1+IFERROR(VLOOKUP($D$2,COLORES[],2,FALSE),0)))+H31)
   *(1-IFERROR(_xlfn.XLOOKUP(1,(DESC_PROV[LINEA]=$B$2)*(DESC_PROV[LISTA]=$C$2),DESC_PROV[DESCUENTO]),0))
   *(1+VLOOKUP($C$2,LISTAS[],2,FALSE))
   *(1+VLOOKUP($C$2,LISTAS[],3,FALSE))
)
/5,0)*5</f>
        <v>481625</v>
      </c>
      <c r="P31" s="65">
        <f t="array" ref="P31">ROUND(
IF($A$2="COSTO",
   (C31*(1+IFERROR(VLOOKUP($D$2,COLORES[],2,FALSE),0)))
   *(1-IFERROR(_xlfn.XLOOKUP(1,(DESC_PROV[LINEA]=$B$2)*(DESC_PROV[LISTA]=$C$2),DESC_PROV[DESCUENTO]),0)),
   (C31*(1+IFERROR(VLOOKUP($D$2,COLORES[],2,FALSE),0)))
   *(1-IFERROR(_xlfn.XLOOKUP(1,(DESC_PROV[LINEA]=$B$2)*(DESC_PROV[LISTA]=$C$2),DESC_PROV[DESCUENTO]),0))
   *(1+VLOOKUP($C$2,LISTAS[],2,FALSE))
   *(1+VLOOKUP($C$2,LISTAS[],3,FALSE))
)
/5,0)*5</f>
        <v>22055</v>
      </c>
      <c r="Q31" s="65">
        <f t="array" ref="Q31">ROUND(
IF($A$2="COSTO",
   (D31*(1+IFERROR(VLOOKUP($D$2,COLORES[],2,FALSE),0)))
   *(1-IFERROR(_xlfn.XLOOKUP(1,(DESC_PROV[LINEA]=$B$2)*(DESC_PROV[LISTA]=$C$2),DESC_PROV[DESCUENTO]),0)),
   (D31*(1+IFERROR(VLOOKUP($D$2,COLORES[],2,FALSE),0)))
   *(1-IFERROR(_xlfn.XLOOKUP(1,(DESC_PROV[LINEA]=$B$2)*(DESC_PROV[LISTA]=$C$2),DESC_PROV[DESCUENTO]),0))
   *(1+VLOOKUP($C$2,LISTAS[],2,FALSE))
   *(1+VLOOKUP($C$2,LISTAS[],4,FALSE))
)
/5,0)*5</f>
        <v>65300</v>
      </c>
      <c r="R31" s="66">
        <f t="array" ref="R31">ROUND(
IF($A$2="COSTO",
   ((B31*(1+IFERROR(VLOOKUP($D$2,COLORES[],2,FALSE),0)))+(F31+I31+F31))
   *(1-IFERROR(_xlfn.XLOOKUP(1,(DESC_PROV[LINEA]=$B$2)*(DESC_PROV[LISTA]=$C$2),DESC_PROV[DESCUENTO]),0)),
   ((B31*(1+IFERROR(VLOOKUP($D$2,COLORES[],2,FALSE),0)))+(F31+I31+F31))
   *(1-IFERROR(_xlfn.XLOOKUP(1,(DESC_PROV[LINEA]=$B$2)*(DESC_PROV[LISTA]=$C$2),DESC_PROV[DESCUENTO]),0))
   *(1+VLOOKUP($C$2,LISTAS[],2,FALSE))
   *(1+VLOOKUP($C$2,LISTAS[],3,FALSE))
)
/5,0)*5</f>
        <v>511080</v>
      </c>
    </row>
    <row r="32" spans="1:18">
      <c r="A32" s="107" t="s">
        <v>58</v>
      </c>
      <c r="B32" s="64">
        <v>127825</v>
      </c>
      <c r="C32" s="64">
        <v>18929</v>
      </c>
      <c r="D32" s="64">
        <v>26075</v>
      </c>
      <c r="E32" s="64">
        <v>15312</v>
      </c>
      <c r="F32" s="64">
        <v>18546</v>
      </c>
      <c r="G32" s="64">
        <v>24420</v>
      </c>
      <c r="H32" s="64">
        <v>76449</v>
      </c>
      <c r="I32" s="64">
        <v>82555</v>
      </c>
      <c r="J32" s="2"/>
      <c r="K32" s="107" t="s">
        <v>58</v>
      </c>
      <c r="L32" s="65">
        <f t="array" ref="L32">ROUND(
IF($A$2="COSTO",
   ((B32*(1+IFERROR(VLOOKUP($D$2,COLORES[],2,FALSE),0)))+E32)
   *(1-IFERROR(_xlfn.XLOOKUP(1,(DESC_PROV[LINEA]=$B$2)*(DESC_PROV[LISTA]=$C$2),DESC_PROV[DESCUENTO]),0)),
   ((B32*(1+IFERROR(VLOOKUP($D$2,COLORES[],2,FALSE),0)))+E32)
   *(1-IFERROR(_xlfn.XLOOKUP(1,(DESC_PROV[LINEA]=$B$2)*(DESC_PROV[LISTA]=$C$2),DESC_PROV[DESCUENTO]),0))
   *(1+VLOOKUP($C$2,LISTAS[],2,FALSE))
   *(1+VLOOKUP($C$2,LISTAS[],3,FALSE))
)
/5,0)*5</f>
        <v>183435</v>
      </c>
      <c r="M32" s="65">
        <f t="array" ref="M32">ROUND(
IF($A$2="COSTO",
   ((B32*(1+IFERROR(VLOOKUP($D$2,COLORES[],2,FALSE),0)))+F32)
   *(1-IFERROR(_xlfn.XLOOKUP(1,(DESC_PROV[LINEA]=$B$2)*(DESC_PROV[LISTA]=$C$2),DESC_PROV[DESCUENTO]),0)),
   ((B32*(1+IFERROR(VLOOKUP($D$2,COLORES[],2,FALSE),0)))+F32)
   *(1-IFERROR(_xlfn.XLOOKUP(1,(DESC_PROV[LINEA]=$B$2)*(DESC_PROV[LISTA]=$C$2),DESC_PROV[DESCUENTO]),0))
   *(1+VLOOKUP($C$2,LISTAS[],2,FALSE))
   *(1+VLOOKUP($C$2,LISTAS[],3,FALSE))
)
/5,0)*5</f>
        <v>187580</v>
      </c>
      <c r="N32" s="65">
        <f t="array" ref="N32">ROUND(
IF($A$2="COSTO",
   ((B32*(1+IFERROR(VLOOKUP($D$2,COLORES[],2,FALSE),0)))+G32)
   *(1-IFERROR(_xlfn.XLOOKUP(1,(DESC_PROV[LINEA]=$B$2)*(DESC_PROV[LISTA]=$C$2),DESC_PROV[DESCUENTO]),0)),
   ((B32*(1+IFERROR(VLOOKUP($D$2,COLORES[],2,FALSE),0)))+G32)
   *(1-IFERROR(_xlfn.XLOOKUP(1,(DESC_PROV[LINEA]=$B$2)*(DESC_PROV[LISTA]=$C$2),DESC_PROV[DESCUENTO]),0))
   *(1+VLOOKUP($C$2,LISTAS[],2,FALSE))
   *(1+VLOOKUP($C$2,LISTAS[],3,FALSE))
)
/5,0)*5</f>
        <v>195110</v>
      </c>
      <c r="O32" s="65">
        <f t="array" ref="O32">ROUND(
IF($A$2="COSTO",
   ((B32*(1+IFERROR(VLOOKUP($D$2,COLORES[],2,FALSE),0)))+H32)
   *(1-IFERROR(_xlfn.XLOOKUP(1,(DESC_PROV[LINEA]=$B$2)*(DESC_PROV[LISTA]=$C$2),DESC_PROV[DESCUENTO]),0)),
   ((B32*(1+IFERROR(VLOOKUP($D$2,COLORES[],2,FALSE),0)))+H32)
   *(1-IFERROR(_xlfn.XLOOKUP(1,(DESC_PROV[LINEA]=$B$2)*(DESC_PROV[LISTA]=$C$2),DESC_PROV[DESCUENTO]),0))
   *(1+VLOOKUP($C$2,LISTAS[],2,FALSE))
   *(1+VLOOKUP($C$2,LISTAS[],3,FALSE))
)
/5,0)*5</f>
        <v>261785</v>
      </c>
      <c r="P32" s="65">
        <f t="array" ref="P32">ROUND(
IF($A$2="COSTO",
   (C32*(1+IFERROR(VLOOKUP($D$2,COLORES[],2,FALSE),0)))
   *(1-IFERROR(_xlfn.XLOOKUP(1,(DESC_PROV[LINEA]=$B$2)*(DESC_PROV[LISTA]=$C$2),DESC_PROV[DESCUENTO]),0)),
   (C32*(1+IFERROR(VLOOKUP($D$2,COLORES[],2,FALSE),0)))
   *(1-IFERROR(_xlfn.XLOOKUP(1,(DESC_PROV[LINEA]=$B$2)*(DESC_PROV[LISTA]=$C$2),DESC_PROV[DESCUENTO]),0))
   *(1+VLOOKUP($C$2,LISTAS[],2,FALSE))
   *(1+VLOOKUP($C$2,LISTAS[],3,FALSE))
)
/5,0)*5</f>
        <v>24260</v>
      </c>
      <c r="Q32" s="65">
        <f t="array" ref="Q32">ROUND(
IF($A$2="COSTO",
   (D32*(1+IFERROR(VLOOKUP($D$2,COLORES[],2,FALSE),0)))
   *(1-IFERROR(_xlfn.XLOOKUP(1,(DESC_PROV[LINEA]=$B$2)*(DESC_PROV[LISTA]=$C$2),DESC_PROV[DESCUENTO]),0)),
   (D32*(1+IFERROR(VLOOKUP($D$2,COLORES[],2,FALSE),0)))
   *(1-IFERROR(_xlfn.XLOOKUP(1,(DESC_PROV[LINEA]=$B$2)*(DESC_PROV[LISTA]=$C$2),DESC_PROV[DESCUENTO]),0))
   *(1+VLOOKUP($C$2,LISTAS[],2,FALSE))
   *(1+VLOOKUP($C$2,LISTAS[],4,FALSE))
)
/5,0)*5</f>
        <v>41130</v>
      </c>
      <c r="R32" s="66">
        <f t="array" ref="R32">ROUND(
IF($A$2="COSTO",
   ((B32*(1+IFERROR(VLOOKUP($D$2,COLORES[],2,FALSE),0)))+(F32+I32+F32))
   *(1-IFERROR(_xlfn.XLOOKUP(1,(DESC_PROV[LINEA]=$B$2)*(DESC_PROV[LISTA]=$C$2),DESC_PROV[DESCUENTO]),0)),
   ((B32*(1+IFERROR(VLOOKUP($D$2,COLORES[],2,FALSE),0)))+(F32+I32+F32))
   *(1-IFERROR(_xlfn.XLOOKUP(1,(DESC_PROV[LINEA]=$B$2)*(DESC_PROV[LISTA]=$C$2),DESC_PROV[DESCUENTO]),0))
   *(1+VLOOKUP($C$2,LISTAS[],2,FALSE))
   *(1+VLOOKUP($C$2,LISTAS[],3,FALSE))
)
/5,0)*5</f>
        <v>317145</v>
      </c>
    </row>
    <row r="33" spans="1:18">
      <c r="A33" s="107" t="s">
        <v>59</v>
      </c>
      <c r="B33" s="64">
        <v>137575</v>
      </c>
      <c r="C33" s="64">
        <v>18929</v>
      </c>
      <c r="D33" s="64">
        <v>28650</v>
      </c>
      <c r="E33" s="64">
        <v>18708</v>
      </c>
      <c r="F33" s="64">
        <v>22662</v>
      </c>
      <c r="G33" s="64">
        <v>29844</v>
      </c>
      <c r="H33" s="64">
        <v>93431</v>
      </c>
      <c r="I33" s="64">
        <v>87715</v>
      </c>
      <c r="J33" s="2"/>
      <c r="K33" s="107" t="s">
        <v>59</v>
      </c>
      <c r="L33" s="65">
        <f t="array" ref="L33">ROUND(
IF($A$2="COSTO",
   ((B33*(1+IFERROR(VLOOKUP($D$2,COLORES[],2,FALSE),0)))+E33)
   *(1-IFERROR(_xlfn.XLOOKUP(1,(DESC_PROV[LINEA]=$B$2)*(DESC_PROV[LISTA]=$C$2),DESC_PROV[DESCUENTO]),0)),
   ((B33*(1+IFERROR(VLOOKUP($D$2,COLORES[],2,FALSE),0)))+E33)
   *(1-IFERROR(_xlfn.XLOOKUP(1,(DESC_PROV[LINEA]=$B$2)*(DESC_PROV[LISTA]=$C$2),DESC_PROV[DESCUENTO]),0))
   *(1+VLOOKUP($C$2,LISTAS[],2,FALSE))
   *(1+VLOOKUP($C$2,LISTAS[],3,FALSE))
)
/5,0)*5</f>
        <v>200285</v>
      </c>
      <c r="M33" s="65">
        <f t="array" ref="M33">ROUND(
IF($A$2="COSTO",
   ((B33*(1+IFERROR(VLOOKUP($D$2,COLORES[],2,FALSE),0)))+F33)
   *(1-IFERROR(_xlfn.XLOOKUP(1,(DESC_PROV[LINEA]=$B$2)*(DESC_PROV[LISTA]=$C$2),DESC_PROV[DESCUENTO]),0)),
   ((B33*(1+IFERROR(VLOOKUP($D$2,COLORES[],2,FALSE),0)))+F33)
   *(1-IFERROR(_xlfn.XLOOKUP(1,(DESC_PROV[LINEA]=$B$2)*(DESC_PROV[LISTA]=$C$2),DESC_PROV[DESCUENTO]),0))
   *(1+VLOOKUP($C$2,LISTAS[],2,FALSE))
   *(1+VLOOKUP($C$2,LISTAS[],3,FALSE))
)
/5,0)*5</f>
        <v>205350</v>
      </c>
      <c r="N33" s="65">
        <f t="array" ref="N33">ROUND(
IF($A$2="COSTO",
   ((B33*(1+IFERROR(VLOOKUP($D$2,COLORES[],2,FALSE),0)))+G33)
   *(1-IFERROR(_xlfn.XLOOKUP(1,(DESC_PROV[LINEA]=$B$2)*(DESC_PROV[LISTA]=$C$2),DESC_PROV[DESCUENTO]),0)),
   ((B33*(1+IFERROR(VLOOKUP($D$2,COLORES[],2,FALSE),0)))+G33)
   *(1-IFERROR(_xlfn.XLOOKUP(1,(DESC_PROV[LINEA]=$B$2)*(DESC_PROV[LISTA]=$C$2),DESC_PROV[DESCUENTO]),0))
   *(1+VLOOKUP($C$2,LISTAS[],2,FALSE))
   *(1+VLOOKUP($C$2,LISTAS[],3,FALSE))
)
/5,0)*5</f>
        <v>214555</v>
      </c>
      <c r="O33" s="65">
        <f t="array" ref="O33">ROUND(
IF($A$2="COSTO",
   ((B33*(1+IFERROR(VLOOKUP($D$2,COLORES[],2,FALSE),0)))+H33)
   *(1-IFERROR(_xlfn.XLOOKUP(1,(DESC_PROV[LINEA]=$B$2)*(DESC_PROV[LISTA]=$C$2),DESC_PROV[DESCUENTO]),0)),
   ((B33*(1+IFERROR(VLOOKUP($D$2,COLORES[],2,FALSE),0)))+H33)
   *(1-IFERROR(_xlfn.XLOOKUP(1,(DESC_PROV[LINEA]=$B$2)*(DESC_PROV[LISTA]=$C$2),DESC_PROV[DESCUENTO]),0))
   *(1+VLOOKUP($C$2,LISTAS[],2,FALSE))
   *(1+VLOOKUP($C$2,LISTAS[],3,FALSE))
)
/5,0)*5</f>
        <v>296045</v>
      </c>
      <c r="P33" s="65">
        <f t="array" ref="P33">ROUND(
IF($A$2="COSTO",
   (C33*(1+IFERROR(VLOOKUP($D$2,COLORES[],2,FALSE),0)))
   *(1-IFERROR(_xlfn.XLOOKUP(1,(DESC_PROV[LINEA]=$B$2)*(DESC_PROV[LISTA]=$C$2),DESC_PROV[DESCUENTO]),0)),
   (C33*(1+IFERROR(VLOOKUP($D$2,COLORES[],2,FALSE),0)))
   *(1-IFERROR(_xlfn.XLOOKUP(1,(DESC_PROV[LINEA]=$B$2)*(DESC_PROV[LISTA]=$C$2),DESC_PROV[DESCUENTO]),0))
   *(1+VLOOKUP($C$2,LISTAS[],2,FALSE))
   *(1+VLOOKUP($C$2,LISTAS[],3,FALSE))
)
/5,0)*5</f>
        <v>24260</v>
      </c>
      <c r="Q33" s="65">
        <f t="array" ref="Q33">ROUND(
IF($A$2="COSTO",
   (D33*(1+IFERROR(VLOOKUP($D$2,COLORES[],2,FALSE),0)))
   *(1-IFERROR(_xlfn.XLOOKUP(1,(DESC_PROV[LINEA]=$B$2)*(DESC_PROV[LISTA]=$C$2),DESC_PROV[DESCUENTO]),0)),
   (D33*(1+IFERROR(VLOOKUP($D$2,COLORES[],2,FALSE),0)))
   *(1-IFERROR(_xlfn.XLOOKUP(1,(DESC_PROV[LINEA]=$B$2)*(DESC_PROV[LISTA]=$C$2),DESC_PROV[DESCUENTO]),0))
   *(1+VLOOKUP($C$2,LISTAS[],2,FALSE))
   *(1+VLOOKUP($C$2,LISTAS[],4,FALSE))
)
/5,0)*5</f>
        <v>45190</v>
      </c>
      <c r="R33" s="66">
        <f t="array" ref="R33">ROUND(
IF($A$2="COSTO",
   ((B33*(1+IFERROR(VLOOKUP($D$2,COLORES[],2,FALSE),0)))+(F33+I33+F33))
   *(1-IFERROR(_xlfn.XLOOKUP(1,(DESC_PROV[LINEA]=$B$2)*(DESC_PROV[LISTA]=$C$2),DESC_PROV[DESCUENTO]),0)),
   ((B33*(1+IFERROR(VLOOKUP($D$2,COLORES[],2,FALSE),0)))+(F33+I33+F33))
   *(1-IFERROR(_xlfn.XLOOKUP(1,(DESC_PROV[LINEA]=$B$2)*(DESC_PROV[LISTA]=$C$2),DESC_PROV[DESCUENTO]),0))
   *(1+VLOOKUP($C$2,LISTAS[],2,FALSE))
   *(1+VLOOKUP($C$2,LISTAS[],3,FALSE))
)
/5,0)*5</f>
        <v>346805</v>
      </c>
    </row>
    <row r="34" spans="1:18">
      <c r="A34" s="107" t="s">
        <v>60</v>
      </c>
      <c r="B34" s="64">
        <v>155000</v>
      </c>
      <c r="C34" s="64">
        <v>18929</v>
      </c>
      <c r="D34" s="64">
        <v>32513</v>
      </c>
      <c r="E34" s="64">
        <v>23814</v>
      </c>
      <c r="F34" s="64">
        <v>28848</v>
      </c>
      <c r="G34" s="64">
        <v>37986</v>
      </c>
      <c r="H34" s="64">
        <v>118919</v>
      </c>
      <c r="I34" s="64">
        <v>95454</v>
      </c>
      <c r="J34" s="2"/>
      <c r="K34" s="107" t="s">
        <v>60</v>
      </c>
      <c r="L34" s="65">
        <f t="array" ref="L34">ROUND(
IF($A$2="COSTO",
   ((B34*(1+IFERROR(VLOOKUP($D$2,COLORES[],2,FALSE),0)))+E34)
   *(1-IFERROR(_xlfn.XLOOKUP(1,(DESC_PROV[LINEA]=$B$2)*(DESC_PROV[LISTA]=$C$2),DESC_PROV[DESCUENTO]),0)),
   ((B34*(1+IFERROR(VLOOKUP($D$2,COLORES[],2,FALSE),0)))+E34)
   *(1-IFERROR(_xlfn.XLOOKUP(1,(DESC_PROV[LINEA]=$B$2)*(DESC_PROV[LISTA]=$C$2),DESC_PROV[DESCUENTO]),0))
   *(1+VLOOKUP($C$2,LISTAS[],2,FALSE))
   *(1+VLOOKUP($C$2,LISTAS[],3,FALSE))
)
/5,0)*5</f>
        <v>229155</v>
      </c>
      <c r="M34" s="65">
        <f t="array" ref="M34">ROUND(
IF($A$2="COSTO",
   ((B34*(1+IFERROR(VLOOKUP($D$2,COLORES[],2,FALSE),0)))+F34)
   *(1-IFERROR(_xlfn.XLOOKUP(1,(DESC_PROV[LINEA]=$B$2)*(DESC_PROV[LISTA]=$C$2),DESC_PROV[DESCUENTO]),0)),
   ((B34*(1+IFERROR(VLOOKUP($D$2,COLORES[],2,FALSE),0)))+F34)
   *(1-IFERROR(_xlfn.XLOOKUP(1,(DESC_PROV[LINEA]=$B$2)*(DESC_PROV[LISTA]=$C$2),DESC_PROV[DESCUENTO]),0))
   *(1+VLOOKUP($C$2,LISTAS[],2,FALSE))
   *(1+VLOOKUP($C$2,LISTAS[],3,FALSE))
)
/5,0)*5</f>
        <v>235610</v>
      </c>
      <c r="N34" s="65">
        <f t="array" ref="N34">ROUND(
IF($A$2="COSTO",
   ((B34*(1+IFERROR(VLOOKUP($D$2,COLORES[],2,FALSE),0)))+G34)
   *(1-IFERROR(_xlfn.XLOOKUP(1,(DESC_PROV[LINEA]=$B$2)*(DESC_PROV[LISTA]=$C$2),DESC_PROV[DESCUENTO]),0)),
   ((B34*(1+IFERROR(VLOOKUP($D$2,COLORES[],2,FALSE),0)))+G34)
   *(1-IFERROR(_xlfn.XLOOKUP(1,(DESC_PROV[LINEA]=$B$2)*(DESC_PROV[LISTA]=$C$2),DESC_PROV[DESCUENTO]),0))
   *(1+VLOOKUP($C$2,LISTAS[],2,FALSE))
   *(1+VLOOKUP($C$2,LISTAS[],3,FALSE))
)
/5,0)*5</f>
        <v>247320</v>
      </c>
      <c r="O34" s="65">
        <f t="array" ref="O34">ROUND(
IF($A$2="COSTO",
   ((B34*(1+IFERROR(VLOOKUP($D$2,COLORES[],2,FALSE),0)))+H34)
   *(1-IFERROR(_xlfn.XLOOKUP(1,(DESC_PROV[LINEA]=$B$2)*(DESC_PROV[LISTA]=$C$2),DESC_PROV[DESCUENTO]),0)),
   ((B34*(1+IFERROR(VLOOKUP($D$2,COLORES[],2,FALSE),0)))+H34)
   *(1-IFERROR(_xlfn.XLOOKUP(1,(DESC_PROV[LINEA]=$B$2)*(DESC_PROV[LISTA]=$C$2),DESC_PROV[DESCUENTO]),0))
   *(1+VLOOKUP($C$2,LISTAS[],2,FALSE))
   *(1+VLOOKUP($C$2,LISTAS[],3,FALSE))
)
/5,0)*5</f>
        <v>351040</v>
      </c>
      <c r="P34" s="65">
        <f t="array" ref="P34">ROUND(
IF($A$2="COSTO",
   (C34*(1+IFERROR(VLOOKUP($D$2,COLORES[],2,FALSE),0)))
   *(1-IFERROR(_xlfn.XLOOKUP(1,(DESC_PROV[LINEA]=$B$2)*(DESC_PROV[LISTA]=$C$2),DESC_PROV[DESCUENTO]),0)),
   (C34*(1+IFERROR(VLOOKUP($D$2,COLORES[],2,FALSE),0)))
   *(1-IFERROR(_xlfn.XLOOKUP(1,(DESC_PROV[LINEA]=$B$2)*(DESC_PROV[LISTA]=$C$2),DESC_PROV[DESCUENTO]),0))
   *(1+VLOOKUP($C$2,LISTAS[],2,FALSE))
   *(1+VLOOKUP($C$2,LISTAS[],3,FALSE))
)
/5,0)*5</f>
        <v>24260</v>
      </c>
      <c r="Q34" s="65">
        <f t="array" ref="Q34">ROUND(
IF($A$2="COSTO",
   (D34*(1+IFERROR(VLOOKUP($D$2,COLORES[],2,FALSE),0)))
   *(1-IFERROR(_xlfn.XLOOKUP(1,(DESC_PROV[LINEA]=$B$2)*(DESC_PROV[LISTA]=$C$2),DESC_PROV[DESCUENTO]),0)),
   (D34*(1+IFERROR(VLOOKUP($D$2,COLORES[],2,FALSE),0)))
   *(1-IFERROR(_xlfn.XLOOKUP(1,(DESC_PROV[LINEA]=$B$2)*(DESC_PROV[LISTA]=$C$2),DESC_PROV[DESCUENTO]),0))
   *(1+VLOOKUP($C$2,LISTAS[],2,FALSE))
   *(1+VLOOKUP($C$2,LISTAS[],4,FALSE))
)
/5,0)*5</f>
        <v>51280</v>
      </c>
      <c r="R34" s="66">
        <f t="array" ref="R34">ROUND(
IF($A$2="COSTO",
   ((B34*(1+IFERROR(VLOOKUP($D$2,COLORES[],2,FALSE),0)))+(F34+I34+F34))
   *(1-IFERROR(_xlfn.XLOOKUP(1,(DESC_PROV[LINEA]=$B$2)*(DESC_PROV[LISTA]=$C$2),DESC_PROV[DESCUENTO]),0)),
   ((B34*(1+IFERROR(VLOOKUP($D$2,COLORES[],2,FALSE),0)))+(F34+I34+F34))
   *(1-IFERROR(_xlfn.XLOOKUP(1,(DESC_PROV[LINEA]=$B$2)*(DESC_PROV[LISTA]=$C$2),DESC_PROV[DESCUENTO]),0))
   *(1+VLOOKUP($C$2,LISTAS[],2,FALSE))
   *(1+VLOOKUP($C$2,LISTAS[],3,FALSE))
)
/5,0)*5</f>
        <v>394905</v>
      </c>
    </row>
    <row r="35" spans="1:18">
      <c r="A35" s="107" t="s">
        <v>61</v>
      </c>
      <c r="B35" s="64">
        <v>166338</v>
      </c>
      <c r="C35" s="64">
        <v>18929</v>
      </c>
      <c r="D35" s="64">
        <v>36375</v>
      </c>
      <c r="E35" s="64">
        <v>28920</v>
      </c>
      <c r="F35" s="64">
        <v>35028</v>
      </c>
      <c r="G35" s="64">
        <v>46122</v>
      </c>
      <c r="H35" s="64">
        <v>144392</v>
      </c>
      <c r="I35" s="64">
        <v>103194</v>
      </c>
      <c r="J35" s="2"/>
      <c r="K35" s="107" t="s">
        <v>61</v>
      </c>
      <c r="L35" s="65">
        <f t="array" ref="L35">ROUND(
IF($A$2="COSTO",
   ((B35*(1+IFERROR(VLOOKUP($D$2,COLORES[],2,FALSE),0)))+E35)
   *(1-IFERROR(_xlfn.XLOOKUP(1,(DESC_PROV[LINEA]=$B$2)*(DESC_PROV[LISTA]=$C$2),DESC_PROV[DESCUENTO]),0)),
   ((B35*(1+IFERROR(VLOOKUP($D$2,COLORES[],2,FALSE),0)))+E35)
   *(1-IFERROR(_xlfn.XLOOKUP(1,(DESC_PROV[LINEA]=$B$2)*(DESC_PROV[LISTA]=$C$2),DESC_PROV[DESCUENTO]),0))
   *(1+VLOOKUP($C$2,LISTAS[],2,FALSE))
   *(1+VLOOKUP($C$2,LISTAS[],3,FALSE))
)
/5,0)*5</f>
        <v>250230</v>
      </c>
      <c r="M35" s="65">
        <f t="array" ref="M35">ROUND(
IF($A$2="COSTO",
   ((B35*(1+IFERROR(VLOOKUP($D$2,COLORES[],2,FALSE),0)))+F35)
   *(1-IFERROR(_xlfn.XLOOKUP(1,(DESC_PROV[LINEA]=$B$2)*(DESC_PROV[LISTA]=$C$2),DESC_PROV[DESCUENTO]),0)),
   ((B35*(1+IFERROR(VLOOKUP($D$2,COLORES[],2,FALSE),0)))+F35)
   *(1-IFERROR(_xlfn.XLOOKUP(1,(DESC_PROV[LINEA]=$B$2)*(DESC_PROV[LISTA]=$C$2),DESC_PROV[DESCUENTO]),0))
   *(1+VLOOKUP($C$2,LISTAS[],2,FALSE))
   *(1+VLOOKUP($C$2,LISTAS[],3,FALSE))
)
/5,0)*5</f>
        <v>258060</v>
      </c>
      <c r="N35" s="65">
        <f t="array" ref="N35">ROUND(
IF($A$2="COSTO",
   ((B35*(1+IFERROR(VLOOKUP($D$2,COLORES[],2,FALSE),0)))+G35)
   *(1-IFERROR(_xlfn.XLOOKUP(1,(DESC_PROV[LINEA]=$B$2)*(DESC_PROV[LISTA]=$C$2),DESC_PROV[DESCUENTO]),0)),
   ((B35*(1+IFERROR(VLOOKUP($D$2,COLORES[],2,FALSE),0)))+G35)
   *(1-IFERROR(_xlfn.XLOOKUP(1,(DESC_PROV[LINEA]=$B$2)*(DESC_PROV[LISTA]=$C$2),DESC_PROV[DESCUENTO]),0))
   *(1+VLOOKUP($C$2,LISTAS[],2,FALSE))
   *(1+VLOOKUP($C$2,LISTAS[],3,FALSE))
)
/5,0)*5</f>
        <v>272275</v>
      </c>
      <c r="O35" s="65">
        <f t="array" ref="O35">ROUND(
IF($A$2="COSTO",
   ((B35*(1+IFERROR(VLOOKUP($D$2,COLORES[],2,FALSE),0)))+H35)
   *(1-IFERROR(_xlfn.XLOOKUP(1,(DESC_PROV[LINEA]=$B$2)*(DESC_PROV[LISTA]=$C$2),DESC_PROV[DESCUENTO]),0)),
   ((B35*(1+IFERROR(VLOOKUP($D$2,COLORES[],2,FALSE),0)))+H35)
   *(1-IFERROR(_xlfn.XLOOKUP(1,(DESC_PROV[LINEA]=$B$2)*(DESC_PROV[LISTA]=$C$2),DESC_PROV[DESCUENTO]),0))
   *(1+VLOOKUP($C$2,LISTAS[],2,FALSE))
   *(1+VLOOKUP($C$2,LISTAS[],3,FALSE))
)
/5,0)*5</f>
        <v>398215</v>
      </c>
      <c r="P35" s="65">
        <f t="array" ref="P35">ROUND(
IF($A$2="COSTO",
   (C35*(1+IFERROR(VLOOKUP($D$2,COLORES[],2,FALSE),0)))
   *(1-IFERROR(_xlfn.XLOOKUP(1,(DESC_PROV[LINEA]=$B$2)*(DESC_PROV[LISTA]=$C$2),DESC_PROV[DESCUENTO]),0)),
   (C35*(1+IFERROR(VLOOKUP($D$2,COLORES[],2,FALSE),0)))
   *(1-IFERROR(_xlfn.XLOOKUP(1,(DESC_PROV[LINEA]=$B$2)*(DESC_PROV[LISTA]=$C$2),DESC_PROV[DESCUENTO]),0))
   *(1+VLOOKUP($C$2,LISTAS[],2,FALSE))
   *(1+VLOOKUP($C$2,LISTAS[],3,FALSE))
)
/5,0)*5</f>
        <v>24260</v>
      </c>
      <c r="Q35" s="65">
        <f t="array" ref="Q35">ROUND(
IF($A$2="COSTO",
   (D35*(1+IFERROR(VLOOKUP($D$2,COLORES[],2,FALSE),0)))
   *(1-IFERROR(_xlfn.XLOOKUP(1,(DESC_PROV[LINEA]=$B$2)*(DESC_PROV[LISTA]=$C$2),DESC_PROV[DESCUENTO]),0)),
   (D35*(1+IFERROR(VLOOKUP($D$2,COLORES[],2,FALSE),0)))
   *(1-IFERROR(_xlfn.XLOOKUP(1,(DESC_PROV[LINEA]=$B$2)*(DESC_PROV[LISTA]=$C$2),DESC_PROV[DESCUENTO]),0))
   *(1+VLOOKUP($C$2,LISTAS[],2,FALSE))
   *(1+VLOOKUP($C$2,LISTAS[],4,FALSE))
)
/5,0)*5</f>
        <v>57375</v>
      </c>
      <c r="R35" s="66">
        <f t="array" ref="R35">ROUND(
IF($A$2="COSTO",
   ((B35*(1+IFERROR(VLOOKUP($D$2,COLORES[],2,FALSE),0)))+(F35+I35+F35))
   *(1-IFERROR(_xlfn.XLOOKUP(1,(DESC_PROV[LINEA]=$B$2)*(DESC_PROV[LISTA]=$C$2),DESC_PROV[DESCUENTO]),0)),
   ((B35*(1+IFERROR(VLOOKUP($D$2,COLORES[],2,FALSE),0)))+(F35+I35+F35))
   *(1-IFERROR(_xlfn.XLOOKUP(1,(DESC_PROV[LINEA]=$B$2)*(DESC_PROV[LISTA]=$C$2),DESC_PROV[DESCUENTO]),0))
   *(1+VLOOKUP($C$2,LISTAS[],2,FALSE))
   *(1+VLOOKUP($C$2,LISTAS[],3,FALSE))
)
/5,0)*5</f>
        <v>435195</v>
      </c>
    </row>
    <row r="36" spans="1:18">
      <c r="A36" s="107" t="s">
        <v>63</v>
      </c>
      <c r="B36" s="64">
        <v>197481</v>
      </c>
      <c r="C36" s="64">
        <v>18929</v>
      </c>
      <c r="D36" s="64">
        <v>41525</v>
      </c>
      <c r="E36" s="64">
        <v>35718</v>
      </c>
      <c r="F36" s="64">
        <v>43266</v>
      </c>
      <c r="G36" s="64">
        <v>56976</v>
      </c>
      <c r="H36" s="64">
        <v>178371</v>
      </c>
      <c r="I36" s="64">
        <v>113513</v>
      </c>
      <c r="J36" s="2"/>
      <c r="K36" s="107" t="s">
        <v>63</v>
      </c>
      <c r="L36" s="65">
        <f t="array" ref="L36">ROUND(
IF($A$2="COSTO",
   ((B36*(1+IFERROR(VLOOKUP($D$2,COLORES[],2,FALSE),0)))+E36)
   *(1-IFERROR(_xlfn.XLOOKUP(1,(DESC_PROV[LINEA]=$B$2)*(DESC_PROV[LISTA]=$C$2),DESC_PROV[DESCUENTO]),0)),
   ((B36*(1+IFERROR(VLOOKUP($D$2,COLORES[],2,FALSE),0)))+E36)
   *(1-IFERROR(_xlfn.XLOOKUP(1,(DESC_PROV[LINEA]=$B$2)*(DESC_PROV[LISTA]=$C$2),DESC_PROV[DESCUENTO]),0))
   *(1+VLOOKUP($C$2,LISTAS[],2,FALSE))
   *(1+VLOOKUP($C$2,LISTAS[],3,FALSE))
)
/5,0)*5</f>
        <v>298855</v>
      </c>
      <c r="M36" s="65">
        <f t="array" ref="M36">ROUND(
IF($A$2="COSTO",
   ((B36*(1+IFERROR(VLOOKUP($D$2,COLORES[],2,FALSE),0)))+F36)
   *(1-IFERROR(_xlfn.XLOOKUP(1,(DESC_PROV[LINEA]=$B$2)*(DESC_PROV[LISTA]=$C$2),DESC_PROV[DESCUENTO]),0)),
   ((B36*(1+IFERROR(VLOOKUP($D$2,COLORES[],2,FALSE),0)))+F36)
   *(1-IFERROR(_xlfn.XLOOKUP(1,(DESC_PROV[LINEA]=$B$2)*(DESC_PROV[LISTA]=$C$2),DESC_PROV[DESCUENTO]),0))
   *(1+VLOOKUP($C$2,LISTAS[],2,FALSE))
   *(1+VLOOKUP($C$2,LISTAS[],3,FALSE))
)
/5,0)*5</f>
        <v>308525</v>
      </c>
      <c r="N36" s="65">
        <f t="array" ref="N36">ROUND(
IF($A$2="COSTO",
   ((B36*(1+IFERROR(VLOOKUP($D$2,COLORES[],2,FALSE),0)))+G36)
   *(1-IFERROR(_xlfn.XLOOKUP(1,(DESC_PROV[LINEA]=$B$2)*(DESC_PROV[LISTA]=$C$2),DESC_PROV[DESCUENTO]),0)),
   ((B36*(1+IFERROR(VLOOKUP($D$2,COLORES[],2,FALSE),0)))+G36)
   *(1-IFERROR(_xlfn.XLOOKUP(1,(DESC_PROV[LINEA]=$B$2)*(DESC_PROV[LISTA]=$C$2),DESC_PROV[DESCUENTO]),0))
   *(1+VLOOKUP($C$2,LISTAS[],2,FALSE))
   *(1+VLOOKUP($C$2,LISTAS[],3,FALSE))
)
/5,0)*5</f>
        <v>326095</v>
      </c>
      <c r="O36" s="65">
        <f t="array" ref="O36">ROUND(
IF($A$2="COSTO",
   ((B36*(1+IFERROR(VLOOKUP($D$2,COLORES[],2,FALSE),0)))+H36)
   *(1-IFERROR(_xlfn.XLOOKUP(1,(DESC_PROV[LINEA]=$B$2)*(DESC_PROV[LISTA]=$C$2),DESC_PROV[DESCUENTO]),0)),
   ((B36*(1+IFERROR(VLOOKUP($D$2,COLORES[],2,FALSE),0)))+H36)
   *(1-IFERROR(_xlfn.XLOOKUP(1,(DESC_PROV[LINEA]=$B$2)*(DESC_PROV[LISTA]=$C$2),DESC_PROV[DESCUENTO]),0))
   *(1+VLOOKUP($C$2,LISTAS[],2,FALSE))
   *(1+VLOOKUP($C$2,LISTAS[],3,FALSE))
)
/5,0)*5</f>
        <v>481670</v>
      </c>
      <c r="P36" s="65">
        <f t="array" ref="P36">ROUND(
IF($A$2="COSTO",
   (C36*(1+IFERROR(VLOOKUP($D$2,COLORES[],2,FALSE),0)))
   *(1-IFERROR(_xlfn.XLOOKUP(1,(DESC_PROV[LINEA]=$B$2)*(DESC_PROV[LISTA]=$C$2),DESC_PROV[DESCUENTO]),0)),
   (C36*(1+IFERROR(VLOOKUP($D$2,COLORES[],2,FALSE),0)))
   *(1-IFERROR(_xlfn.XLOOKUP(1,(DESC_PROV[LINEA]=$B$2)*(DESC_PROV[LISTA]=$C$2),DESC_PROV[DESCUENTO]),0))
   *(1+VLOOKUP($C$2,LISTAS[],2,FALSE))
   *(1+VLOOKUP($C$2,LISTAS[],3,FALSE))
)
/5,0)*5</f>
        <v>24260</v>
      </c>
      <c r="Q36" s="65">
        <f t="array" ref="Q36">ROUND(
IF($A$2="COSTO",
   (D36*(1+IFERROR(VLOOKUP($D$2,COLORES[],2,FALSE),0)))
   *(1-IFERROR(_xlfn.XLOOKUP(1,(DESC_PROV[LINEA]=$B$2)*(DESC_PROV[LISTA]=$C$2),DESC_PROV[DESCUENTO]),0)),
   (D36*(1+IFERROR(VLOOKUP($D$2,COLORES[],2,FALSE),0)))
   *(1-IFERROR(_xlfn.XLOOKUP(1,(DESC_PROV[LINEA]=$B$2)*(DESC_PROV[LISTA]=$C$2),DESC_PROV[DESCUENTO]),0))
   *(1+VLOOKUP($C$2,LISTAS[],2,FALSE))
   *(1+VLOOKUP($C$2,LISTAS[],4,FALSE))
)
/5,0)*5</f>
        <v>65495</v>
      </c>
      <c r="R36" s="66">
        <f t="array" ref="R36">ROUND(
IF($A$2="COSTO",
   ((B36*(1+IFERROR(VLOOKUP($D$2,COLORES[],2,FALSE),0)))+(F36+I36+F36))
   *(1-IFERROR(_xlfn.XLOOKUP(1,(DESC_PROV[LINEA]=$B$2)*(DESC_PROV[LISTA]=$C$2),DESC_PROV[DESCUENTO]),0)),
   ((B36*(1+IFERROR(VLOOKUP($D$2,COLORES[],2,FALSE),0)))+(F36+I36+F36))
   *(1-IFERROR(_xlfn.XLOOKUP(1,(DESC_PROV[LINEA]=$B$2)*(DESC_PROV[LISTA]=$C$2),DESC_PROV[DESCUENTO]),0))
   *(1+VLOOKUP($C$2,LISTAS[],2,FALSE))
   *(1+VLOOKUP($C$2,LISTAS[],3,FALSE))
)
/5,0)*5</f>
        <v>509445</v>
      </c>
    </row>
    <row r="37" spans="1:18">
      <c r="A37" s="107" t="s">
        <v>64</v>
      </c>
      <c r="B37" s="64">
        <v>212169</v>
      </c>
      <c r="C37" s="64">
        <v>18929</v>
      </c>
      <c r="D37" s="64">
        <v>44100</v>
      </c>
      <c r="E37" s="64">
        <v>39120</v>
      </c>
      <c r="F37" s="64">
        <v>47388</v>
      </c>
      <c r="G37" s="64">
        <v>62406</v>
      </c>
      <c r="H37" s="64">
        <v>195360</v>
      </c>
      <c r="I37" s="64">
        <v>118673</v>
      </c>
      <c r="J37" s="2"/>
      <c r="K37" s="107" t="s">
        <v>64</v>
      </c>
      <c r="L37" s="65">
        <f t="array" ref="L37">ROUND(
IF($A$2="COSTO",
   ((B37*(1+IFERROR(VLOOKUP($D$2,COLORES[],2,FALSE),0)))+E37)
   *(1-IFERROR(_xlfn.XLOOKUP(1,(DESC_PROV[LINEA]=$B$2)*(DESC_PROV[LISTA]=$C$2),DESC_PROV[DESCUENTO]),0)),
   ((B37*(1+IFERROR(VLOOKUP($D$2,COLORES[],2,FALSE),0)))+E37)
   *(1-IFERROR(_xlfn.XLOOKUP(1,(DESC_PROV[LINEA]=$B$2)*(DESC_PROV[LISTA]=$C$2),DESC_PROV[DESCUENTO]),0))
   *(1+VLOOKUP($C$2,LISTAS[],2,FALSE))
   *(1+VLOOKUP($C$2,LISTAS[],3,FALSE))
)
/5,0)*5</f>
        <v>322035</v>
      </c>
      <c r="M37" s="65">
        <f t="array" ref="M37">ROUND(
IF($A$2="COSTO",
   ((B37*(1+IFERROR(VLOOKUP($D$2,COLORES[],2,FALSE),0)))+F37)
   *(1-IFERROR(_xlfn.XLOOKUP(1,(DESC_PROV[LINEA]=$B$2)*(DESC_PROV[LISTA]=$C$2),DESC_PROV[DESCUENTO]),0)),
   ((B37*(1+IFERROR(VLOOKUP($D$2,COLORES[],2,FALSE),0)))+F37)
   *(1-IFERROR(_xlfn.XLOOKUP(1,(DESC_PROV[LINEA]=$B$2)*(DESC_PROV[LISTA]=$C$2),DESC_PROV[DESCUENTO]),0))
   *(1+VLOOKUP($C$2,LISTAS[],2,FALSE))
   *(1+VLOOKUP($C$2,LISTAS[],3,FALSE))
)
/5,0)*5</f>
        <v>332635</v>
      </c>
      <c r="N37" s="65">
        <f t="array" ref="N37">ROUND(
IF($A$2="COSTO",
   ((B37*(1+IFERROR(VLOOKUP($D$2,COLORES[],2,FALSE),0)))+G37)
   *(1-IFERROR(_xlfn.XLOOKUP(1,(DESC_PROV[LINEA]=$B$2)*(DESC_PROV[LISTA]=$C$2),DESC_PROV[DESCUENTO]),0)),
   ((B37*(1+IFERROR(VLOOKUP($D$2,COLORES[],2,FALSE),0)))+G37)
   *(1-IFERROR(_xlfn.XLOOKUP(1,(DESC_PROV[LINEA]=$B$2)*(DESC_PROV[LISTA]=$C$2),DESC_PROV[DESCUENTO]),0))
   *(1+VLOOKUP($C$2,LISTAS[],2,FALSE))
   *(1+VLOOKUP($C$2,LISTAS[],3,FALSE))
)
/5,0)*5</f>
        <v>351880</v>
      </c>
      <c r="O37" s="65">
        <f t="array" ref="O37">ROUND(
IF($A$2="COSTO",
   ((B37*(1+IFERROR(VLOOKUP($D$2,COLORES[],2,FALSE),0)))+H37)
   *(1-IFERROR(_xlfn.XLOOKUP(1,(DESC_PROV[LINEA]=$B$2)*(DESC_PROV[LISTA]=$C$2),DESC_PROV[DESCUENTO]),0)),
   ((B37*(1+IFERROR(VLOOKUP($D$2,COLORES[],2,FALSE),0)))+H37)
   *(1-IFERROR(_xlfn.XLOOKUP(1,(DESC_PROV[LINEA]=$B$2)*(DESC_PROV[LISTA]=$C$2),DESC_PROV[DESCUENTO]),0))
   *(1+VLOOKUP($C$2,LISTAS[],2,FALSE))
   *(1+VLOOKUP($C$2,LISTAS[],3,FALSE))
)
/5,0)*5</f>
        <v>522265</v>
      </c>
      <c r="P37" s="65">
        <f t="array" ref="P37">ROUND(
IF($A$2="COSTO",
   (C37*(1+IFERROR(VLOOKUP($D$2,COLORES[],2,FALSE),0)))
   *(1-IFERROR(_xlfn.XLOOKUP(1,(DESC_PROV[LINEA]=$B$2)*(DESC_PROV[LISTA]=$C$2),DESC_PROV[DESCUENTO]),0)),
   (C37*(1+IFERROR(VLOOKUP($D$2,COLORES[],2,FALSE),0)))
   *(1-IFERROR(_xlfn.XLOOKUP(1,(DESC_PROV[LINEA]=$B$2)*(DESC_PROV[LISTA]=$C$2),DESC_PROV[DESCUENTO]),0))
   *(1+VLOOKUP($C$2,LISTAS[],2,FALSE))
   *(1+VLOOKUP($C$2,LISTAS[],3,FALSE))
)
/5,0)*5</f>
        <v>24260</v>
      </c>
      <c r="Q37" s="65">
        <f t="array" ref="Q37">ROUND(
IF($A$2="COSTO",
   (D37*(1+IFERROR(VLOOKUP($D$2,COLORES[],2,FALSE),0)))
   *(1-IFERROR(_xlfn.XLOOKUP(1,(DESC_PROV[LINEA]=$B$2)*(DESC_PROV[LISTA]=$C$2),DESC_PROV[DESCUENTO]),0)),
   (D37*(1+IFERROR(VLOOKUP($D$2,COLORES[],2,FALSE),0)))
   *(1-IFERROR(_xlfn.XLOOKUP(1,(DESC_PROV[LINEA]=$B$2)*(DESC_PROV[LISTA]=$C$2),DESC_PROV[DESCUENTO]),0))
   *(1+VLOOKUP($C$2,LISTAS[],2,FALSE))
   *(1+VLOOKUP($C$2,LISTAS[],4,FALSE))
)
/5,0)*5</f>
        <v>69560</v>
      </c>
      <c r="R37" s="66">
        <f t="array" ref="R37">ROUND(
IF($A$2="COSTO",
   ((B37*(1+IFERROR(VLOOKUP($D$2,COLORES[],2,FALSE),0)))+(F37+I37+F37))
   *(1-IFERROR(_xlfn.XLOOKUP(1,(DESC_PROV[LINEA]=$B$2)*(DESC_PROV[LISTA]=$C$2),DESC_PROV[DESCUENTO]),0)),
   ((B37*(1+IFERROR(VLOOKUP($D$2,COLORES[],2,FALSE),0)))+(F37+I37+F37))
   *(1-IFERROR(_xlfn.XLOOKUP(1,(DESC_PROV[LINEA]=$B$2)*(DESC_PROV[LISTA]=$C$2),DESC_PROV[DESCUENTO]),0))
   *(1+VLOOKUP($C$2,LISTAS[],2,FALSE))
   *(1+VLOOKUP($C$2,LISTAS[],3,FALSE))
)
/5,0)*5</f>
        <v>545445</v>
      </c>
    </row>
    <row r="38" spans="1:18">
      <c r="A38" s="107" t="s">
        <v>107</v>
      </c>
      <c r="B38" s="64">
        <v>135138</v>
      </c>
      <c r="C38" s="64">
        <v>20650</v>
      </c>
      <c r="D38" s="64">
        <v>27900</v>
      </c>
      <c r="E38" s="64">
        <v>16842</v>
      </c>
      <c r="F38" s="64">
        <v>20400</v>
      </c>
      <c r="G38" s="64">
        <v>26862</v>
      </c>
      <c r="H38" s="64">
        <v>84091</v>
      </c>
      <c r="I38" s="64">
        <v>87715</v>
      </c>
      <c r="J38" s="2"/>
      <c r="K38" s="107" t="s">
        <v>107</v>
      </c>
      <c r="L38" s="65">
        <f t="array" ref="L38">ROUND(
IF($A$2="COSTO",
   ((B38*(1+IFERROR(VLOOKUP($D$2,COLORES[],2,FALSE),0)))+E38)
   *(1-IFERROR(_xlfn.XLOOKUP(1,(DESC_PROV[LINEA]=$B$2)*(DESC_PROV[LISTA]=$C$2),DESC_PROV[DESCUENTO]),0)),
   ((B38*(1+IFERROR(VLOOKUP($D$2,COLORES[],2,FALSE),0)))+E38)
   *(1-IFERROR(_xlfn.XLOOKUP(1,(DESC_PROV[LINEA]=$B$2)*(DESC_PROV[LISTA]=$C$2),DESC_PROV[DESCUENTO]),0))
   *(1+VLOOKUP($C$2,LISTAS[],2,FALSE))
   *(1+VLOOKUP($C$2,LISTAS[],3,FALSE))
)
/5,0)*5</f>
        <v>194770</v>
      </c>
      <c r="M38" s="65">
        <f t="array" ref="M38">ROUND(
IF($A$2="COSTO",
   ((B38*(1+IFERROR(VLOOKUP($D$2,COLORES[],2,FALSE),0)))+F38)
   *(1-IFERROR(_xlfn.XLOOKUP(1,(DESC_PROV[LINEA]=$B$2)*(DESC_PROV[LISTA]=$C$2),DESC_PROV[DESCUENTO]),0)),
   ((B38*(1+IFERROR(VLOOKUP($D$2,COLORES[],2,FALSE),0)))+F38)
   *(1-IFERROR(_xlfn.XLOOKUP(1,(DESC_PROV[LINEA]=$B$2)*(DESC_PROV[LISTA]=$C$2),DESC_PROV[DESCUENTO]),0))
   *(1+VLOOKUP($C$2,LISTAS[],2,FALSE))
   *(1+VLOOKUP($C$2,LISTAS[],3,FALSE))
)
/5,0)*5</f>
        <v>199330</v>
      </c>
      <c r="N38" s="65">
        <f t="array" ref="N38">ROUND(
IF($A$2="COSTO",
   ((B38*(1+IFERROR(VLOOKUP($D$2,COLORES[],2,FALSE),0)))+G38)
   *(1-IFERROR(_xlfn.XLOOKUP(1,(DESC_PROV[LINEA]=$B$2)*(DESC_PROV[LISTA]=$C$2),DESC_PROV[DESCUENTO]),0)),
   ((B38*(1+IFERROR(VLOOKUP($D$2,COLORES[],2,FALSE),0)))+G38)
   *(1-IFERROR(_xlfn.XLOOKUP(1,(DESC_PROV[LINEA]=$B$2)*(DESC_PROV[LISTA]=$C$2),DESC_PROV[DESCUENTO]),0))
   *(1+VLOOKUP($C$2,LISTAS[],2,FALSE))
   *(1+VLOOKUP($C$2,LISTAS[],3,FALSE))
)
/5,0)*5</f>
        <v>207610</v>
      </c>
      <c r="O38" s="65">
        <f t="array" ref="O38">ROUND(
IF($A$2="COSTO",
   ((B38*(1+IFERROR(VLOOKUP($D$2,COLORES[],2,FALSE),0)))+H38)
   *(1-IFERROR(_xlfn.XLOOKUP(1,(DESC_PROV[LINEA]=$B$2)*(DESC_PROV[LISTA]=$C$2),DESC_PROV[DESCUENTO]),0)),
   ((B38*(1+IFERROR(VLOOKUP($D$2,COLORES[],2,FALSE),0)))+H38)
   *(1-IFERROR(_xlfn.XLOOKUP(1,(DESC_PROV[LINEA]=$B$2)*(DESC_PROV[LISTA]=$C$2),DESC_PROV[DESCUENTO]),0))
   *(1+VLOOKUP($C$2,LISTAS[],2,FALSE))
   *(1+VLOOKUP($C$2,LISTAS[],3,FALSE))
)
/5,0)*5</f>
        <v>280950</v>
      </c>
      <c r="P38" s="65">
        <f t="array" ref="P38">ROUND(
IF($A$2="COSTO",
   (C38*(1+IFERROR(VLOOKUP($D$2,COLORES[],2,FALSE),0)))
   *(1-IFERROR(_xlfn.XLOOKUP(1,(DESC_PROV[LINEA]=$B$2)*(DESC_PROV[LISTA]=$C$2),DESC_PROV[DESCUENTO]),0)),
   (C38*(1+IFERROR(VLOOKUP($D$2,COLORES[],2,FALSE),0)))
   *(1-IFERROR(_xlfn.XLOOKUP(1,(DESC_PROV[LINEA]=$B$2)*(DESC_PROV[LISTA]=$C$2),DESC_PROV[DESCUENTO]),0))
   *(1+VLOOKUP($C$2,LISTAS[],2,FALSE))
   *(1+VLOOKUP($C$2,LISTAS[],3,FALSE))
)
/5,0)*5</f>
        <v>26465</v>
      </c>
      <c r="Q38" s="65">
        <f t="array" ref="Q38">ROUND(
IF($A$2="COSTO",
   (D38*(1+IFERROR(VLOOKUP($D$2,COLORES[],2,FALSE),0)))
   *(1-IFERROR(_xlfn.XLOOKUP(1,(DESC_PROV[LINEA]=$B$2)*(DESC_PROV[LISTA]=$C$2),DESC_PROV[DESCUENTO]),0)),
   (D38*(1+IFERROR(VLOOKUP($D$2,COLORES[],2,FALSE),0)))
   *(1-IFERROR(_xlfn.XLOOKUP(1,(DESC_PROV[LINEA]=$B$2)*(DESC_PROV[LISTA]=$C$2),DESC_PROV[DESCUENTO]),0))
   *(1+VLOOKUP($C$2,LISTAS[],2,FALSE))
   *(1+VLOOKUP($C$2,LISTAS[],4,FALSE))
)
/5,0)*5</f>
        <v>44005</v>
      </c>
      <c r="R38" s="66">
        <f t="array" ref="R38">ROUND(
IF($A$2="COSTO",
   ((B38*(1+IFERROR(VLOOKUP($D$2,COLORES[],2,FALSE),0)))+(F38+I38+F38))
   *(1-IFERROR(_xlfn.XLOOKUP(1,(DESC_PROV[LINEA]=$B$2)*(DESC_PROV[LISTA]=$C$2),DESC_PROV[DESCUENTO]),0)),
   ((B38*(1+IFERROR(VLOOKUP($D$2,COLORES[],2,FALSE),0)))+(F38+I38+F38))
   *(1-IFERROR(_xlfn.XLOOKUP(1,(DESC_PROV[LINEA]=$B$2)*(DESC_PROV[LISTA]=$C$2),DESC_PROV[DESCUENTO]),0))
   *(1+VLOOKUP($C$2,LISTAS[],2,FALSE))
   *(1+VLOOKUP($C$2,LISTAS[],3,FALSE))
)
/5,0)*5</f>
        <v>337880</v>
      </c>
    </row>
    <row r="39" spans="1:18">
      <c r="A39" s="107" t="s">
        <v>108</v>
      </c>
      <c r="B39" s="64">
        <v>143875</v>
      </c>
      <c r="C39" s="64">
        <v>20650</v>
      </c>
      <c r="D39" s="64">
        <v>30600</v>
      </c>
      <c r="E39" s="64">
        <v>20580</v>
      </c>
      <c r="F39" s="64">
        <v>24930</v>
      </c>
      <c r="G39" s="64">
        <v>29844</v>
      </c>
      <c r="H39" s="64">
        <v>102778</v>
      </c>
      <c r="I39" s="64">
        <v>92875</v>
      </c>
      <c r="J39" s="2"/>
      <c r="K39" s="107" t="s">
        <v>108</v>
      </c>
      <c r="L39" s="65">
        <f t="array" ref="L39">ROUND(
IF($A$2="COSTO",
   ((B39*(1+IFERROR(VLOOKUP($D$2,COLORES[],2,FALSE),0)))+E39)
   *(1-IFERROR(_xlfn.XLOOKUP(1,(DESC_PROV[LINEA]=$B$2)*(DESC_PROV[LISTA]=$C$2),DESC_PROV[DESCUENTO]),0)),
   ((B39*(1+IFERROR(VLOOKUP($D$2,COLORES[],2,FALSE),0)))+E39)
   *(1-IFERROR(_xlfn.XLOOKUP(1,(DESC_PROV[LINEA]=$B$2)*(DESC_PROV[LISTA]=$C$2),DESC_PROV[DESCUENTO]),0))
   *(1+VLOOKUP($C$2,LISTAS[],2,FALSE))
   *(1+VLOOKUP($C$2,LISTAS[],3,FALSE))
)
/5,0)*5</f>
        <v>210755</v>
      </c>
      <c r="M39" s="65">
        <f t="array" ref="M39">ROUND(
IF($A$2="COSTO",
   ((B39*(1+IFERROR(VLOOKUP($D$2,COLORES[],2,FALSE),0)))+F39)
   *(1-IFERROR(_xlfn.XLOOKUP(1,(DESC_PROV[LINEA]=$B$2)*(DESC_PROV[LISTA]=$C$2),DESC_PROV[DESCUENTO]),0)),
   ((B39*(1+IFERROR(VLOOKUP($D$2,COLORES[],2,FALSE),0)))+F39)
   *(1-IFERROR(_xlfn.XLOOKUP(1,(DESC_PROV[LINEA]=$B$2)*(DESC_PROV[LISTA]=$C$2),DESC_PROV[DESCUENTO]),0))
   *(1+VLOOKUP($C$2,LISTAS[],2,FALSE))
   *(1+VLOOKUP($C$2,LISTAS[],3,FALSE))
)
/5,0)*5</f>
        <v>216330</v>
      </c>
      <c r="N39" s="65">
        <f t="array" ref="N39">ROUND(
IF($A$2="COSTO",
   ((B39*(1+IFERROR(VLOOKUP($D$2,COLORES[],2,FALSE),0)))+G39)
   *(1-IFERROR(_xlfn.XLOOKUP(1,(DESC_PROV[LINEA]=$B$2)*(DESC_PROV[LISTA]=$C$2),DESC_PROV[DESCUENTO]),0)),
   ((B39*(1+IFERROR(VLOOKUP($D$2,COLORES[],2,FALSE),0)))+G39)
   *(1-IFERROR(_xlfn.XLOOKUP(1,(DESC_PROV[LINEA]=$B$2)*(DESC_PROV[LISTA]=$C$2),DESC_PROV[DESCUENTO]),0))
   *(1+VLOOKUP($C$2,LISTAS[],2,FALSE))
   *(1+VLOOKUP($C$2,LISTAS[],3,FALSE))
)
/5,0)*5</f>
        <v>222630</v>
      </c>
      <c r="O39" s="65">
        <f t="array" ref="O39">ROUND(
IF($A$2="COSTO",
   ((B39*(1+IFERROR(VLOOKUP($D$2,COLORES[],2,FALSE),0)))+H39)
   *(1-IFERROR(_xlfn.XLOOKUP(1,(DESC_PROV[LINEA]=$B$2)*(DESC_PROV[LISTA]=$C$2),DESC_PROV[DESCUENTO]),0)),
   ((B39*(1+IFERROR(VLOOKUP($D$2,COLORES[],2,FALSE),0)))+H39)
   *(1-IFERROR(_xlfn.XLOOKUP(1,(DESC_PROV[LINEA]=$B$2)*(DESC_PROV[LISTA]=$C$2),DESC_PROV[DESCUENTO]),0))
   *(1+VLOOKUP($C$2,LISTAS[],2,FALSE))
   *(1+VLOOKUP($C$2,LISTAS[],3,FALSE))
)
/5,0)*5</f>
        <v>316095</v>
      </c>
      <c r="P39" s="65">
        <f t="array" ref="P39">ROUND(
IF($A$2="COSTO",
   (C39*(1+IFERROR(VLOOKUP($D$2,COLORES[],2,FALSE),0)))
   *(1-IFERROR(_xlfn.XLOOKUP(1,(DESC_PROV[LINEA]=$B$2)*(DESC_PROV[LISTA]=$C$2),DESC_PROV[DESCUENTO]),0)),
   (C39*(1+IFERROR(VLOOKUP($D$2,COLORES[],2,FALSE),0)))
   *(1-IFERROR(_xlfn.XLOOKUP(1,(DESC_PROV[LINEA]=$B$2)*(DESC_PROV[LISTA]=$C$2),DESC_PROV[DESCUENTO]),0))
   *(1+VLOOKUP($C$2,LISTAS[],2,FALSE))
   *(1+VLOOKUP($C$2,LISTAS[],3,FALSE))
)
/5,0)*5</f>
        <v>26465</v>
      </c>
      <c r="Q39" s="65">
        <f t="array" ref="Q39">ROUND(
IF($A$2="COSTO",
   (D39*(1+IFERROR(VLOOKUP($D$2,COLORES[],2,FALSE),0)))
   *(1-IFERROR(_xlfn.XLOOKUP(1,(DESC_PROV[LINEA]=$B$2)*(DESC_PROV[LISTA]=$C$2),DESC_PROV[DESCUENTO]),0)),
   (D39*(1+IFERROR(VLOOKUP($D$2,COLORES[],2,FALSE),0)))
   *(1-IFERROR(_xlfn.XLOOKUP(1,(DESC_PROV[LINEA]=$B$2)*(DESC_PROV[LISTA]=$C$2),DESC_PROV[DESCUENTO]),0))
   *(1+VLOOKUP($C$2,LISTAS[],2,FALSE))
   *(1+VLOOKUP($C$2,LISTAS[],4,FALSE))
)
/5,0)*5</f>
        <v>48265</v>
      </c>
      <c r="R39" s="66">
        <f t="array" ref="R39">ROUND(
IF($A$2="COSTO",
   ((B39*(1+IFERROR(VLOOKUP($D$2,COLORES[],2,FALSE),0)))+(F39+I39+F39))
   *(1-IFERROR(_xlfn.XLOOKUP(1,(DESC_PROV[LINEA]=$B$2)*(DESC_PROV[LISTA]=$C$2),DESC_PROV[DESCUENTO]),0)),
   ((B39*(1+IFERROR(VLOOKUP($D$2,COLORES[],2,FALSE),0)))+(F39+I39+F39))
   *(1-IFERROR(_xlfn.XLOOKUP(1,(DESC_PROV[LINEA]=$B$2)*(DESC_PROV[LISTA]=$C$2),DESC_PROV[DESCUENTO]),0))
   *(1+VLOOKUP($C$2,LISTAS[],2,FALSE))
   *(1+VLOOKUP($C$2,LISTAS[],3,FALSE))
)
/5,0)*5</f>
        <v>367300</v>
      </c>
    </row>
    <row r="40" spans="1:18">
      <c r="A40" s="107" t="s">
        <v>109</v>
      </c>
      <c r="B40" s="64">
        <v>159944</v>
      </c>
      <c r="C40" s="64">
        <v>20650</v>
      </c>
      <c r="D40" s="64">
        <v>34650</v>
      </c>
      <c r="E40" s="64">
        <v>26196</v>
      </c>
      <c r="F40" s="64">
        <v>31728</v>
      </c>
      <c r="G40" s="64">
        <v>41784</v>
      </c>
      <c r="H40" s="64">
        <v>130806</v>
      </c>
      <c r="I40" s="64">
        <v>100614</v>
      </c>
      <c r="J40" s="2"/>
      <c r="K40" s="107" t="s">
        <v>109</v>
      </c>
      <c r="L40" s="65">
        <f t="array" ref="L40">ROUND(
IF($A$2="COSTO",
   ((B40*(1+IFERROR(VLOOKUP($D$2,COLORES[],2,FALSE),0)))+E40)
   *(1-IFERROR(_xlfn.XLOOKUP(1,(DESC_PROV[LINEA]=$B$2)*(DESC_PROV[LISTA]=$C$2),DESC_PROV[DESCUENTO]),0)),
   ((B40*(1+IFERROR(VLOOKUP($D$2,COLORES[],2,FALSE),0)))+E40)
   *(1-IFERROR(_xlfn.XLOOKUP(1,(DESC_PROV[LINEA]=$B$2)*(DESC_PROV[LISTA]=$C$2),DESC_PROV[DESCUENTO]),0))
   *(1+VLOOKUP($C$2,LISTAS[],2,FALSE))
   *(1+VLOOKUP($C$2,LISTAS[],3,FALSE))
)
/5,0)*5</f>
        <v>238545</v>
      </c>
      <c r="M40" s="65">
        <f t="array" ref="M40">ROUND(
IF($A$2="COSTO",
   ((B40*(1+IFERROR(VLOOKUP($D$2,COLORES[],2,FALSE),0)))+F40)
   *(1-IFERROR(_xlfn.XLOOKUP(1,(DESC_PROV[LINEA]=$B$2)*(DESC_PROV[LISTA]=$C$2),DESC_PROV[DESCUENTO]),0)),
   ((B40*(1+IFERROR(VLOOKUP($D$2,COLORES[],2,FALSE),0)))+F40)
   *(1-IFERROR(_xlfn.XLOOKUP(1,(DESC_PROV[LINEA]=$B$2)*(DESC_PROV[LISTA]=$C$2),DESC_PROV[DESCUENTO]),0))
   *(1+VLOOKUP($C$2,LISTAS[],2,FALSE))
   *(1+VLOOKUP($C$2,LISTAS[],3,FALSE))
)
/5,0)*5</f>
        <v>245635</v>
      </c>
      <c r="N40" s="65">
        <f t="array" ref="N40">ROUND(
IF($A$2="COSTO",
   ((B40*(1+IFERROR(VLOOKUP($D$2,COLORES[],2,FALSE),0)))+G40)
   *(1-IFERROR(_xlfn.XLOOKUP(1,(DESC_PROV[LINEA]=$B$2)*(DESC_PROV[LISTA]=$C$2),DESC_PROV[DESCUENTO]),0)),
   ((B40*(1+IFERROR(VLOOKUP($D$2,COLORES[],2,FALSE),0)))+G40)
   *(1-IFERROR(_xlfn.XLOOKUP(1,(DESC_PROV[LINEA]=$B$2)*(DESC_PROV[LISTA]=$C$2),DESC_PROV[DESCUENTO]),0))
   *(1+VLOOKUP($C$2,LISTAS[],2,FALSE))
   *(1+VLOOKUP($C$2,LISTAS[],3,FALSE))
)
/5,0)*5</f>
        <v>258525</v>
      </c>
      <c r="O40" s="65">
        <f t="array" ref="O40">ROUND(
IF($A$2="COSTO",
   ((B40*(1+IFERROR(VLOOKUP($D$2,COLORES[],2,FALSE),0)))+H40)
   *(1-IFERROR(_xlfn.XLOOKUP(1,(DESC_PROV[LINEA]=$B$2)*(DESC_PROV[LISTA]=$C$2),DESC_PROV[DESCUENTO]),0)),
   ((B40*(1+IFERROR(VLOOKUP($D$2,COLORES[],2,FALSE),0)))+H40)
   *(1-IFERROR(_xlfn.XLOOKUP(1,(DESC_PROV[LINEA]=$B$2)*(DESC_PROV[LISTA]=$C$2),DESC_PROV[DESCUENTO]),0))
   *(1+VLOOKUP($C$2,LISTAS[],2,FALSE))
   *(1+VLOOKUP($C$2,LISTAS[],3,FALSE))
)
/5,0)*5</f>
        <v>372610</v>
      </c>
      <c r="P40" s="65">
        <f t="array" ref="P40">ROUND(
IF($A$2="COSTO",
   (C40*(1+IFERROR(VLOOKUP($D$2,COLORES[],2,FALSE),0)))
   *(1-IFERROR(_xlfn.XLOOKUP(1,(DESC_PROV[LINEA]=$B$2)*(DESC_PROV[LISTA]=$C$2),DESC_PROV[DESCUENTO]),0)),
   (C40*(1+IFERROR(VLOOKUP($D$2,COLORES[],2,FALSE),0)))
   *(1-IFERROR(_xlfn.XLOOKUP(1,(DESC_PROV[LINEA]=$B$2)*(DESC_PROV[LISTA]=$C$2),DESC_PROV[DESCUENTO]),0))
   *(1+VLOOKUP($C$2,LISTAS[],2,FALSE))
   *(1+VLOOKUP($C$2,LISTAS[],3,FALSE))
)
/5,0)*5</f>
        <v>26465</v>
      </c>
      <c r="Q40" s="65">
        <f t="array" ref="Q40">ROUND(
IF($A$2="COSTO",
   (D40*(1+IFERROR(VLOOKUP($D$2,COLORES[],2,FALSE),0)))
   *(1-IFERROR(_xlfn.XLOOKUP(1,(DESC_PROV[LINEA]=$B$2)*(DESC_PROV[LISTA]=$C$2),DESC_PROV[DESCUENTO]),0)),
   (D40*(1+IFERROR(VLOOKUP($D$2,COLORES[],2,FALSE),0)))
   *(1-IFERROR(_xlfn.XLOOKUP(1,(DESC_PROV[LINEA]=$B$2)*(DESC_PROV[LISTA]=$C$2),DESC_PROV[DESCUENTO]),0))
   *(1+VLOOKUP($C$2,LISTAS[],2,FALSE))
   *(1+VLOOKUP($C$2,LISTAS[],4,FALSE))
)
/5,0)*5</f>
        <v>54655</v>
      </c>
      <c r="R40" s="66">
        <f t="array" ref="R40">ROUND(
IF($A$2="COSTO",
   ((B40*(1+IFERROR(VLOOKUP($D$2,COLORES[],2,FALSE),0)))+(F40+I40+F40))
   *(1-IFERROR(_xlfn.XLOOKUP(1,(DESC_PROV[LINEA]=$B$2)*(DESC_PROV[LISTA]=$C$2),DESC_PROV[DESCUENTO]),0)),
   ((B40*(1+IFERROR(VLOOKUP($D$2,COLORES[],2,FALSE),0)))+(F40+I40+F40))
   *(1-IFERROR(_xlfn.XLOOKUP(1,(DESC_PROV[LINEA]=$B$2)*(DESC_PROV[LISTA]=$C$2),DESC_PROV[DESCUENTO]),0))
   *(1+VLOOKUP($C$2,LISTAS[],2,FALSE))
   *(1+VLOOKUP($C$2,LISTAS[],3,FALSE))
)
/5,0)*5</f>
        <v>415235</v>
      </c>
    </row>
    <row r="41" spans="1:18">
      <c r="A41" s="107" t="s">
        <v>110</v>
      </c>
      <c r="B41" s="64">
        <v>173644</v>
      </c>
      <c r="C41" s="64">
        <v>20650</v>
      </c>
      <c r="D41" s="64">
        <v>38700</v>
      </c>
      <c r="E41" s="64">
        <v>31806</v>
      </c>
      <c r="F41" s="64">
        <v>38532</v>
      </c>
      <c r="G41" s="64">
        <v>50736</v>
      </c>
      <c r="H41" s="64">
        <v>158834</v>
      </c>
      <c r="I41" s="64">
        <v>108354</v>
      </c>
      <c r="J41" s="2"/>
      <c r="K41" s="107" t="s">
        <v>110</v>
      </c>
      <c r="L41" s="65">
        <f t="array" ref="L41">ROUND(
IF($A$2="COSTO",
   ((B41*(1+IFERROR(VLOOKUP($D$2,COLORES[],2,FALSE),0)))+E41)
   *(1-IFERROR(_xlfn.XLOOKUP(1,(DESC_PROV[LINEA]=$B$2)*(DESC_PROV[LISTA]=$C$2),DESC_PROV[DESCUENTO]),0)),
   ((B41*(1+IFERROR(VLOOKUP($D$2,COLORES[],2,FALSE),0)))+E41)
   *(1-IFERROR(_xlfn.XLOOKUP(1,(DESC_PROV[LINEA]=$B$2)*(DESC_PROV[LISTA]=$C$2),DESC_PROV[DESCUENTO]),0))
   *(1+VLOOKUP($C$2,LISTAS[],2,FALSE))
   *(1+VLOOKUP($C$2,LISTAS[],3,FALSE))
)
/5,0)*5</f>
        <v>263290</v>
      </c>
      <c r="M41" s="65">
        <f t="array" ref="M41">ROUND(
IF($A$2="COSTO",
   ((B41*(1+IFERROR(VLOOKUP($D$2,COLORES[],2,FALSE),0)))+F41)
   *(1-IFERROR(_xlfn.XLOOKUP(1,(DESC_PROV[LINEA]=$B$2)*(DESC_PROV[LISTA]=$C$2),DESC_PROV[DESCUENTO]),0)),
   ((B41*(1+IFERROR(VLOOKUP($D$2,COLORES[],2,FALSE),0)))+F41)
   *(1-IFERROR(_xlfn.XLOOKUP(1,(DESC_PROV[LINEA]=$B$2)*(DESC_PROV[LISTA]=$C$2),DESC_PROV[DESCUENTO]),0))
   *(1+VLOOKUP($C$2,LISTAS[],2,FALSE))
   *(1+VLOOKUP($C$2,LISTAS[],3,FALSE))
)
/5,0)*5</f>
        <v>271910</v>
      </c>
      <c r="N41" s="65">
        <f t="array" ref="N41">ROUND(
IF($A$2="COSTO",
   ((B41*(1+IFERROR(VLOOKUP($D$2,COLORES[],2,FALSE),0)))+G41)
   *(1-IFERROR(_xlfn.XLOOKUP(1,(DESC_PROV[LINEA]=$B$2)*(DESC_PROV[LISTA]=$C$2),DESC_PROV[DESCUENTO]),0)),
   ((B41*(1+IFERROR(VLOOKUP($D$2,COLORES[],2,FALSE),0)))+G41)
   *(1-IFERROR(_xlfn.XLOOKUP(1,(DESC_PROV[LINEA]=$B$2)*(DESC_PROV[LISTA]=$C$2),DESC_PROV[DESCUENTO]),0))
   *(1+VLOOKUP($C$2,LISTAS[],2,FALSE))
   *(1+VLOOKUP($C$2,LISTAS[],3,FALSE))
)
/5,0)*5</f>
        <v>287550</v>
      </c>
      <c r="O41" s="65">
        <f t="array" ref="O41">ROUND(
IF($A$2="COSTO",
   ((B41*(1+IFERROR(VLOOKUP($D$2,COLORES[],2,FALSE),0)))+H41)
   *(1-IFERROR(_xlfn.XLOOKUP(1,(DESC_PROV[LINEA]=$B$2)*(DESC_PROV[LISTA]=$C$2),DESC_PROV[DESCUENTO]),0)),
   ((B41*(1+IFERROR(VLOOKUP($D$2,COLORES[],2,FALSE),0)))+H41)
   *(1-IFERROR(_xlfn.XLOOKUP(1,(DESC_PROV[LINEA]=$B$2)*(DESC_PROV[LISTA]=$C$2),DESC_PROV[DESCUENTO]),0))
   *(1+VLOOKUP($C$2,LISTAS[],2,FALSE))
   *(1+VLOOKUP($C$2,LISTAS[],3,FALSE))
)
/5,0)*5</f>
        <v>426085</v>
      </c>
      <c r="P41" s="65">
        <f t="array" ref="P41">ROUND(
IF($A$2="COSTO",
   (C41*(1+IFERROR(VLOOKUP($D$2,COLORES[],2,FALSE),0)))
   *(1-IFERROR(_xlfn.XLOOKUP(1,(DESC_PROV[LINEA]=$B$2)*(DESC_PROV[LISTA]=$C$2),DESC_PROV[DESCUENTO]),0)),
   (C41*(1+IFERROR(VLOOKUP($D$2,COLORES[],2,FALSE),0)))
   *(1-IFERROR(_xlfn.XLOOKUP(1,(DESC_PROV[LINEA]=$B$2)*(DESC_PROV[LISTA]=$C$2),DESC_PROV[DESCUENTO]),0))
   *(1+VLOOKUP($C$2,LISTAS[],2,FALSE))
   *(1+VLOOKUP($C$2,LISTAS[],3,FALSE))
)
/5,0)*5</f>
        <v>26465</v>
      </c>
      <c r="Q41" s="65">
        <f t="array" ref="Q41">ROUND(
IF($A$2="COSTO",
   (D41*(1+IFERROR(VLOOKUP($D$2,COLORES[],2,FALSE),0)))
   *(1-IFERROR(_xlfn.XLOOKUP(1,(DESC_PROV[LINEA]=$B$2)*(DESC_PROV[LISTA]=$C$2),DESC_PROV[DESCUENTO]),0)),
   (D41*(1+IFERROR(VLOOKUP($D$2,COLORES[],2,FALSE),0)))
   *(1-IFERROR(_xlfn.XLOOKUP(1,(DESC_PROV[LINEA]=$B$2)*(DESC_PROV[LISTA]=$C$2),DESC_PROV[DESCUENTO]),0))
   *(1+VLOOKUP($C$2,LISTAS[],2,FALSE))
   *(1+VLOOKUP($C$2,LISTAS[],4,FALSE))
)
/5,0)*5</f>
        <v>61040</v>
      </c>
      <c r="R41" s="66">
        <f t="array" ref="R41">ROUND(
IF($A$2="COSTO",
   ((B41*(1+IFERROR(VLOOKUP($D$2,COLORES[],2,FALSE),0)))+(F41+I41+F41))
   *(1-IFERROR(_xlfn.XLOOKUP(1,(DESC_PROV[LINEA]=$B$2)*(DESC_PROV[LISTA]=$C$2),DESC_PROV[DESCUENTO]),0)),
   ((B41*(1+IFERROR(VLOOKUP($D$2,COLORES[],2,FALSE),0)))+(F41+I41+F41))
   *(1-IFERROR(_xlfn.XLOOKUP(1,(DESC_PROV[LINEA]=$B$2)*(DESC_PROV[LISTA]=$C$2),DESC_PROV[DESCUENTO]),0))
   *(1+VLOOKUP($C$2,LISTAS[],2,FALSE))
   *(1+VLOOKUP($C$2,LISTAS[],3,FALSE))
)
/5,0)*5</f>
        <v>460150</v>
      </c>
    </row>
    <row r="42" spans="1:18">
      <c r="A42" s="107" t="s">
        <v>111</v>
      </c>
      <c r="B42" s="64">
        <v>189481</v>
      </c>
      <c r="C42" s="64">
        <v>20650</v>
      </c>
      <c r="D42" s="64">
        <v>41400</v>
      </c>
      <c r="E42" s="64">
        <v>35550</v>
      </c>
      <c r="F42" s="64">
        <v>43062</v>
      </c>
      <c r="G42" s="64">
        <v>56706</v>
      </c>
      <c r="H42" s="64">
        <v>177522</v>
      </c>
      <c r="I42" s="64">
        <v>113513</v>
      </c>
      <c r="J42" s="2"/>
      <c r="K42" s="107" t="s">
        <v>111</v>
      </c>
      <c r="L42" s="65">
        <f t="array" ref="L42">ROUND(
IF($A$2="COSTO",
   ((B42*(1+IFERROR(VLOOKUP($D$2,COLORES[],2,FALSE),0)))+E42)
   *(1-IFERROR(_xlfn.XLOOKUP(1,(DESC_PROV[LINEA]=$B$2)*(DESC_PROV[LISTA]=$C$2),DESC_PROV[DESCUENTO]),0)),
   ((B42*(1+IFERROR(VLOOKUP($D$2,COLORES[],2,FALSE),0)))+E42)
   *(1-IFERROR(_xlfn.XLOOKUP(1,(DESC_PROV[LINEA]=$B$2)*(DESC_PROV[LISTA]=$C$2),DESC_PROV[DESCUENTO]),0))
   *(1+VLOOKUP($C$2,LISTAS[],2,FALSE))
   *(1+VLOOKUP($C$2,LISTAS[],3,FALSE))
)
/5,0)*5</f>
        <v>288385</v>
      </c>
      <c r="M42" s="65">
        <f t="array" ref="M42">ROUND(
IF($A$2="COSTO",
   ((B42*(1+IFERROR(VLOOKUP($D$2,COLORES[],2,FALSE),0)))+F42)
   *(1-IFERROR(_xlfn.XLOOKUP(1,(DESC_PROV[LINEA]=$B$2)*(DESC_PROV[LISTA]=$C$2),DESC_PROV[DESCUENTO]),0)),
   ((B42*(1+IFERROR(VLOOKUP($D$2,COLORES[],2,FALSE),0)))+F42)
   *(1-IFERROR(_xlfn.XLOOKUP(1,(DESC_PROV[LINEA]=$B$2)*(DESC_PROV[LISTA]=$C$2),DESC_PROV[DESCUENTO]),0))
   *(1+VLOOKUP($C$2,LISTAS[],2,FALSE))
   *(1+VLOOKUP($C$2,LISTAS[],3,FALSE))
)
/5,0)*5</f>
        <v>298015</v>
      </c>
      <c r="N42" s="65">
        <f t="array" ref="N42">ROUND(
IF($A$2="COSTO",
   ((B42*(1+IFERROR(VLOOKUP($D$2,COLORES[],2,FALSE),0)))+G42)
   *(1-IFERROR(_xlfn.XLOOKUP(1,(DESC_PROV[LINEA]=$B$2)*(DESC_PROV[LISTA]=$C$2),DESC_PROV[DESCUENTO]),0)),
   ((B42*(1+IFERROR(VLOOKUP($D$2,COLORES[],2,FALSE),0)))+G42)
   *(1-IFERROR(_xlfn.XLOOKUP(1,(DESC_PROV[LINEA]=$B$2)*(DESC_PROV[LISTA]=$C$2),DESC_PROV[DESCUENTO]),0))
   *(1+VLOOKUP($C$2,LISTAS[],2,FALSE))
   *(1+VLOOKUP($C$2,LISTAS[],3,FALSE))
)
/5,0)*5</f>
        <v>315500</v>
      </c>
      <c r="O42" s="65">
        <f t="array" ref="O42">ROUND(
IF($A$2="COSTO",
   ((B42*(1+IFERROR(VLOOKUP($D$2,COLORES[],2,FALSE),0)))+H42)
   *(1-IFERROR(_xlfn.XLOOKUP(1,(DESC_PROV[LINEA]=$B$2)*(DESC_PROV[LISTA]=$C$2),DESC_PROV[DESCUENTO]),0)),
   ((B42*(1+IFERROR(VLOOKUP($D$2,COLORES[],2,FALSE),0)))+H42)
   *(1-IFERROR(_xlfn.XLOOKUP(1,(DESC_PROV[LINEA]=$B$2)*(DESC_PROV[LISTA]=$C$2),DESC_PROV[DESCUENTO]),0))
   *(1+VLOOKUP($C$2,LISTAS[],2,FALSE))
   *(1+VLOOKUP($C$2,LISTAS[],3,FALSE))
)
/5,0)*5</f>
        <v>470330</v>
      </c>
      <c r="P42" s="65">
        <f t="array" ref="P42">ROUND(
IF($A$2="COSTO",
   (C42*(1+IFERROR(VLOOKUP($D$2,COLORES[],2,FALSE),0)))
   *(1-IFERROR(_xlfn.XLOOKUP(1,(DESC_PROV[LINEA]=$B$2)*(DESC_PROV[LISTA]=$C$2),DESC_PROV[DESCUENTO]),0)),
   (C42*(1+IFERROR(VLOOKUP($D$2,COLORES[],2,FALSE),0)))
   *(1-IFERROR(_xlfn.XLOOKUP(1,(DESC_PROV[LINEA]=$B$2)*(DESC_PROV[LISTA]=$C$2),DESC_PROV[DESCUENTO]),0))
   *(1+VLOOKUP($C$2,LISTAS[],2,FALSE))
   *(1+VLOOKUP($C$2,LISTAS[],3,FALSE))
)
/5,0)*5</f>
        <v>26465</v>
      </c>
      <c r="Q42" s="65">
        <f t="array" ref="Q42">ROUND(
IF($A$2="COSTO",
   (D42*(1+IFERROR(VLOOKUP($D$2,COLORES[],2,FALSE),0)))
   *(1-IFERROR(_xlfn.XLOOKUP(1,(DESC_PROV[LINEA]=$B$2)*(DESC_PROV[LISTA]=$C$2),DESC_PROV[DESCUENTO]),0)),
   (D42*(1+IFERROR(VLOOKUP($D$2,COLORES[],2,FALSE),0)))
   *(1-IFERROR(_xlfn.XLOOKUP(1,(DESC_PROV[LINEA]=$B$2)*(DESC_PROV[LISTA]=$C$2),DESC_PROV[DESCUENTO]),0))
   *(1+VLOOKUP($C$2,LISTAS[],2,FALSE))
   *(1+VLOOKUP($C$2,LISTAS[],4,FALSE))
)
/5,0)*5</f>
        <v>65300</v>
      </c>
      <c r="R42" s="66">
        <f t="array" ref="R42">ROUND(
IF($A$2="COSTO",
   ((B42*(1+IFERROR(VLOOKUP($D$2,COLORES[],2,FALSE),0)))+(F42+I42+F42))
   *(1-IFERROR(_xlfn.XLOOKUP(1,(DESC_PROV[LINEA]=$B$2)*(DESC_PROV[LISTA]=$C$2),DESC_PROV[DESCUENTO]),0)),
   ((B42*(1+IFERROR(VLOOKUP($D$2,COLORES[],2,FALSE),0)))+(F42+I42+F42))
   *(1-IFERROR(_xlfn.XLOOKUP(1,(DESC_PROV[LINEA]=$B$2)*(DESC_PROV[LISTA]=$C$2),DESC_PROV[DESCUENTO]),0))
   *(1+VLOOKUP($C$2,LISTAS[],2,FALSE))
   *(1+VLOOKUP($C$2,LISTAS[],3,FALSE))
)
/5,0)*5</f>
        <v>498670</v>
      </c>
    </row>
    <row r="43" spans="1:18">
      <c r="A43" s="107" t="s">
        <v>112</v>
      </c>
      <c r="B43" s="64">
        <v>205731</v>
      </c>
      <c r="C43" s="64">
        <v>20650</v>
      </c>
      <c r="D43" s="64">
        <v>44100</v>
      </c>
      <c r="E43" s="64">
        <v>39294</v>
      </c>
      <c r="F43" s="64">
        <v>47598</v>
      </c>
      <c r="G43" s="64">
        <v>62676</v>
      </c>
      <c r="H43" s="64">
        <v>196209</v>
      </c>
      <c r="I43" s="64">
        <v>118673</v>
      </c>
      <c r="J43" s="2"/>
      <c r="K43" s="107" t="s">
        <v>112</v>
      </c>
      <c r="L43" s="65">
        <f t="array" ref="L43">ROUND(
IF($A$2="COSTO",
   ((B43*(1+IFERROR(VLOOKUP($D$2,COLORES[],2,FALSE),0)))+E43)
   *(1-IFERROR(_xlfn.XLOOKUP(1,(DESC_PROV[LINEA]=$B$2)*(DESC_PROV[LISTA]=$C$2),DESC_PROV[DESCUENTO]),0)),
   ((B43*(1+IFERROR(VLOOKUP($D$2,COLORES[],2,FALSE),0)))+E43)
   *(1-IFERROR(_xlfn.XLOOKUP(1,(DESC_PROV[LINEA]=$B$2)*(DESC_PROV[LISTA]=$C$2),DESC_PROV[DESCUENTO]),0))
   *(1+VLOOKUP($C$2,LISTAS[],2,FALSE))
   *(1+VLOOKUP($C$2,LISTAS[],3,FALSE))
)
/5,0)*5</f>
        <v>314010</v>
      </c>
      <c r="M43" s="65">
        <f t="array" ref="M43">ROUND(
IF($A$2="COSTO",
   ((B43*(1+IFERROR(VLOOKUP($D$2,COLORES[],2,FALSE),0)))+F43)
   *(1-IFERROR(_xlfn.XLOOKUP(1,(DESC_PROV[LINEA]=$B$2)*(DESC_PROV[LISTA]=$C$2),DESC_PROV[DESCUENTO]),0)),
   ((B43*(1+IFERROR(VLOOKUP($D$2,COLORES[],2,FALSE),0)))+F43)
   *(1-IFERROR(_xlfn.XLOOKUP(1,(DESC_PROV[LINEA]=$B$2)*(DESC_PROV[LISTA]=$C$2),DESC_PROV[DESCUENTO]),0))
   *(1+VLOOKUP($C$2,LISTAS[],2,FALSE))
   *(1+VLOOKUP($C$2,LISTAS[],3,FALSE))
)
/5,0)*5</f>
        <v>324650</v>
      </c>
      <c r="N43" s="65">
        <f t="array" ref="N43">ROUND(
IF($A$2="COSTO",
   ((B43*(1+IFERROR(VLOOKUP($D$2,COLORES[],2,FALSE),0)))+G43)
   *(1-IFERROR(_xlfn.XLOOKUP(1,(DESC_PROV[LINEA]=$B$2)*(DESC_PROV[LISTA]=$C$2),DESC_PROV[DESCUENTO]),0)),
   ((B43*(1+IFERROR(VLOOKUP($D$2,COLORES[],2,FALSE),0)))+G43)
   *(1-IFERROR(_xlfn.XLOOKUP(1,(DESC_PROV[LINEA]=$B$2)*(DESC_PROV[LISTA]=$C$2),DESC_PROV[DESCUENTO]),0))
   *(1+VLOOKUP($C$2,LISTAS[],2,FALSE))
   *(1+VLOOKUP($C$2,LISTAS[],3,FALSE))
)
/5,0)*5</f>
        <v>343975</v>
      </c>
      <c r="O43" s="65">
        <f t="array" ref="O43">ROUND(
IF($A$2="COSTO",
   ((B43*(1+IFERROR(VLOOKUP($D$2,COLORES[],2,FALSE),0)))+H43)
   *(1-IFERROR(_xlfn.XLOOKUP(1,(DESC_PROV[LINEA]=$B$2)*(DESC_PROV[LISTA]=$C$2),DESC_PROV[DESCUENTO]),0)),
   ((B43*(1+IFERROR(VLOOKUP($D$2,COLORES[],2,FALSE),0)))+H43)
   *(1-IFERROR(_xlfn.XLOOKUP(1,(DESC_PROV[LINEA]=$B$2)*(DESC_PROV[LISTA]=$C$2),DESC_PROV[DESCUENTO]),0))
   *(1+VLOOKUP($C$2,LISTAS[],2,FALSE))
   *(1+VLOOKUP($C$2,LISTAS[],3,FALSE))
)
/5,0)*5</f>
        <v>515100</v>
      </c>
      <c r="P43" s="65">
        <f t="array" ref="P43">ROUND(
IF($A$2="COSTO",
   (C43*(1+IFERROR(VLOOKUP($D$2,COLORES[],2,FALSE),0)))
   *(1-IFERROR(_xlfn.XLOOKUP(1,(DESC_PROV[LINEA]=$B$2)*(DESC_PROV[LISTA]=$C$2),DESC_PROV[DESCUENTO]),0)),
   (C43*(1+IFERROR(VLOOKUP($D$2,COLORES[],2,FALSE),0)))
   *(1-IFERROR(_xlfn.XLOOKUP(1,(DESC_PROV[LINEA]=$B$2)*(DESC_PROV[LISTA]=$C$2),DESC_PROV[DESCUENTO]),0))
   *(1+VLOOKUP($C$2,LISTAS[],2,FALSE))
   *(1+VLOOKUP($C$2,LISTAS[],3,FALSE))
)
/5,0)*5</f>
        <v>26465</v>
      </c>
      <c r="Q43" s="65">
        <f t="array" ref="Q43">ROUND(
IF($A$2="COSTO",
   (D43*(1+IFERROR(VLOOKUP($D$2,COLORES[],2,FALSE),0)))
   *(1-IFERROR(_xlfn.XLOOKUP(1,(DESC_PROV[LINEA]=$B$2)*(DESC_PROV[LISTA]=$C$2),DESC_PROV[DESCUENTO]),0)),
   (D43*(1+IFERROR(VLOOKUP($D$2,COLORES[],2,FALSE),0)))
   *(1-IFERROR(_xlfn.XLOOKUP(1,(DESC_PROV[LINEA]=$B$2)*(DESC_PROV[LISTA]=$C$2),DESC_PROV[DESCUENTO]),0))
   *(1+VLOOKUP($C$2,LISTAS[],2,FALSE))
   *(1+VLOOKUP($C$2,LISTAS[],4,FALSE))
)
/5,0)*5</f>
        <v>69560</v>
      </c>
      <c r="R43" s="66">
        <f t="array" ref="R43">ROUND(
IF($A$2="COSTO",
   ((B43*(1+IFERROR(VLOOKUP($D$2,COLORES[],2,FALSE),0)))+(F43+I43+F43))
   *(1-IFERROR(_xlfn.XLOOKUP(1,(DESC_PROV[LINEA]=$B$2)*(DESC_PROV[LISTA]=$C$2),DESC_PROV[DESCUENTO]),0)),
   ((B43*(1+IFERROR(VLOOKUP($D$2,COLORES[],2,FALSE),0)))+(F43+I43+F43))
   *(1-IFERROR(_xlfn.XLOOKUP(1,(DESC_PROV[LINEA]=$B$2)*(DESC_PROV[LISTA]=$C$2),DESC_PROV[DESCUENTO]),0))
   *(1+VLOOKUP($C$2,LISTAS[],2,FALSE))
   *(1+VLOOKUP($C$2,LISTAS[],3,FALSE))
)
/5,0)*5</f>
        <v>537735</v>
      </c>
    </row>
    <row r="44" spans="1:18">
      <c r="A44" s="107" t="s">
        <v>113</v>
      </c>
      <c r="B44" s="64">
        <v>218806</v>
      </c>
      <c r="C44" s="64">
        <v>20650</v>
      </c>
      <c r="D44" s="64">
        <v>46800</v>
      </c>
      <c r="E44" s="64">
        <v>43038</v>
      </c>
      <c r="F44" s="64">
        <v>52128</v>
      </c>
      <c r="G44" s="64">
        <v>68646</v>
      </c>
      <c r="H44" s="64">
        <v>214897</v>
      </c>
      <c r="I44" s="64">
        <v>123833</v>
      </c>
      <c r="J44" s="2"/>
      <c r="K44" s="107" t="s">
        <v>113</v>
      </c>
      <c r="L44" s="65">
        <f t="array" ref="L44">ROUND(
IF($A$2="COSTO",
   ((B44*(1+IFERROR(VLOOKUP($D$2,COLORES[],2,FALSE),0)))+E44)
   *(1-IFERROR(_xlfn.XLOOKUP(1,(DESC_PROV[LINEA]=$B$2)*(DESC_PROV[LISTA]=$C$2),DESC_PROV[DESCUENTO]),0)),
   ((B44*(1+IFERROR(VLOOKUP($D$2,COLORES[],2,FALSE),0)))+E44)
   *(1-IFERROR(_xlfn.XLOOKUP(1,(DESC_PROV[LINEA]=$B$2)*(DESC_PROV[LISTA]=$C$2),DESC_PROV[DESCUENTO]),0))
   *(1+VLOOKUP($C$2,LISTAS[],2,FALSE))
   *(1+VLOOKUP($C$2,LISTAS[],3,FALSE))
)
/5,0)*5</f>
        <v>335565</v>
      </c>
      <c r="M44" s="65">
        <f t="array" ref="M44">ROUND(
IF($A$2="COSTO",
   ((B44*(1+IFERROR(VLOOKUP($D$2,COLORES[],2,FALSE),0)))+F44)
   *(1-IFERROR(_xlfn.XLOOKUP(1,(DESC_PROV[LINEA]=$B$2)*(DESC_PROV[LISTA]=$C$2),DESC_PROV[DESCUENTO]),0)),
   ((B44*(1+IFERROR(VLOOKUP($D$2,COLORES[],2,FALSE),0)))+F44)
   *(1-IFERROR(_xlfn.XLOOKUP(1,(DESC_PROV[LINEA]=$B$2)*(DESC_PROV[LISTA]=$C$2),DESC_PROV[DESCUENTO]),0))
   *(1+VLOOKUP($C$2,LISTAS[],2,FALSE))
   *(1+VLOOKUP($C$2,LISTAS[],3,FALSE))
)
/5,0)*5</f>
        <v>347215</v>
      </c>
      <c r="N44" s="65">
        <f t="array" ref="N44">ROUND(
IF($A$2="COSTO",
   ((B44*(1+IFERROR(VLOOKUP($D$2,COLORES[],2,FALSE),0)))+G44)
   *(1-IFERROR(_xlfn.XLOOKUP(1,(DESC_PROV[LINEA]=$B$2)*(DESC_PROV[LISTA]=$C$2),DESC_PROV[DESCUENTO]),0)),
   ((B44*(1+IFERROR(VLOOKUP($D$2,COLORES[],2,FALSE),0)))+G44)
   *(1-IFERROR(_xlfn.XLOOKUP(1,(DESC_PROV[LINEA]=$B$2)*(DESC_PROV[LISTA]=$C$2),DESC_PROV[DESCUENTO]),0))
   *(1+VLOOKUP($C$2,LISTAS[],2,FALSE))
   *(1+VLOOKUP($C$2,LISTAS[],3,FALSE))
)
/5,0)*5</f>
        <v>368380</v>
      </c>
      <c r="O44" s="65">
        <f t="array" ref="O44">ROUND(
IF($A$2="COSTO",
   ((B44*(1+IFERROR(VLOOKUP($D$2,COLORES[],2,FALSE),0)))+H44)
   *(1-IFERROR(_xlfn.XLOOKUP(1,(DESC_PROV[LINEA]=$B$2)*(DESC_PROV[LISTA]=$C$2),DESC_PROV[DESCUENTO]),0)),
   ((B44*(1+IFERROR(VLOOKUP($D$2,COLORES[],2,FALSE),0)))+H44)
   *(1-IFERROR(_xlfn.XLOOKUP(1,(DESC_PROV[LINEA]=$B$2)*(DESC_PROV[LISTA]=$C$2),DESC_PROV[DESCUENTO]),0))
   *(1+VLOOKUP($C$2,LISTAS[],2,FALSE))
   *(1+VLOOKUP($C$2,LISTAS[],3,FALSE))
)
/5,0)*5</f>
        <v>555810</v>
      </c>
      <c r="P44" s="65">
        <f t="array" ref="P44">ROUND(
IF($A$2="COSTO",
   (C44*(1+IFERROR(VLOOKUP($D$2,COLORES[],2,FALSE),0)))
   *(1-IFERROR(_xlfn.XLOOKUP(1,(DESC_PROV[LINEA]=$B$2)*(DESC_PROV[LISTA]=$C$2),DESC_PROV[DESCUENTO]),0)),
   (C44*(1+IFERROR(VLOOKUP($D$2,COLORES[],2,FALSE),0)))
   *(1-IFERROR(_xlfn.XLOOKUP(1,(DESC_PROV[LINEA]=$B$2)*(DESC_PROV[LISTA]=$C$2),DESC_PROV[DESCUENTO]),0))
   *(1+VLOOKUP($C$2,LISTAS[],2,FALSE))
   *(1+VLOOKUP($C$2,LISTAS[],3,FALSE))
)
/5,0)*5</f>
        <v>26465</v>
      </c>
      <c r="Q44" s="65">
        <f t="array" ref="Q44">ROUND(
IF($A$2="COSTO",
   (D44*(1+IFERROR(VLOOKUP($D$2,COLORES[],2,FALSE),0)))
   *(1-IFERROR(_xlfn.XLOOKUP(1,(DESC_PROV[LINEA]=$B$2)*(DESC_PROV[LISTA]=$C$2),DESC_PROV[DESCUENTO]),0)),
   (D44*(1+IFERROR(VLOOKUP($D$2,COLORES[],2,FALSE),0)))
   *(1-IFERROR(_xlfn.XLOOKUP(1,(DESC_PROV[LINEA]=$B$2)*(DESC_PROV[LISTA]=$C$2),DESC_PROV[DESCUENTO]),0))
   *(1+VLOOKUP($C$2,LISTAS[],2,FALSE))
   *(1+VLOOKUP($C$2,LISTAS[],4,FALSE))
)
/5,0)*5</f>
        <v>73815</v>
      </c>
      <c r="R44" s="66">
        <f t="array" ref="R44">ROUND(
IF($A$2="COSTO",
   ((B44*(1+IFERROR(VLOOKUP($D$2,COLORES[],2,FALSE),0)))+(F44+I44+F44))
   *(1-IFERROR(_xlfn.XLOOKUP(1,(DESC_PROV[LINEA]=$B$2)*(DESC_PROV[LISTA]=$C$2),DESC_PROV[DESCUENTO]),0)),
   ((B44*(1+IFERROR(VLOOKUP($D$2,COLORES[],2,FALSE),0)))+(F44+I44+F44))
   *(1-IFERROR(_xlfn.XLOOKUP(1,(DESC_PROV[LINEA]=$B$2)*(DESC_PROV[LISTA]=$C$2),DESC_PROV[DESCUENTO]),0))
   *(1+VLOOKUP($C$2,LISTAS[],2,FALSE))
   *(1+VLOOKUP($C$2,LISTAS[],3,FALSE))
)
/5,0)*5</f>
        <v>572715</v>
      </c>
    </row>
    <row r="45" spans="1:18">
      <c r="A45" s="107" t="s">
        <v>114</v>
      </c>
      <c r="B45" s="64">
        <v>145750</v>
      </c>
      <c r="C45" s="64">
        <v>25813</v>
      </c>
      <c r="D45" s="64">
        <v>33375</v>
      </c>
      <c r="E45" s="64">
        <v>21432</v>
      </c>
      <c r="F45" s="64">
        <v>25962</v>
      </c>
      <c r="G45" s="64">
        <v>34188</v>
      </c>
      <c r="H45" s="64">
        <v>107024</v>
      </c>
      <c r="I45" s="64">
        <v>103194</v>
      </c>
      <c r="J45" s="2"/>
      <c r="K45" s="107" t="s">
        <v>114</v>
      </c>
      <c r="L45" s="65">
        <f t="array" ref="L45">ROUND(
IF($A$2="COSTO",
   ((B45*(1+IFERROR(VLOOKUP($D$2,COLORES[],2,FALSE),0)))+E45)
   *(1-IFERROR(_xlfn.XLOOKUP(1,(DESC_PROV[LINEA]=$B$2)*(DESC_PROV[LISTA]=$C$2),DESC_PROV[DESCUENTO]),0)),
   ((B45*(1+IFERROR(VLOOKUP($D$2,COLORES[],2,FALSE),0)))+E45)
   *(1-IFERROR(_xlfn.XLOOKUP(1,(DESC_PROV[LINEA]=$B$2)*(DESC_PROV[LISTA]=$C$2),DESC_PROV[DESCUENTO]),0))
   *(1+VLOOKUP($C$2,LISTAS[],2,FALSE))
   *(1+VLOOKUP($C$2,LISTAS[],3,FALSE))
)
/5,0)*5</f>
        <v>214250</v>
      </c>
      <c r="M45" s="65">
        <f t="array" ref="M45">ROUND(
IF($A$2="COSTO",
   ((B45*(1+IFERROR(VLOOKUP($D$2,COLORES[],2,FALSE),0)))+F45)
   *(1-IFERROR(_xlfn.XLOOKUP(1,(DESC_PROV[LINEA]=$B$2)*(DESC_PROV[LISTA]=$C$2),DESC_PROV[DESCUENTO]),0)),
   ((B45*(1+IFERROR(VLOOKUP($D$2,COLORES[],2,FALSE),0)))+F45)
   *(1-IFERROR(_xlfn.XLOOKUP(1,(DESC_PROV[LINEA]=$B$2)*(DESC_PROV[LISTA]=$C$2),DESC_PROV[DESCUENTO]),0))
   *(1+VLOOKUP($C$2,LISTAS[],2,FALSE))
   *(1+VLOOKUP($C$2,LISTAS[],3,FALSE))
)
/5,0)*5</f>
        <v>220055</v>
      </c>
      <c r="N45" s="65">
        <f t="array" ref="N45">ROUND(
IF($A$2="COSTO",
   ((B45*(1+IFERROR(VLOOKUP($D$2,COLORES[],2,FALSE),0)))+G45)
   *(1-IFERROR(_xlfn.XLOOKUP(1,(DESC_PROV[LINEA]=$B$2)*(DESC_PROV[LISTA]=$C$2),DESC_PROV[DESCUENTO]),0)),
   ((B45*(1+IFERROR(VLOOKUP($D$2,COLORES[],2,FALSE),0)))+G45)
   *(1-IFERROR(_xlfn.XLOOKUP(1,(DESC_PROV[LINEA]=$B$2)*(DESC_PROV[LISTA]=$C$2),DESC_PROV[DESCUENTO]),0))
   *(1+VLOOKUP($C$2,LISTAS[],2,FALSE))
   *(1+VLOOKUP($C$2,LISTAS[],3,FALSE))
)
/5,0)*5</f>
        <v>230600</v>
      </c>
      <c r="O45" s="65">
        <f t="array" ref="O45">ROUND(
IF($A$2="COSTO",
   ((B45*(1+IFERROR(VLOOKUP($D$2,COLORES[],2,FALSE),0)))+H45)
   *(1-IFERROR(_xlfn.XLOOKUP(1,(DESC_PROV[LINEA]=$B$2)*(DESC_PROV[LISTA]=$C$2),DESC_PROV[DESCUENTO]),0)),
   ((B45*(1+IFERROR(VLOOKUP($D$2,COLORES[],2,FALSE),0)))+H45)
   *(1-IFERROR(_xlfn.XLOOKUP(1,(DESC_PROV[LINEA]=$B$2)*(DESC_PROV[LISTA]=$C$2),DESC_PROV[DESCUENTO]),0))
   *(1+VLOOKUP($C$2,LISTAS[],2,FALSE))
   *(1+VLOOKUP($C$2,LISTAS[],3,FALSE))
)
/5,0)*5</f>
        <v>323940</v>
      </c>
      <c r="P45" s="65">
        <f t="array" ref="P45">ROUND(
IF($A$2="COSTO",
   (C45*(1+IFERROR(VLOOKUP($D$2,COLORES[],2,FALSE),0)))
   *(1-IFERROR(_xlfn.XLOOKUP(1,(DESC_PROV[LINEA]=$B$2)*(DESC_PROV[LISTA]=$C$2),DESC_PROV[DESCUENTO]),0)),
   (C45*(1+IFERROR(VLOOKUP($D$2,COLORES[],2,FALSE),0)))
   *(1-IFERROR(_xlfn.XLOOKUP(1,(DESC_PROV[LINEA]=$B$2)*(DESC_PROV[LISTA]=$C$2),DESC_PROV[DESCUENTO]),0))
   *(1+VLOOKUP($C$2,LISTAS[],2,FALSE))
   *(1+VLOOKUP($C$2,LISTAS[],3,FALSE))
)
/5,0)*5</f>
        <v>33080</v>
      </c>
      <c r="Q45" s="65">
        <f t="array" ref="Q45">ROUND(
IF($A$2="COSTO",
   (D45*(1+IFERROR(VLOOKUP($D$2,COLORES[],2,FALSE),0)))
   *(1-IFERROR(_xlfn.XLOOKUP(1,(DESC_PROV[LINEA]=$B$2)*(DESC_PROV[LISTA]=$C$2),DESC_PROV[DESCUENTO]),0)),
   (D45*(1+IFERROR(VLOOKUP($D$2,COLORES[],2,FALSE),0)))
   *(1-IFERROR(_xlfn.XLOOKUP(1,(DESC_PROV[LINEA]=$B$2)*(DESC_PROV[LISTA]=$C$2),DESC_PROV[DESCUENTO]),0))
   *(1+VLOOKUP($C$2,LISTAS[],2,FALSE))
   *(1+VLOOKUP($C$2,LISTAS[],4,FALSE))
)
/5,0)*5</f>
        <v>52640</v>
      </c>
      <c r="R45" s="66">
        <f t="array" ref="R45">ROUND(
IF($A$2="COSTO",
   ((B45*(1+IFERROR(VLOOKUP($D$2,COLORES[],2,FALSE),0)))+(F45+I45+F45))
   *(1-IFERROR(_xlfn.XLOOKUP(1,(DESC_PROV[LINEA]=$B$2)*(DESC_PROV[LISTA]=$C$2),DESC_PROV[DESCUENTO]),0)),
   ((B45*(1+IFERROR(VLOOKUP($D$2,COLORES[],2,FALSE),0)))+(F45+I45+F45))
   *(1-IFERROR(_xlfn.XLOOKUP(1,(DESC_PROV[LINEA]=$B$2)*(DESC_PROV[LISTA]=$C$2),DESC_PROV[DESCUENTO]),0))
   *(1+VLOOKUP($C$2,LISTAS[],2,FALSE))
   *(1+VLOOKUP($C$2,LISTAS[],3,FALSE))
)
/5,0)*5</f>
        <v>385575</v>
      </c>
    </row>
    <row r="46" spans="1:18">
      <c r="A46" s="107" t="s">
        <v>71</v>
      </c>
      <c r="B46" s="64">
        <v>154494</v>
      </c>
      <c r="C46" s="64">
        <v>25813</v>
      </c>
      <c r="D46" s="64">
        <v>36450</v>
      </c>
      <c r="E46" s="64">
        <v>26196</v>
      </c>
      <c r="F46" s="64">
        <v>31728</v>
      </c>
      <c r="G46" s="64">
        <v>41784</v>
      </c>
      <c r="H46" s="64">
        <v>130806</v>
      </c>
      <c r="I46" s="64">
        <v>108354</v>
      </c>
      <c r="J46" s="2"/>
      <c r="K46" s="107" t="s">
        <v>71</v>
      </c>
      <c r="L46" s="65">
        <f t="array" ref="L46">ROUND(
IF($A$2="COSTO",
   ((B46*(1+IFERROR(VLOOKUP($D$2,COLORES[],2,FALSE),0)))+E46)
   *(1-IFERROR(_xlfn.XLOOKUP(1,(DESC_PROV[LINEA]=$B$2)*(DESC_PROV[LISTA]=$C$2),DESC_PROV[DESCUENTO]),0)),
   ((B46*(1+IFERROR(VLOOKUP($D$2,COLORES[],2,FALSE),0)))+E46)
   *(1-IFERROR(_xlfn.XLOOKUP(1,(DESC_PROV[LINEA]=$B$2)*(DESC_PROV[LISTA]=$C$2),DESC_PROV[DESCUENTO]),0))
   *(1+VLOOKUP($C$2,LISTAS[],2,FALSE))
   *(1+VLOOKUP($C$2,LISTAS[],3,FALSE))
)
/5,0)*5</f>
        <v>231560</v>
      </c>
      <c r="M46" s="65">
        <f t="array" ref="M46">ROUND(
IF($A$2="COSTO",
   ((B46*(1+IFERROR(VLOOKUP($D$2,COLORES[],2,FALSE),0)))+F46)
   *(1-IFERROR(_xlfn.XLOOKUP(1,(DESC_PROV[LINEA]=$B$2)*(DESC_PROV[LISTA]=$C$2),DESC_PROV[DESCUENTO]),0)),
   ((B46*(1+IFERROR(VLOOKUP($D$2,COLORES[],2,FALSE),0)))+F46)
   *(1-IFERROR(_xlfn.XLOOKUP(1,(DESC_PROV[LINEA]=$B$2)*(DESC_PROV[LISTA]=$C$2),DESC_PROV[DESCUENTO]),0))
   *(1+VLOOKUP($C$2,LISTAS[],2,FALSE))
   *(1+VLOOKUP($C$2,LISTAS[],3,FALSE))
)
/5,0)*5</f>
        <v>238650</v>
      </c>
      <c r="N46" s="65">
        <f t="array" ref="N46">ROUND(
IF($A$2="COSTO",
   ((B46*(1+IFERROR(VLOOKUP($D$2,COLORES[],2,FALSE),0)))+G46)
   *(1-IFERROR(_xlfn.XLOOKUP(1,(DESC_PROV[LINEA]=$B$2)*(DESC_PROV[LISTA]=$C$2),DESC_PROV[DESCUENTO]),0)),
   ((B46*(1+IFERROR(VLOOKUP($D$2,COLORES[],2,FALSE),0)))+G46)
   *(1-IFERROR(_xlfn.XLOOKUP(1,(DESC_PROV[LINEA]=$B$2)*(DESC_PROV[LISTA]=$C$2),DESC_PROV[DESCUENTO]),0))
   *(1+VLOOKUP($C$2,LISTAS[],2,FALSE))
   *(1+VLOOKUP($C$2,LISTAS[],3,FALSE))
)
/5,0)*5</f>
        <v>251540</v>
      </c>
      <c r="O46" s="65">
        <f t="array" ref="O46">ROUND(
IF($A$2="COSTO",
   ((B46*(1+IFERROR(VLOOKUP($D$2,COLORES[],2,FALSE),0)))+H46)
   *(1-IFERROR(_xlfn.XLOOKUP(1,(DESC_PROV[LINEA]=$B$2)*(DESC_PROV[LISTA]=$C$2),DESC_PROV[DESCUENTO]),0)),
   ((B46*(1+IFERROR(VLOOKUP($D$2,COLORES[],2,FALSE),0)))+H46)
   *(1-IFERROR(_xlfn.XLOOKUP(1,(DESC_PROV[LINEA]=$B$2)*(DESC_PROV[LISTA]=$C$2),DESC_PROV[DESCUENTO]),0))
   *(1+VLOOKUP($C$2,LISTAS[],2,FALSE))
   *(1+VLOOKUP($C$2,LISTAS[],3,FALSE))
)
/5,0)*5</f>
        <v>365625</v>
      </c>
      <c r="P46" s="65">
        <f t="array" ref="P46">ROUND(
IF($A$2="COSTO",
   (C46*(1+IFERROR(VLOOKUP($D$2,COLORES[],2,FALSE),0)))
   *(1-IFERROR(_xlfn.XLOOKUP(1,(DESC_PROV[LINEA]=$B$2)*(DESC_PROV[LISTA]=$C$2),DESC_PROV[DESCUENTO]),0)),
   (C46*(1+IFERROR(VLOOKUP($D$2,COLORES[],2,FALSE),0)))
   *(1-IFERROR(_xlfn.XLOOKUP(1,(DESC_PROV[LINEA]=$B$2)*(DESC_PROV[LISTA]=$C$2),DESC_PROV[DESCUENTO]),0))
   *(1+VLOOKUP($C$2,LISTAS[],2,FALSE))
   *(1+VLOOKUP($C$2,LISTAS[],3,FALSE))
)
/5,0)*5</f>
        <v>33080</v>
      </c>
      <c r="Q46" s="65">
        <f t="array" ref="Q46">ROUND(
IF($A$2="COSTO",
   (D46*(1+IFERROR(VLOOKUP($D$2,COLORES[],2,FALSE),0)))
   *(1-IFERROR(_xlfn.XLOOKUP(1,(DESC_PROV[LINEA]=$B$2)*(DESC_PROV[LISTA]=$C$2),DESC_PROV[DESCUENTO]),0)),
   (D46*(1+IFERROR(VLOOKUP($D$2,COLORES[],2,FALSE),0)))
   *(1-IFERROR(_xlfn.XLOOKUP(1,(DESC_PROV[LINEA]=$B$2)*(DESC_PROV[LISTA]=$C$2),DESC_PROV[DESCUENTO]),0))
   *(1+VLOOKUP($C$2,LISTAS[],2,FALSE))
   *(1+VLOOKUP($C$2,LISTAS[],4,FALSE))
)
/5,0)*5</f>
        <v>57490</v>
      </c>
      <c r="R46" s="66">
        <f t="array" ref="R46">ROUND(
IF($A$2="COSTO",
   ((B46*(1+IFERROR(VLOOKUP($D$2,COLORES[],2,FALSE),0)))+(F46+I46+F46))
   *(1-IFERROR(_xlfn.XLOOKUP(1,(DESC_PROV[LINEA]=$B$2)*(DESC_PROV[LISTA]=$C$2),DESC_PROV[DESCUENTO]),0)),
   ((B46*(1+IFERROR(VLOOKUP($D$2,COLORES[],2,FALSE),0)))+(F46+I46+F46))
   *(1-IFERROR(_xlfn.XLOOKUP(1,(DESC_PROV[LINEA]=$B$2)*(DESC_PROV[LISTA]=$C$2),DESC_PROV[DESCUENTO]),0))
   *(1+VLOOKUP($C$2,LISTAS[],2,FALSE))
   *(1+VLOOKUP($C$2,LISTAS[],3,FALSE))
)
/5,0)*5</f>
        <v>418170</v>
      </c>
    </row>
    <row r="47" spans="1:18">
      <c r="A47" s="107" t="s">
        <v>72</v>
      </c>
      <c r="B47" s="64">
        <v>171738</v>
      </c>
      <c r="C47" s="64">
        <v>25813</v>
      </c>
      <c r="D47" s="64">
        <v>41063</v>
      </c>
      <c r="E47" s="64">
        <v>33336</v>
      </c>
      <c r="F47" s="64">
        <v>40386</v>
      </c>
      <c r="G47" s="64">
        <v>53178</v>
      </c>
      <c r="H47" s="64">
        <v>166483</v>
      </c>
      <c r="I47" s="64">
        <v>116093</v>
      </c>
      <c r="J47" s="2"/>
      <c r="K47" s="107" t="s">
        <v>72</v>
      </c>
      <c r="L47" s="65">
        <f t="array" ref="L47">ROUND(
IF($A$2="COSTO",
   ((B47*(1+IFERROR(VLOOKUP($D$2,COLORES[],2,FALSE),0)))+E47)
   *(1-IFERROR(_xlfn.XLOOKUP(1,(DESC_PROV[LINEA]=$B$2)*(DESC_PROV[LISTA]=$C$2),DESC_PROV[DESCUENTO]),0)),
   ((B47*(1+IFERROR(VLOOKUP($D$2,COLORES[],2,FALSE),0)))+E47)
   *(1-IFERROR(_xlfn.XLOOKUP(1,(DESC_PROV[LINEA]=$B$2)*(DESC_PROV[LISTA]=$C$2),DESC_PROV[DESCUENTO]),0))
   *(1+VLOOKUP($C$2,LISTAS[],2,FALSE))
   *(1+VLOOKUP($C$2,LISTAS[],3,FALSE))
)
/5,0)*5</f>
        <v>262810</v>
      </c>
      <c r="M47" s="65">
        <f t="array" ref="M47">ROUND(
IF($A$2="COSTO",
   ((B47*(1+IFERROR(VLOOKUP($D$2,COLORES[],2,FALSE),0)))+F47)
   *(1-IFERROR(_xlfn.XLOOKUP(1,(DESC_PROV[LINEA]=$B$2)*(DESC_PROV[LISTA]=$C$2),DESC_PROV[DESCUENTO]),0)),
   ((B47*(1+IFERROR(VLOOKUP($D$2,COLORES[],2,FALSE),0)))+F47)
   *(1-IFERROR(_xlfn.XLOOKUP(1,(DESC_PROV[LINEA]=$B$2)*(DESC_PROV[LISTA]=$C$2),DESC_PROV[DESCUENTO]),0))
   *(1+VLOOKUP($C$2,LISTAS[],2,FALSE))
   *(1+VLOOKUP($C$2,LISTAS[],3,FALSE))
)
/5,0)*5</f>
        <v>271845</v>
      </c>
      <c r="N47" s="65">
        <f t="array" ref="N47">ROUND(
IF($A$2="COSTO",
   ((B47*(1+IFERROR(VLOOKUP($D$2,COLORES[],2,FALSE),0)))+G47)
   *(1-IFERROR(_xlfn.XLOOKUP(1,(DESC_PROV[LINEA]=$B$2)*(DESC_PROV[LISTA]=$C$2),DESC_PROV[DESCUENTO]),0)),
   ((B47*(1+IFERROR(VLOOKUP($D$2,COLORES[],2,FALSE),0)))+G47)
   *(1-IFERROR(_xlfn.XLOOKUP(1,(DESC_PROV[LINEA]=$B$2)*(DESC_PROV[LISTA]=$C$2),DESC_PROV[DESCUENTO]),0))
   *(1+VLOOKUP($C$2,LISTAS[],2,FALSE))
   *(1+VLOOKUP($C$2,LISTAS[],3,FALSE))
)
/5,0)*5</f>
        <v>288240</v>
      </c>
      <c r="O47" s="65">
        <f t="array" ref="O47">ROUND(
IF($A$2="COSTO",
   ((B47*(1+IFERROR(VLOOKUP($D$2,COLORES[],2,FALSE),0)))+H47)
   *(1-IFERROR(_xlfn.XLOOKUP(1,(DESC_PROV[LINEA]=$B$2)*(DESC_PROV[LISTA]=$C$2),DESC_PROV[DESCUENTO]),0)),
   ((B47*(1+IFERROR(VLOOKUP($D$2,COLORES[],2,FALSE),0)))+H47)
   *(1-IFERROR(_xlfn.XLOOKUP(1,(DESC_PROV[LINEA]=$B$2)*(DESC_PROV[LISTA]=$C$2),DESC_PROV[DESCUENTO]),0))
   *(1+VLOOKUP($C$2,LISTAS[],2,FALSE))
   *(1+VLOOKUP($C$2,LISTAS[],3,FALSE))
)
/5,0)*5</f>
        <v>433445</v>
      </c>
      <c r="P47" s="65">
        <f t="array" ref="P47">ROUND(
IF($A$2="COSTO",
   (C47*(1+IFERROR(VLOOKUP($D$2,COLORES[],2,FALSE),0)))
   *(1-IFERROR(_xlfn.XLOOKUP(1,(DESC_PROV[LINEA]=$B$2)*(DESC_PROV[LISTA]=$C$2),DESC_PROV[DESCUENTO]),0)),
   (C47*(1+IFERROR(VLOOKUP($D$2,COLORES[],2,FALSE),0)))
   *(1-IFERROR(_xlfn.XLOOKUP(1,(DESC_PROV[LINEA]=$B$2)*(DESC_PROV[LISTA]=$C$2),DESC_PROV[DESCUENTO]),0))
   *(1+VLOOKUP($C$2,LISTAS[],2,FALSE))
   *(1+VLOOKUP($C$2,LISTAS[],3,FALSE))
)
/5,0)*5</f>
        <v>33080</v>
      </c>
      <c r="Q47" s="65">
        <f t="array" ref="Q47">ROUND(
IF($A$2="COSTO",
   (D47*(1+IFERROR(VLOOKUP($D$2,COLORES[],2,FALSE),0)))
   *(1-IFERROR(_xlfn.XLOOKUP(1,(DESC_PROV[LINEA]=$B$2)*(DESC_PROV[LISTA]=$C$2),DESC_PROV[DESCUENTO]),0)),
   (D47*(1+IFERROR(VLOOKUP($D$2,COLORES[],2,FALSE),0)))
   *(1-IFERROR(_xlfn.XLOOKUP(1,(DESC_PROV[LINEA]=$B$2)*(DESC_PROV[LISTA]=$C$2),DESC_PROV[DESCUENTO]),0))
   *(1+VLOOKUP($C$2,LISTAS[],2,FALSE))
   *(1+VLOOKUP($C$2,LISTAS[],4,FALSE))
)
/5,0)*5</f>
        <v>64770</v>
      </c>
      <c r="R47" s="66">
        <f t="array" ref="R47">ROUND(
IF($A$2="COSTO",
   ((B47*(1+IFERROR(VLOOKUP($D$2,COLORES[],2,FALSE),0)))+(F47+I47+F47))
   *(1-IFERROR(_xlfn.XLOOKUP(1,(DESC_PROV[LINEA]=$B$2)*(DESC_PROV[LISTA]=$C$2),DESC_PROV[DESCUENTO]),0)),
   ((B47*(1+IFERROR(VLOOKUP($D$2,COLORES[],2,FALSE),0)))+(F47+I47+F47))
   *(1-IFERROR(_xlfn.XLOOKUP(1,(DESC_PROV[LINEA]=$B$2)*(DESC_PROV[LISTA]=$C$2),DESC_PROV[DESCUENTO]),0))
   *(1+VLOOKUP($C$2,LISTAS[],2,FALSE))
   *(1+VLOOKUP($C$2,LISTAS[],3,FALSE))
)
/5,0)*5</f>
        <v>472380</v>
      </c>
    </row>
    <row r="48" spans="1:18">
      <c r="A48" s="107" t="s">
        <v>73</v>
      </c>
      <c r="B48" s="64">
        <v>184256</v>
      </c>
      <c r="C48" s="64">
        <v>25813</v>
      </c>
      <c r="D48" s="64">
        <v>45675</v>
      </c>
      <c r="E48" s="64">
        <v>40482</v>
      </c>
      <c r="F48" s="64">
        <v>49032</v>
      </c>
      <c r="G48" s="64">
        <v>64572</v>
      </c>
      <c r="H48" s="64">
        <v>202153</v>
      </c>
      <c r="I48" s="64">
        <v>123833</v>
      </c>
      <c r="J48" s="2"/>
      <c r="K48" s="107" t="s">
        <v>73</v>
      </c>
      <c r="L48" s="65">
        <f t="array" ref="L48">ROUND(
IF($A$2="COSTO",
   ((B48*(1+IFERROR(VLOOKUP($D$2,COLORES[],2,FALSE),0)))+E48)
   *(1-IFERROR(_xlfn.XLOOKUP(1,(DESC_PROV[LINEA]=$B$2)*(DESC_PROV[LISTA]=$C$2),DESC_PROV[DESCUENTO]),0)),
   ((B48*(1+IFERROR(VLOOKUP($D$2,COLORES[],2,FALSE),0)))+E48)
   *(1-IFERROR(_xlfn.XLOOKUP(1,(DESC_PROV[LINEA]=$B$2)*(DESC_PROV[LISTA]=$C$2),DESC_PROV[DESCUENTO]),0))
   *(1+VLOOKUP($C$2,LISTAS[],2,FALSE))
   *(1+VLOOKUP($C$2,LISTAS[],3,FALSE))
)
/5,0)*5</f>
        <v>288010</v>
      </c>
      <c r="M48" s="65">
        <f t="array" ref="M48">ROUND(
IF($A$2="COSTO",
   ((B48*(1+IFERROR(VLOOKUP($D$2,COLORES[],2,FALSE),0)))+F48)
   *(1-IFERROR(_xlfn.XLOOKUP(1,(DESC_PROV[LINEA]=$B$2)*(DESC_PROV[LISTA]=$C$2),DESC_PROV[DESCUENTO]),0)),
   ((B48*(1+IFERROR(VLOOKUP($D$2,COLORES[],2,FALSE),0)))+F48)
   *(1-IFERROR(_xlfn.XLOOKUP(1,(DESC_PROV[LINEA]=$B$2)*(DESC_PROV[LISTA]=$C$2),DESC_PROV[DESCUENTO]),0))
   *(1+VLOOKUP($C$2,LISTAS[],2,FALSE))
   *(1+VLOOKUP($C$2,LISTAS[],3,FALSE))
)
/5,0)*5</f>
        <v>298970</v>
      </c>
      <c r="N48" s="65">
        <f t="array" ref="N48">ROUND(
IF($A$2="COSTO",
   ((B48*(1+IFERROR(VLOOKUP($D$2,COLORES[],2,FALSE),0)))+G48)
   *(1-IFERROR(_xlfn.XLOOKUP(1,(DESC_PROV[LINEA]=$B$2)*(DESC_PROV[LISTA]=$C$2),DESC_PROV[DESCUENTO]),0)),
   ((B48*(1+IFERROR(VLOOKUP($D$2,COLORES[],2,FALSE),0)))+G48)
   *(1-IFERROR(_xlfn.XLOOKUP(1,(DESC_PROV[LINEA]=$B$2)*(DESC_PROV[LISTA]=$C$2),DESC_PROV[DESCUENTO]),0))
   *(1+VLOOKUP($C$2,LISTAS[],2,FALSE))
   *(1+VLOOKUP($C$2,LISTAS[],3,FALSE))
)
/5,0)*5</f>
        <v>318885</v>
      </c>
      <c r="O48" s="65">
        <f t="array" ref="O48">ROUND(
IF($A$2="COSTO",
   ((B48*(1+IFERROR(VLOOKUP($D$2,COLORES[],2,FALSE),0)))+H48)
   *(1-IFERROR(_xlfn.XLOOKUP(1,(DESC_PROV[LINEA]=$B$2)*(DESC_PROV[LISTA]=$C$2),DESC_PROV[DESCUENTO]),0)),
   ((B48*(1+IFERROR(VLOOKUP($D$2,COLORES[],2,FALSE),0)))+H48)
   *(1-IFERROR(_xlfn.XLOOKUP(1,(DESC_PROV[LINEA]=$B$2)*(DESC_PROV[LISTA]=$C$2),DESC_PROV[DESCUENTO]),0))
   *(1+VLOOKUP($C$2,LISTAS[],2,FALSE))
   *(1+VLOOKUP($C$2,LISTAS[],3,FALSE))
)
/5,0)*5</f>
        <v>495200</v>
      </c>
      <c r="P48" s="65">
        <f t="array" ref="P48">ROUND(
IF($A$2="COSTO",
   (C48*(1+IFERROR(VLOOKUP($D$2,COLORES[],2,FALSE),0)))
   *(1-IFERROR(_xlfn.XLOOKUP(1,(DESC_PROV[LINEA]=$B$2)*(DESC_PROV[LISTA]=$C$2),DESC_PROV[DESCUENTO]),0)),
   (C48*(1+IFERROR(VLOOKUP($D$2,COLORES[],2,FALSE),0)))
   *(1-IFERROR(_xlfn.XLOOKUP(1,(DESC_PROV[LINEA]=$B$2)*(DESC_PROV[LISTA]=$C$2),DESC_PROV[DESCUENTO]),0))
   *(1+VLOOKUP($C$2,LISTAS[],2,FALSE))
   *(1+VLOOKUP($C$2,LISTAS[],3,FALSE))
)
/5,0)*5</f>
        <v>33080</v>
      </c>
      <c r="Q48" s="65">
        <f t="array" ref="Q48">ROUND(
IF($A$2="COSTO",
   (D48*(1+IFERROR(VLOOKUP($D$2,COLORES[],2,FALSE),0)))
   *(1-IFERROR(_xlfn.XLOOKUP(1,(DESC_PROV[LINEA]=$B$2)*(DESC_PROV[LISTA]=$C$2),DESC_PROV[DESCUENTO]),0)),
   (D48*(1+IFERROR(VLOOKUP($D$2,COLORES[],2,FALSE),0)))
   *(1-IFERROR(_xlfn.XLOOKUP(1,(DESC_PROV[LINEA]=$B$2)*(DESC_PROV[LISTA]=$C$2),DESC_PROV[DESCUENTO]),0))
   *(1+VLOOKUP($C$2,LISTAS[],2,FALSE))
   *(1+VLOOKUP($C$2,LISTAS[],4,FALSE))
)
/5,0)*5</f>
        <v>72040</v>
      </c>
      <c r="R48" s="66">
        <f t="array" ref="R48">ROUND(
IF($A$2="COSTO",
   ((B48*(1+IFERROR(VLOOKUP($D$2,COLORES[],2,FALSE),0)))+(F48+I48+F48))
   *(1-IFERROR(_xlfn.XLOOKUP(1,(DESC_PROV[LINEA]=$B$2)*(DESC_PROV[LISTA]=$C$2),DESC_PROV[DESCUENTO]),0)),
   ((B48*(1+IFERROR(VLOOKUP($D$2,COLORES[],2,FALSE),0)))+(F48+I48+F48))
   *(1-IFERROR(_xlfn.XLOOKUP(1,(DESC_PROV[LINEA]=$B$2)*(DESC_PROV[LISTA]=$C$2),DESC_PROV[DESCUENTO]),0))
   *(1+VLOOKUP($C$2,LISTAS[],2,FALSE))
   *(1+VLOOKUP($C$2,LISTAS[],3,FALSE))
)
/5,0)*5</f>
        <v>520500</v>
      </c>
    </row>
    <row r="49" spans="1:18">
      <c r="A49" s="107" t="s">
        <v>74</v>
      </c>
      <c r="B49" s="64">
        <v>200094</v>
      </c>
      <c r="C49" s="64">
        <v>25813</v>
      </c>
      <c r="D49" s="64">
        <v>48750</v>
      </c>
      <c r="E49" s="64">
        <v>45246</v>
      </c>
      <c r="F49" s="64">
        <v>48804</v>
      </c>
      <c r="G49" s="64">
        <v>72174</v>
      </c>
      <c r="H49" s="64">
        <v>225949</v>
      </c>
      <c r="I49" s="64">
        <v>128993</v>
      </c>
      <c r="J49" s="2"/>
      <c r="K49" s="107" t="s">
        <v>74</v>
      </c>
      <c r="L49" s="65">
        <f t="array" ref="L49">ROUND(
IF($A$2="COSTO",
   ((B49*(1+IFERROR(VLOOKUP($D$2,COLORES[],2,FALSE),0)))+E49)
   *(1-IFERROR(_xlfn.XLOOKUP(1,(DESC_PROV[LINEA]=$B$2)*(DESC_PROV[LISTA]=$C$2),DESC_PROV[DESCUENTO]),0)),
   ((B49*(1+IFERROR(VLOOKUP($D$2,COLORES[],2,FALSE),0)))+E49)
   *(1-IFERROR(_xlfn.XLOOKUP(1,(DESC_PROV[LINEA]=$B$2)*(DESC_PROV[LISTA]=$C$2),DESC_PROV[DESCUENTO]),0))
   *(1+VLOOKUP($C$2,LISTAS[],2,FALSE))
   *(1+VLOOKUP($C$2,LISTAS[],3,FALSE))
)
/5,0)*5</f>
        <v>314415</v>
      </c>
      <c r="M49" s="65">
        <f t="array" ref="M49">ROUND(
IF($A$2="COSTO",
   ((B49*(1+IFERROR(VLOOKUP($D$2,COLORES[],2,FALSE),0)))+F49)
   *(1-IFERROR(_xlfn.XLOOKUP(1,(DESC_PROV[LINEA]=$B$2)*(DESC_PROV[LISTA]=$C$2),DESC_PROV[DESCUENTO]),0)),
   ((B49*(1+IFERROR(VLOOKUP($D$2,COLORES[],2,FALSE),0)))+F49)
   *(1-IFERROR(_xlfn.XLOOKUP(1,(DESC_PROV[LINEA]=$B$2)*(DESC_PROV[LISTA]=$C$2),DESC_PROV[DESCUENTO]),0))
   *(1+VLOOKUP($C$2,LISTAS[],2,FALSE))
   *(1+VLOOKUP($C$2,LISTAS[],3,FALSE))
)
/5,0)*5</f>
        <v>318975</v>
      </c>
      <c r="N49" s="65">
        <f t="array" ref="N49">ROUND(
IF($A$2="COSTO",
   ((B49*(1+IFERROR(VLOOKUP($D$2,COLORES[],2,FALSE),0)))+G49)
   *(1-IFERROR(_xlfn.XLOOKUP(1,(DESC_PROV[LINEA]=$B$2)*(DESC_PROV[LISTA]=$C$2),DESC_PROV[DESCUENTO]),0)),
   ((B49*(1+IFERROR(VLOOKUP($D$2,COLORES[],2,FALSE),0)))+G49)
   *(1-IFERROR(_xlfn.XLOOKUP(1,(DESC_PROV[LINEA]=$B$2)*(DESC_PROV[LISTA]=$C$2),DESC_PROV[DESCUENTO]),0))
   *(1+VLOOKUP($C$2,LISTAS[],2,FALSE))
   *(1+VLOOKUP($C$2,LISTAS[],3,FALSE))
)
/5,0)*5</f>
        <v>348920</v>
      </c>
      <c r="O49" s="65">
        <f t="array" ref="O49">ROUND(
IF($A$2="COSTO",
   ((B49*(1+IFERROR(VLOOKUP($D$2,COLORES[],2,FALSE),0)))+H49)
   *(1-IFERROR(_xlfn.XLOOKUP(1,(DESC_PROV[LINEA]=$B$2)*(DESC_PROV[LISTA]=$C$2),DESC_PROV[DESCUENTO]),0)),
   ((B49*(1+IFERROR(VLOOKUP($D$2,COLORES[],2,FALSE),0)))+H49)
   *(1-IFERROR(_xlfn.XLOOKUP(1,(DESC_PROV[LINEA]=$B$2)*(DESC_PROV[LISTA]=$C$2),DESC_PROV[DESCUENTO]),0))
   *(1+VLOOKUP($C$2,LISTAS[],2,FALSE))
   *(1+VLOOKUP($C$2,LISTAS[],3,FALSE))
)
/5,0)*5</f>
        <v>545990</v>
      </c>
      <c r="P49" s="65">
        <f t="array" ref="P49">ROUND(
IF($A$2="COSTO",
   (C49*(1+IFERROR(VLOOKUP($D$2,COLORES[],2,FALSE),0)))
   *(1-IFERROR(_xlfn.XLOOKUP(1,(DESC_PROV[LINEA]=$B$2)*(DESC_PROV[LISTA]=$C$2),DESC_PROV[DESCUENTO]),0)),
   (C49*(1+IFERROR(VLOOKUP($D$2,COLORES[],2,FALSE),0)))
   *(1-IFERROR(_xlfn.XLOOKUP(1,(DESC_PROV[LINEA]=$B$2)*(DESC_PROV[LISTA]=$C$2),DESC_PROV[DESCUENTO]),0))
   *(1+VLOOKUP($C$2,LISTAS[],2,FALSE))
   *(1+VLOOKUP($C$2,LISTAS[],3,FALSE))
)
/5,0)*5</f>
        <v>33080</v>
      </c>
      <c r="Q49" s="65">
        <f t="array" ref="Q49">ROUND(
IF($A$2="COSTO",
   (D49*(1+IFERROR(VLOOKUP($D$2,COLORES[],2,FALSE),0)))
   *(1-IFERROR(_xlfn.XLOOKUP(1,(DESC_PROV[LINEA]=$B$2)*(DESC_PROV[LISTA]=$C$2),DESC_PROV[DESCUENTO]),0)),
   (D49*(1+IFERROR(VLOOKUP($D$2,COLORES[],2,FALSE),0)))
   *(1-IFERROR(_xlfn.XLOOKUP(1,(DESC_PROV[LINEA]=$B$2)*(DESC_PROV[LISTA]=$C$2),DESC_PROV[DESCUENTO]),0))
   *(1+VLOOKUP($C$2,LISTAS[],2,FALSE))
   *(1+VLOOKUP($C$2,LISTAS[],4,FALSE))
)
/5,0)*5</f>
        <v>76890</v>
      </c>
      <c r="R49" s="66">
        <f t="array" ref="R49">ROUND(
IF($A$2="COSTO",
   ((B49*(1+IFERROR(VLOOKUP($D$2,COLORES[],2,FALSE),0)))+(F49+I49+F49))
   *(1-IFERROR(_xlfn.XLOOKUP(1,(DESC_PROV[LINEA]=$B$2)*(DESC_PROV[LISTA]=$C$2),DESC_PROV[DESCUENTO]),0)),
   ((B49*(1+IFERROR(VLOOKUP($D$2,COLORES[],2,FALSE),0)))+(F49+I49+F49))
   *(1-IFERROR(_xlfn.XLOOKUP(1,(DESC_PROV[LINEA]=$B$2)*(DESC_PROV[LISTA]=$C$2),DESC_PROV[DESCUENTO]),0))
   *(1+VLOOKUP($C$2,LISTAS[],2,FALSE))
   *(1+VLOOKUP($C$2,LISTAS[],3,FALSE))
)
/5,0)*5</f>
        <v>546825</v>
      </c>
    </row>
    <row r="50" spans="1:18">
      <c r="A50" s="107" t="s">
        <v>75</v>
      </c>
      <c r="B50" s="64">
        <v>217975</v>
      </c>
      <c r="C50" s="64">
        <v>25813</v>
      </c>
      <c r="D50" s="64">
        <v>51825</v>
      </c>
      <c r="E50" s="64">
        <v>50004</v>
      </c>
      <c r="F50" s="64">
        <v>60576</v>
      </c>
      <c r="G50" s="64">
        <v>79770</v>
      </c>
      <c r="H50" s="64">
        <v>249718</v>
      </c>
      <c r="I50" s="64">
        <v>134152</v>
      </c>
      <c r="J50" s="2"/>
      <c r="K50" s="107" t="s">
        <v>75</v>
      </c>
      <c r="L50" s="65">
        <f t="array" ref="L50">ROUND(
IF($A$2="COSTO",
   ((B50*(1+IFERROR(VLOOKUP($D$2,COLORES[],2,FALSE),0)))+E50)
   *(1-IFERROR(_xlfn.XLOOKUP(1,(DESC_PROV[LINEA]=$B$2)*(DESC_PROV[LISTA]=$C$2),DESC_PROV[DESCUENTO]),0)),
   ((B50*(1+IFERROR(VLOOKUP($D$2,COLORES[],2,FALSE),0)))+E50)
   *(1-IFERROR(_xlfn.XLOOKUP(1,(DESC_PROV[LINEA]=$B$2)*(DESC_PROV[LISTA]=$C$2),DESC_PROV[DESCUENTO]),0))
   *(1+VLOOKUP($C$2,LISTAS[],2,FALSE))
   *(1+VLOOKUP($C$2,LISTAS[],3,FALSE))
)
/5,0)*5</f>
        <v>343425</v>
      </c>
      <c r="M50" s="65">
        <f t="array" ref="M50">ROUND(
IF($A$2="COSTO",
   ((B50*(1+IFERROR(VLOOKUP($D$2,COLORES[],2,FALSE),0)))+F50)
   *(1-IFERROR(_xlfn.XLOOKUP(1,(DESC_PROV[LINEA]=$B$2)*(DESC_PROV[LISTA]=$C$2),DESC_PROV[DESCUENTO]),0)),
   ((B50*(1+IFERROR(VLOOKUP($D$2,COLORES[],2,FALSE),0)))+F50)
   *(1-IFERROR(_xlfn.XLOOKUP(1,(DESC_PROV[LINEA]=$B$2)*(DESC_PROV[LISTA]=$C$2),DESC_PROV[DESCUENTO]),0))
   *(1+VLOOKUP($C$2,LISTAS[],2,FALSE))
   *(1+VLOOKUP($C$2,LISTAS[],3,FALSE))
)
/5,0)*5</f>
        <v>356975</v>
      </c>
      <c r="N50" s="65">
        <f t="array" ref="N50">ROUND(
IF($A$2="COSTO",
   ((B50*(1+IFERROR(VLOOKUP($D$2,COLORES[],2,FALSE),0)))+G50)
   *(1-IFERROR(_xlfn.XLOOKUP(1,(DESC_PROV[LINEA]=$B$2)*(DESC_PROV[LISTA]=$C$2),DESC_PROV[DESCUENTO]),0)),
   ((B50*(1+IFERROR(VLOOKUP($D$2,COLORES[],2,FALSE),0)))+G50)
   *(1-IFERROR(_xlfn.XLOOKUP(1,(DESC_PROV[LINEA]=$B$2)*(DESC_PROV[LISTA]=$C$2),DESC_PROV[DESCUENTO]),0))
   *(1+VLOOKUP($C$2,LISTAS[],2,FALSE))
   *(1+VLOOKUP($C$2,LISTAS[],3,FALSE))
)
/5,0)*5</f>
        <v>381570</v>
      </c>
      <c r="O50" s="65">
        <f t="array" ref="O50">ROUND(
IF($A$2="COSTO",
   ((B50*(1+IFERROR(VLOOKUP($D$2,COLORES[],2,FALSE),0)))+H50)
   *(1-IFERROR(_xlfn.XLOOKUP(1,(DESC_PROV[LINEA]=$B$2)*(DESC_PROV[LISTA]=$C$2),DESC_PROV[DESCUENTO]),0)),
   ((B50*(1+IFERROR(VLOOKUP($D$2,COLORES[],2,FALSE),0)))+H50)
   *(1-IFERROR(_xlfn.XLOOKUP(1,(DESC_PROV[LINEA]=$B$2)*(DESC_PROV[LISTA]=$C$2),DESC_PROV[DESCUENTO]),0))
   *(1+VLOOKUP($C$2,LISTAS[],2,FALSE))
   *(1+VLOOKUP($C$2,LISTAS[],3,FALSE))
)
/5,0)*5</f>
        <v>599365</v>
      </c>
      <c r="P50" s="65">
        <f t="array" ref="P50">ROUND(
IF($A$2="COSTO",
   (C50*(1+IFERROR(VLOOKUP($D$2,COLORES[],2,FALSE),0)))
   *(1-IFERROR(_xlfn.XLOOKUP(1,(DESC_PROV[LINEA]=$B$2)*(DESC_PROV[LISTA]=$C$2),DESC_PROV[DESCUENTO]),0)),
   (C50*(1+IFERROR(VLOOKUP($D$2,COLORES[],2,FALSE),0)))
   *(1-IFERROR(_xlfn.XLOOKUP(1,(DESC_PROV[LINEA]=$B$2)*(DESC_PROV[LISTA]=$C$2),DESC_PROV[DESCUENTO]),0))
   *(1+VLOOKUP($C$2,LISTAS[],2,FALSE))
   *(1+VLOOKUP($C$2,LISTAS[],3,FALSE))
)
/5,0)*5</f>
        <v>33080</v>
      </c>
      <c r="Q50" s="65">
        <f t="array" ref="Q50">ROUND(
IF($A$2="COSTO",
   (D50*(1+IFERROR(VLOOKUP($D$2,COLORES[],2,FALSE),0)))
   *(1-IFERROR(_xlfn.XLOOKUP(1,(DESC_PROV[LINEA]=$B$2)*(DESC_PROV[LISTA]=$C$2),DESC_PROV[DESCUENTO]),0)),
   (D50*(1+IFERROR(VLOOKUP($D$2,COLORES[],2,FALSE),0)))
   *(1-IFERROR(_xlfn.XLOOKUP(1,(DESC_PROV[LINEA]=$B$2)*(DESC_PROV[LISTA]=$C$2),DESC_PROV[DESCUENTO]),0))
   *(1+VLOOKUP($C$2,LISTAS[],2,FALSE))
   *(1+VLOOKUP($C$2,LISTAS[],4,FALSE))
)
/5,0)*5</f>
        <v>81745</v>
      </c>
      <c r="R50" s="66">
        <f t="array" ref="R50">ROUND(
IF($A$2="COSTO",
   ((B50*(1+IFERROR(VLOOKUP($D$2,COLORES[],2,FALSE),0)))+(F50+I50+F50))
   *(1-IFERROR(_xlfn.XLOOKUP(1,(DESC_PROV[LINEA]=$B$2)*(DESC_PROV[LISTA]=$C$2),DESC_PROV[DESCUENTO]),0)),
   ((B50*(1+IFERROR(VLOOKUP($D$2,COLORES[],2,FALSE),0)))+(F50+I50+F50))
   *(1-IFERROR(_xlfn.XLOOKUP(1,(DESC_PROV[LINEA]=$B$2)*(DESC_PROV[LISTA]=$C$2),DESC_PROV[DESCUENTO]),0))
   *(1+VLOOKUP($C$2,LISTAS[],2,FALSE))
   *(1+VLOOKUP($C$2,LISTAS[],3,FALSE))
)
/5,0)*5</f>
        <v>606525</v>
      </c>
    </row>
    <row r="51" spans="1:18">
      <c r="A51" s="107" t="s">
        <v>76</v>
      </c>
      <c r="B51" s="64">
        <v>229094</v>
      </c>
      <c r="C51" s="64">
        <v>25813</v>
      </c>
      <c r="D51" s="64">
        <v>54900</v>
      </c>
      <c r="E51" s="64">
        <v>54774</v>
      </c>
      <c r="F51" s="64">
        <v>66342</v>
      </c>
      <c r="G51" s="64">
        <v>87366</v>
      </c>
      <c r="H51" s="64">
        <v>273507</v>
      </c>
      <c r="I51" s="64">
        <v>139312</v>
      </c>
      <c r="J51" s="2"/>
      <c r="K51" s="107" t="s">
        <v>76</v>
      </c>
      <c r="L51" s="65">
        <f t="array" ref="L51">ROUND(
IF($A$2="COSTO",
   ((B51*(1+IFERROR(VLOOKUP($D$2,COLORES[],2,FALSE),0)))+E51)
   *(1-IFERROR(_xlfn.XLOOKUP(1,(DESC_PROV[LINEA]=$B$2)*(DESC_PROV[LISTA]=$C$2),DESC_PROV[DESCUENTO]),0)),
   ((B51*(1+IFERROR(VLOOKUP($D$2,COLORES[],2,FALSE),0)))+E51)
   *(1-IFERROR(_xlfn.XLOOKUP(1,(DESC_PROV[LINEA]=$B$2)*(DESC_PROV[LISTA]=$C$2),DESC_PROV[DESCUENTO]),0))
   *(1+VLOOKUP($C$2,LISTAS[],2,FALSE))
   *(1+VLOOKUP($C$2,LISTAS[],3,FALSE))
)
/5,0)*5</f>
        <v>363790</v>
      </c>
      <c r="M51" s="65">
        <f t="array" ref="M51">ROUND(
IF($A$2="COSTO",
   ((B51*(1+IFERROR(VLOOKUP($D$2,COLORES[],2,FALSE),0)))+F51)
   *(1-IFERROR(_xlfn.XLOOKUP(1,(DESC_PROV[LINEA]=$B$2)*(DESC_PROV[LISTA]=$C$2),DESC_PROV[DESCUENTO]),0)),
   ((B51*(1+IFERROR(VLOOKUP($D$2,COLORES[],2,FALSE),0)))+F51)
   *(1-IFERROR(_xlfn.XLOOKUP(1,(DESC_PROV[LINEA]=$B$2)*(DESC_PROV[LISTA]=$C$2),DESC_PROV[DESCUENTO]),0))
   *(1+VLOOKUP($C$2,LISTAS[],2,FALSE))
   *(1+VLOOKUP($C$2,LISTAS[],3,FALSE))
)
/5,0)*5</f>
        <v>378615</v>
      </c>
      <c r="N51" s="65">
        <f t="array" ref="N51">ROUND(
IF($A$2="COSTO",
   ((B51*(1+IFERROR(VLOOKUP($D$2,COLORES[],2,FALSE),0)))+G51)
   *(1-IFERROR(_xlfn.XLOOKUP(1,(DESC_PROV[LINEA]=$B$2)*(DESC_PROV[LISTA]=$C$2),DESC_PROV[DESCUENTO]),0)),
   ((B51*(1+IFERROR(VLOOKUP($D$2,COLORES[],2,FALSE),0)))+G51)
   *(1-IFERROR(_xlfn.XLOOKUP(1,(DESC_PROV[LINEA]=$B$2)*(DESC_PROV[LISTA]=$C$2),DESC_PROV[DESCUENTO]),0))
   *(1+VLOOKUP($C$2,LISTAS[],2,FALSE))
   *(1+VLOOKUP($C$2,LISTAS[],3,FALSE))
)
/5,0)*5</f>
        <v>405555</v>
      </c>
      <c r="O51" s="65">
        <f t="array" ref="O51">ROUND(
IF($A$2="COSTO",
   ((B51*(1+IFERROR(VLOOKUP($D$2,COLORES[],2,FALSE),0)))+H51)
   *(1-IFERROR(_xlfn.XLOOKUP(1,(DESC_PROV[LINEA]=$B$2)*(DESC_PROV[LISTA]=$C$2),DESC_PROV[DESCUENTO]),0)),
   ((B51*(1+IFERROR(VLOOKUP($D$2,COLORES[],2,FALSE),0)))+H51)
   *(1-IFERROR(_xlfn.XLOOKUP(1,(DESC_PROV[LINEA]=$B$2)*(DESC_PROV[LISTA]=$C$2),DESC_PROV[DESCUENTO]),0))
   *(1+VLOOKUP($C$2,LISTAS[],2,FALSE))
   *(1+VLOOKUP($C$2,LISTAS[],3,FALSE))
)
/5,0)*5</f>
        <v>644105</v>
      </c>
      <c r="P51" s="65">
        <f t="array" ref="P51">ROUND(
IF($A$2="COSTO",
   (C51*(1+IFERROR(VLOOKUP($D$2,COLORES[],2,FALSE),0)))
   *(1-IFERROR(_xlfn.XLOOKUP(1,(DESC_PROV[LINEA]=$B$2)*(DESC_PROV[LISTA]=$C$2),DESC_PROV[DESCUENTO]),0)),
   (C51*(1+IFERROR(VLOOKUP($D$2,COLORES[],2,FALSE),0)))
   *(1-IFERROR(_xlfn.XLOOKUP(1,(DESC_PROV[LINEA]=$B$2)*(DESC_PROV[LISTA]=$C$2),DESC_PROV[DESCUENTO]),0))
   *(1+VLOOKUP($C$2,LISTAS[],2,FALSE))
   *(1+VLOOKUP($C$2,LISTAS[],3,FALSE))
)
/5,0)*5</f>
        <v>33080</v>
      </c>
      <c r="Q51" s="65">
        <f t="array" ref="Q51">ROUND(
IF($A$2="COSTO",
   (D51*(1+IFERROR(VLOOKUP($D$2,COLORES[],2,FALSE),0)))
   *(1-IFERROR(_xlfn.XLOOKUP(1,(DESC_PROV[LINEA]=$B$2)*(DESC_PROV[LISTA]=$C$2),DESC_PROV[DESCUENTO]),0)),
   (D51*(1+IFERROR(VLOOKUP($D$2,COLORES[],2,FALSE),0)))
   *(1-IFERROR(_xlfn.XLOOKUP(1,(DESC_PROV[LINEA]=$B$2)*(DESC_PROV[LISTA]=$C$2),DESC_PROV[DESCUENTO]),0))
   *(1+VLOOKUP($C$2,LISTAS[],2,FALSE))
   *(1+VLOOKUP($C$2,LISTAS[],4,FALSE))
)
/5,0)*5</f>
        <v>86595</v>
      </c>
      <c r="R51" s="66">
        <f t="array" ref="R51">ROUND(
IF($A$2="COSTO",
   ((B51*(1+IFERROR(VLOOKUP($D$2,COLORES[],2,FALSE),0)))+(F51+I51+F51))
   *(1-IFERROR(_xlfn.XLOOKUP(1,(DESC_PROV[LINEA]=$B$2)*(DESC_PROV[LISTA]=$C$2),DESC_PROV[DESCUENTO]),0)),
   ((B51*(1+IFERROR(VLOOKUP($D$2,COLORES[],2,FALSE),0)))+(F51+I51+F51))
   *(1-IFERROR(_xlfn.XLOOKUP(1,(DESC_PROV[LINEA]=$B$2)*(DESC_PROV[LISTA]=$C$2),DESC_PROV[DESCUENTO]),0))
   *(1+VLOOKUP($C$2,LISTAS[],2,FALSE))
   *(1+VLOOKUP($C$2,LISTAS[],3,FALSE))
)
/5,0)*5</f>
        <v>642165</v>
      </c>
    </row>
    <row r="52" spans="1:18">
      <c r="A52" s="107" t="s">
        <v>17</v>
      </c>
      <c r="B52" s="64">
        <v>193250</v>
      </c>
      <c r="C52" s="64">
        <v>34418</v>
      </c>
      <c r="D52" s="64">
        <v>42500</v>
      </c>
      <c r="E52" s="64">
        <v>29088</v>
      </c>
      <c r="F52" s="64">
        <v>35232</v>
      </c>
      <c r="G52" s="64">
        <v>46398</v>
      </c>
      <c r="H52" s="64">
        <v>145241</v>
      </c>
      <c r="I52" s="64">
        <v>128993</v>
      </c>
      <c r="J52" s="2"/>
      <c r="K52" s="107" t="s">
        <v>17</v>
      </c>
      <c r="L52" s="65">
        <f t="array" ref="L52">ROUND(
IF($A$2="COSTO",
   ((B52*(1+IFERROR(VLOOKUP($D$2,COLORES[],2,FALSE),0)))+E52)
   *(1-IFERROR(_xlfn.XLOOKUP(1,(DESC_PROV[LINEA]=$B$2)*(DESC_PROV[LISTA]=$C$2),DESC_PROV[DESCUENTO]),0)),
   ((B52*(1+IFERROR(VLOOKUP($D$2,COLORES[],2,FALSE),0)))+E52)
   *(1-IFERROR(_xlfn.XLOOKUP(1,(DESC_PROV[LINEA]=$B$2)*(DESC_PROV[LISTA]=$C$2),DESC_PROV[DESCUENTO]),0))
   *(1+VLOOKUP($C$2,LISTAS[],2,FALSE))
   *(1+VLOOKUP($C$2,LISTAS[],3,FALSE))
)
/5,0)*5</f>
        <v>284935</v>
      </c>
      <c r="M52" s="65">
        <f t="array" ref="M52">ROUND(
IF($A$2="COSTO",
   ((B52*(1+IFERROR(VLOOKUP($D$2,COLORES[],2,FALSE),0)))+F52)
   *(1-IFERROR(_xlfn.XLOOKUP(1,(DESC_PROV[LINEA]=$B$2)*(DESC_PROV[LISTA]=$C$2),DESC_PROV[DESCUENTO]),0)),
   ((B52*(1+IFERROR(VLOOKUP($D$2,COLORES[],2,FALSE),0)))+F52)
   *(1-IFERROR(_xlfn.XLOOKUP(1,(DESC_PROV[LINEA]=$B$2)*(DESC_PROV[LISTA]=$C$2),DESC_PROV[DESCUENTO]),0))
   *(1+VLOOKUP($C$2,LISTAS[],2,FALSE))
   *(1+VLOOKUP($C$2,LISTAS[],3,FALSE))
)
/5,0)*5</f>
        <v>292810</v>
      </c>
      <c r="N52" s="65">
        <f t="array" ref="N52">ROUND(
IF($A$2="COSTO",
   ((B52*(1+IFERROR(VLOOKUP($D$2,COLORES[],2,FALSE),0)))+G52)
   *(1-IFERROR(_xlfn.XLOOKUP(1,(DESC_PROV[LINEA]=$B$2)*(DESC_PROV[LISTA]=$C$2),DESC_PROV[DESCUENTO]),0)),
   ((B52*(1+IFERROR(VLOOKUP($D$2,COLORES[],2,FALSE),0)))+G52)
   *(1-IFERROR(_xlfn.XLOOKUP(1,(DESC_PROV[LINEA]=$B$2)*(DESC_PROV[LISTA]=$C$2),DESC_PROV[DESCUENTO]),0))
   *(1+VLOOKUP($C$2,LISTAS[],2,FALSE))
   *(1+VLOOKUP($C$2,LISTAS[],3,FALSE))
)
/5,0)*5</f>
        <v>307120</v>
      </c>
      <c r="O52" s="65">
        <f t="array" ref="O52">ROUND(
IF($A$2="COSTO",
   ((B52*(1+IFERROR(VLOOKUP($D$2,COLORES[],2,FALSE),0)))+H52)
   *(1-IFERROR(_xlfn.XLOOKUP(1,(DESC_PROV[LINEA]=$B$2)*(DESC_PROV[LISTA]=$C$2),DESC_PROV[DESCUENTO]),0)),
   ((B52*(1+IFERROR(VLOOKUP($D$2,COLORES[],2,FALSE),0)))+H52)
   *(1-IFERROR(_xlfn.XLOOKUP(1,(DESC_PROV[LINEA]=$B$2)*(DESC_PROV[LISTA]=$C$2),DESC_PROV[DESCUENTO]),0))
   *(1+VLOOKUP($C$2,LISTAS[],2,FALSE))
   *(1+VLOOKUP($C$2,LISTAS[],3,FALSE))
)
/5,0)*5</f>
        <v>433790</v>
      </c>
      <c r="P52" s="65">
        <f t="array" ref="P52">ROUND(
IF($A$2="COSTO",
   (C52*(1+IFERROR(VLOOKUP($D$2,COLORES[],2,FALSE),0)))
   *(1-IFERROR(_xlfn.XLOOKUP(1,(DESC_PROV[LINEA]=$B$2)*(DESC_PROV[LISTA]=$C$2),DESC_PROV[DESCUENTO]),0)),
   (C52*(1+IFERROR(VLOOKUP($D$2,COLORES[],2,FALSE),0)))
   *(1-IFERROR(_xlfn.XLOOKUP(1,(DESC_PROV[LINEA]=$B$2)*(DESC_PROV[LISTA]=$C$2),DESC_PROV[DESCUENTO]),0))
   *(1+VLOOKUP($C$2,LISTAS[],2,FALSE))
   *(1+VLOOKUP($C$2,LISTAS[],3,FALSE))
)
/5,0)*5</f>
        <v>44110</v>
      </c>
      <c r="Q52" s="65">
        <f t="array" ref="Q52">ROUND(
IF($A$2="COSTO",
   (D52*(1+IFERROR(VLOOKUP($D$2,COLORES[],2,FALSE),0)))
   *(1-IFERROR(_xlfn.XLOOKUP(1,(DESC_PROV[LINEA]=$B$2)*(DESC_PROV[LISTA]=$C$2),DESC_PROV[DESCUENTO]),0)),
   (D52*(1+IFERROR(VLOOKUP($D$2,COLORES[],2,FALSE),0)))
   *(1-IFERROR(_xlfn.XLOOKUP(1,(DESC_PROV[LINEA]=$B$2)*(DESC_PROV[LISTA]=$C$2),DESC_PROV[DESCUENTO]),0))
   *(1+VLOOKUP($C$2,LISTAS[],2,FALSE))
   *(1+VLOOKUP($C$2,LISTAS[],4,FALSE))
)
/5,0)*5</f>
        <v>67035</v>
      </c>
      <c r="R52" s="66">
        <f t="array" ref="R52">ROUND(
IF($A$2="COSTO",
   ((B52*(1+IFERROR(VLOOKUP($D$2,COLORES[],2,FALSE),0)))+(F52+I52+F52))
   *(1-IFERROR(_xlfn.XLOOKUP(1,(DESC_PROV[LINEA]=$B$2)*(DESC_PROV[LISTA]=$C$2),DESC_PROV[DESCUENTO]),0)),
   ((B52*(1+IFERROR(VLOOKUP($D$2,COLORES[],2,FALSE),0)))+(F52+I52+F52))
   *(1-IFERROR(_xlfn.XLOOKUP(1,(DESC_PROV[LINEA]=$B$2)*(DESC_PROV[LISTA]=$C$2),DESC_PROV[DESCUENTO]),0))
   *(1+VLOOKUP($C$2,LISTAS[],2,FALSE))
   *(1+VLOOKUP($C$2,LISTAS[],3,FALSE))
)
/5,0)*5</f>
        <v>503270</v>
      </c>
    </row>
    <row r="53" spans="1:18">
      <c r="A53" s="107" t="s">
        <v>83</v>
      </c>
      <c r="B53" s="64">
        <v>208394</v>
      </c>
      <c r="C53" s="64">
        <v>34418</v>
      </c>
      <c r="D53" s="64">
        <v>46200</v>
      </c>
      <c r="E53" s="64">
        <v>35550</v>
      </c>
      <c r="F53" s="64">
        <v>43062</v>
      </c>
      <c r="G53" s="64">
        <v>56706</v>
      </c>
      <c r="H53" s="64">
        <v>177522</v>
      </c>
      <c r="I53" s="64">
        <v>134152</v>
      </c>
      <c r="J53" s="2"/>
      <c r="K53" s="107" t="s">
        <v>83</v>
      </c>
      <c r="L53" s="65">
        <f t="array" ref="L53">ROUND(
IF($A$2="COSTO",
   ((B53*(1+IFERROR(VLOOKUP($D$2,COLORES[],2,FALSE),0)))+E53)
   *(1-IFERROR(_xlfn.XLOOKUP(1,(DESC_PROV[LINEA]=$B$2)*(DESC_PROV[LISTA]=$C$2),DESC_PROV[DESCUENTO]),0)),
   ((B53*(1+IFERROR(VLOOKUP($D$2,COLORES[],2,FALSE),0)))+E53)
   *(1-IFERROR(_xlfn.XLOOKUP(1,(DESC_PROV[LINEA]=$B$2)*(DESC_PROV[LISTA]=$C$2),DESC_PROV[DESCUENTO]),0))
   *(1+VLOOKUP($C$2,LISTAS[],2,FALSE))
   *(1+VLOOKUP($C$2,LISTAS[],3,FALSE))
)
/5,0)*5</f>
        <v>312625</v>
      </c>
      <c r="M53" s="65">
        <f t="array" ref="M53">ROUND(
IF($A$2="COSTO",
   ((B53*(1+IFERROR(VLOOKUP($D$2,COLORES[],2,FALSE),0)))+F53)
   *(1-IFERROR(_xlfn.XLOOKUP(1,(DESC_PROV[LINEA]=$B$2)*(DESC_PROV[LISTA]=$C$2),DESC_PROV[DESCUENTO]),0)),
   ((B53*(1+IFERROR(VLOOKUP($D$2,COLORES[],2,FALSE),0)))+F53)
   *(1-IFERROR(_xlfn.XLOOKUP(1,(DESC_PROV[LINEA]=$B$2)*(DESC_PROV[LISTA]=$C$2),DESC_PROV[DESCUENTO]),0))
   *(1+VLOOKUP($C$2,LISTAS[],2,FALSE))
   *(1+VLOOKUP($C$2,LISTAS[],3,FALSE))
)
/5,0)*5</f>
        <v>322250</v>
      </c>
      <c r="N53" s="65">
        <f t="array" ref="N53">ROUND(
IF($A$2="COSTO",
   ((B53*(1+IFERROR(VLOOKUP($D$2,COLORES[],2,FALSE),0)))+G53)
   *(1-IFERROR(_xlfn.XLOOKUP(1,(DESC_PROV[LINEA]=$B$2)*(DESC_PROV[LISTA]=$C$2),DESC_PROV[DESCUENTO]),0)),
   ((B53*(1+IFERROR(VLOOKUP($D$2,COLORES[],2,FALSE),0)))+G53)
   *(1-IFERROR(_xlfn.XLOOKUP(1,(DESC_PROV[LINEA]=$B$2)*(DESC_PROV[LISTA]=$C$2),DESC_PROV[DESCUENTO]),0))
   *(1+VLOOKUP($C$2,LISTAS[],2,FALSE))
   *(1+VLOOKUP($C$2,LISTAS[],3,FALSE))
)
/5,0)*5</f>
        <v>339735</v>
      </c>
      <c r="O53" s="65">
        <f t="array" ref="O53">ROUND(
IF($A$2="COSTO",
   ((B53*(1+IFERROR(VLOOKUP($D$2,COLORES[],2,FALSE),0)))+H53)
   *(1-IFERROR(_xlfn.XLOOKUP(1,(DESC_PROV[LINEA]=$B$2)*(DESC_PROV[LISTA]=$C$2),DESC_PROV[DESCUENTO]),0)),
   ((B53*(1+IFERROR(VLOOKUP($D$2,COLORES[],2,FALSE),0)))+H53)
   *(1-IFERROR(_xlfn.XLOOKUP(1,(DESC_PROV[LINEA]=$B$2)*(DESC_PROV[LISTA]=$C$2),DESC_PROV[DESCUENTO]),0))
   *(1+VLOOKUP($C$2,LISTAS[],2,FALSE))
   *(1+VLOOKUP($C$2,LISTAS[],3,FALSE))
)
/5,0)*5</f>
        <v>494565</v>
      </c>
      <c r="P53" s="65">
        <f t="array" ref="P53">ROUND(
IF($A$2="COSTO",
   (C53*(1+IFERROR(VLOOKUP($D$2,COLORES[],2,FALSE),0)))
   *(1-IFERROR(_xlfn.XLOOKUP(1,(DESC_PROV[LINEA]=$B$2)*(DESC_PROV[LISTA]=$C$2),DESC_PROV[DESCUENTO]),0)),
   (C53*(1+IFERROR(VLOOKUP($D$2,COLORES[],2,FALSE),0)))
   *(1-IFERROR(_xlfn.XLOOKUP(1,(DESC_PROV[LINEA]=$B$2)*(DESC_PROV[LISTA]=$C$2),DESC_PROV[DESCUENTO]),0))
   *(1+VLOOKUP($C$2,LISTAS[],2,FALSE))
   *(1+VLOOKUP($C$2,LISTAS[],3,FALSE))
)
/5,0)*5</f>
        <v>44110</v>
      </c>
      <c r="Q53" s="65">
        <f t="array" ref="Q53">ROUND(
IF($A$2="COSTO",
   (D53*(1+IFERROR(VLOOKUP($D$2,COLORES[],2,FALSE),0)))
   *(1-IFERROR(_xlfn.XLOOKUP(1,(DESC_PROV[LINEA]=$B$2)*(DESC_PROV[LISTA]=$C$2),DESC_PROV[DESCUENTO]),0)),
   (D53*(1+IFERROR(VLOOKUP($D$2,COLORES[],2,FALSE),0)))
   *(1-IFERROR(_xlfn.XLOOKUP(1,(DESC_PROV[LINEA]=$B$2)*(DESC_PROV[LISTA]=$C$2),DESC_PROV[DESCUENTO]),0))
   *(1+VLOOKUP($C$2,LISTAS[],2,FALSE))
   *(1+VLOOKUP($C$2,LISTAS[],4,FALSE))
)
/5,0)*5</f>
        <v>72870</v>
      </c>
      <c r="R53" s="66">
        <f t="array" ref="R53">ROUND(
IF($A$2="COSTO",
   ((B53*(1+IFERROR(VLOOKUP($D$2,COLORES[],2,FALSE),0)))+(F53+I53+F53))
   *(1-IFERROR(_xlfn.XLOOKUP(1,(DESC_PROV[LINEA]=$B$2)*(DESC_PROV[LISTA]=$C$2),DESC_PROV[DESCUENTO]),0)),
   ((B53*(1+IFERROR(VLOOKUP($D$2,COLORES[],2,FALSE),0)))+(F53+I53+F53))
   *(1-IFERROR(_xlfn.XLOOKUP(1,(DESC_PROV[LINEA]=$B$2)*(DESC_PROV[LISTA]=$C$2),DESC_PROV[DESCUENTO]),0))
   *(1+VLOOKUP($C$2,LISTAS[],2,FALSE))
   *(1+VLOOKUP($C$2,LISTAS[],3,FALSE))
)
/5,0)*5</f>
        <v>549360</v>
      </c>
    </row>
    <row r="54" spans="1:18">
      <c r="A54" s="107" t="s">
        <v>84</v>
      </c>
      <c r="B54" s="64">
        <v>225888</v>
      </c>
      <c r="C54" s="64">
        <v>34418</v>
      </c>
      <c r="D54" s="64">
        <v>51750</v>
      </c>
      <c r="E54" s="64">
        <v>47628</v>
      </c>
      <c r="F54" s="64">
        <v>54804</v>
      </c>
      <c r="G54" s="64">
        <v>72174</v>
      </c>
      <c r="H54" s="64">
        <v>225942</v>
      </c>
      <c r="I54" s="64">
        <v>141892</v>
      </c>
      <c r="J54" s="2"/>
      <c r="K54" s="107" t="s">
        <v>84</v>
      </c>
      <c r="L54" s="65">
        <f t="array" ref="L54">ROUND(
IF($A$2="COSTO",
   ((B54*(1+IFERROR(VLOOKUP($D$2,COLORES[],2,FALSE),0)))+E54)
   *(1-IFERROR(_xlfn.XLOOKUP(1,(DESC_PROV[LINEA]=$B$2)*(DESC_PROV[LISTA]=$C$2),DESC_PROV[DESCUENTO]),0)),
   ((B54*(1+IFERROR(VLOOKUP($D$2,COLORES[],2,FALSE),0)))+E54)
   *(1-IFERROR(_xlfn.XLOOKUP(1,(DESC_PROV[LINEA]=$B$2)*(DESC_PROV[LISTA]=$C$2),DESC_PROV[DESCUENTO]),0))
   *(1+VLOOKUP($C$2,LISTAS[],2,FALSE))
   *(1+VLOOKUP($C$2,LISTAS[],3,FALSE))
)
/5,0)*5</f>
        <v>350520</v>
      </c>
      <c r="M54" s="65">
        <f t="array" ref="M54">ROUND(
IF($A$2="COSTO",
   ((B54*(1+IFERROR(VLOOKUP($D$2,COLORES[],2,FALSE),0)))+F54)
   *(1-IFERROR(_xlfn.XLOOKUP(1,(DESC_PROV[LINEA]=$B$2)*(DESC_PROV[LISTA]=$C$2),DESC_PROV[DESCUENTO]),0)),
   ((B54*(1+IFERROR(VLOOKUP($D$2,COLORES[],2,FALSE),0)))+F54)
   *(1-IFERROR(_xlfn.XLOOKUP(1,(DESC_PROV[LINEA]=$B$2)*(DESC_PROV[LISTA]=$C$2),DESC_PROV[DESCUENTO]),0))
   *(1+VLOOKUP($C$2,LISTAS[],2,FALSE))
   *(1+VLOOKUP($C$2,LISTAS[],3,FALSE))
)
/5,0)*5</f>
        <v>359720</v>
      </c>
      <c r="N54" s="65">
        <f t="array" ref="N54">ROUND(
IF($A$2="COSTO",
   ((B54*(1+IFERROR(VLOOKUP($D$2,COLORES[],2,FALSE),0)))+G54)
   *(1-IFERROR(_xlfn.XLOOKUP(1,(DESC_PROV[LINEA]=$B$2)*(DESC_PROV[LISTA]=$C$2),DESC_PROV[DESCUENTO]),0)),
   ((B54*(1+IFERROR(VLOOKUP($D$2,COLORES[],2,FALSE),0)))+G54)
   *(1-IFERROR(_xlfn.XLOOKUP(1,(DESC_PROV[LINEA]=$B$2)*(DESC_PROV[LISTA]=$C$2),DESC_PROV[DESCUENTO]),0))
   *(1+VLOOKUP($C$2,LISTAS[],2,FALSE))
   *(1+VLOOKUP($C$2,LISTAS[],3,FALSE))
)
/5,0)*5</f>
        <v>381980</v>
      </c>
      <c r="O54" s="65">
        <f t="array" ref="O54">ROUND(
IF($A$2="COSTO",
   ((B54*(1+IFERROR(VLOOKUP($D$2,COLORES[],2,FALSE),0)))+H54)
   *(1-IFERROR(_xlfn.XLOOKUP(1,(DESC_PROV[LINEA]=$B$2)*(DESC_PROV[LISTA]=$C$2),DESC_PROV[DESCUENTO]),0)),
   ((B54*(1+IFERROR(VLOOKUP($D$2,COLORES[],2,FALSE),0)))+H54)
   *(1-IFERROR(_xlfn.XLOOKUP(1,(DESC_PROV[LINEA]=$B$2)*(DESC_PROV[LISTA]=$C$2),DESC_PROV[DESCUENTO]),0))
   *(1+VLOOKUP($C$2,LISTAS[],2,FALSE))
   *(1+VLOOKUP($C$2,LISTAS[],3,FALSE))
)
/5,0)*5</f>
        <v>579040</v>
      </c>
      <c r="P54" s="65">
        <f t="array" ref="P54">ROUND(
IF($A$2="COSTO",
   (C54*(1+IFERROR(VLOOKUP($D$2,COLORES[],2,FALSE),0)))
   *(1-IFERROR(_xlfn.XLOOKUP(1,(DESC_PROV[LINEA]=$B$2)*(DESC_PROV[LISTA]=$C$2),DESC_PROV[DESCUENTO]),0)),
   (C54*(1+IFERROR(VLOOKUP($D$2,COLORES[],2,FALSE),0)))
   *(1-IFERROR(_xlfn.XLOOKUP(1,(DESC_PROV[LINEA]=$B$2)*(DESC_PROV[LISTA]=$C$2),DESC_PROV[DESCUENTO]),0))
   *(1+VLOOKUP($C$2,LISTAS[],2,FALSE))
   *(1+VLOOKUP($C$2,LISTAS[],3,FALSE))
)
/5,0)*5</f>
        <v>44110</v>
      </c>
      <c r="Q54" s="65">
        <f t="array" ref="Q54">ROUND(
IF($A$2="COSTO",
   (D54*(1+IFERROR(VLOOKUP($D$2,COLORES[],2,FALSE),0)))
   *(1-IFERROR(_xlfn.XLOOKUP(1,(DESC_PROV[LINEA]=$B$2)*(DESC_PROV[LISTA]=$C$2),DESC_PROV[DESCUENTO]),0)),
   (D54*(1+IFERROR(VLOOKUP($D$2,COLORES[],2,FALSE),0)))
   *(1-IFERROR(_xlfn.XLOOKUP(1,(DESC_PROV[LINEA]=$B$2)*(DESC_PROV[LISTA]=$C$2),DESC_PROV[DESCUENTO]),0))
   *(1+VLOOKUP($C$2,LISTAS[],2,FALSE))
   *(1+VLOOKUP($C$2,LISTAS[],4,FALSE))
)
/5,0)*5</f>
        <v>81625</v>
      </c>
      <c r="R54" s="66">
        <f t="array" ref="R54">ROUND(
IF($A$2="COSTO",
   ((B54*(1+IFERROR(VLOOKUP($D$2,COLORES[],2,FALSE),0)))+(F54+I54+F54))
   *(1-IFERROR(_xlfn.XLOOKUP(1,(DESC_PROV[LINEA]=$B$2)*(DESC_PROV[LISTA]=$C$2),DESC_PROV[DESCUENTO]),0)),
   ((B54*(1+IFERROR(VLOOKUP($D$2,COLORES[],2,FALSE),0)))+(F54+I54+F54))
   *(1-IFERROR(_xlfn.XLOOKUP(1,(DESC_PROV[LINEA]=$B$2)*(DESC_PROV[LISTA]=$C$2),DESC_PROV[DESCUENTO]),0))
   *(1+VLOOKUP($C$2,LISTAS[],2,FALSE))
   *(1+VLOOKUP($C$2,LISTAS[],3,FALSE))
)
/5,0)*5</f>
        <v>611790</v>
      </c>
    </row>
    <row r="55" spans="1:18">
      <c r="A55" s="107" t="s">
        <v>85</v>
      </c>
      <c r="B55" s="64">
        <v>240975</v>
      </c>
      <c r="C55" s="64">
        <v>34418</v>
      </c>
      <c r="D55" s="64">
        <v>57300</v>
      </c>
      <c r="E55" s="64">
        <v>57834</v>
      </c>
      <c r="F55" s="64">
        <v>66552</v>
      </c>
      <c r="G55" s="64">
        <v>87636</v>
      </c>
      <c r="H55" s="64">
        <v>274356</v>
      </c>
      <c r="I55" s="64">
        <v>149631</v>
      </c>
      <c r="J55" s="2"/>
      <c r="K55" s="107" t="s">
        <v>85</v>
      </c>
      <c r="L55" s="65">
        <f t="array" ref="L55">ROUND(
IF($A$2="COSTO",
   ((B55*(1+IFERROR(VLOOKUP($D$2,COLORES[],2,FALSE),0)))+E55)
   *(1-IFERROR(_xlfn.XLOOKUP(1,(DESC_PROV[LINEA]=$B$2)*(DESC_PROV[LISTA]=$C$2),DESC_PROV[DESCUENTO]),0)),
   ((B55*(1+IFERROR(VLOOKUP($D$2,COLORES[],2,FALSE),0)))+E55)
   *(1-IFERROR(_xlfn.XLOOKUP(1,(DESC_PROV[LINEA]=$B$2)*(DESC_PROV[LISTA]=$C$2),DESC_PROV[DESCUENTO]),0))
   *(1+VLOOKUP($C$2,LISTAS[],2,FALSE))
   *(1+VLOOKUP($C$2,LISTAS[],3,FALSE))
)
/5,0)*5</f>
        <v>382935</v>
      </c>
      <c r="M55" s="65">
        <f t="array" ref="M55">ROUND(
IF($A$2="COSTO",
   ((B55*(1+IFERROR(VLOOKUP($D$2,COLORES[],2,FALSE),0)))+F55)
   *(1-IFERROR(_xlfn.XLOOKUP(1,(DESC_PROV[LINEA]=$B$2)*(DESC_PROV[LISTA]=$C$2),DESC_PROV[DESCUENTO]),0)),
   ((B55*(1+IFERROR(VLOOKUP($D$2,COLORES[],2,FALSE),0)))+F55)
   *(1-IFERROR(_xlfn.XLOOKUP(1,(DESC_PROV[LINEA]=$B$2)*(DESC_PROV[LISTA]=$C$2),DESC_PROV[DESCUENTO]),0))
   *(1+VLOOKUP($C$2,LISTAS[],2,FALSE))
   *(1+VLOOKUP($C$2,LISTAS[],3,FALSE))
)
/5,0)*5</f>
        <v>394110</v>
      </c>
      <c r="N55" s="65">
        <f t="array" ref="N55">ROUND(
IF($A$2="COSTO",
   ((B55*(1+IFERROR(VLOOKUP($D$2,COLORES[],2,FALSE),0)))+G55)
   *(1-IFERROR(_xlfn.XLOOKUP(1,(DESC_PROV[LINEA]=$B$2)*(DESC_PROV[LISTA]=$C$2),DESC_PROV[DESCUENTO]),0)),
   ((B55*(1+IFERROR(VLOOKUP($D$2,COLORES[],2,FALSE),0)))+G55)
   *(1-IFERROR(_xlfn.XLOOKUP(1,(DESC_PROV[LINEA]=$B$2)*(DESC_PROV[LISTA]=$C$2),DESC_PROV[DESCUENTO]),0))
   *(1+VLOOKUP($C$2,LISTAS[],2,FALSE))
   *(1+VLOOKUP($C$2,LISTAS[],3,FALSE))
)
/5,0)*5</f>
        <v>421130</v>
      </c>
      <c r="O55" s="65">
        <f t="array" ref="O55">ROUND(
IF($A$2="COSTO",
   ((B55*(1+IFERROR(VLOOKUP($D$2,COLORES[],2,FALSE),0)))+H55)
   *(1-IFERROR(_xlfn.XLOOKUP(1,(DESC_PROV[LINEA]=$B$2)*(DESC_PROV[LISTA]=$C$2),DESC_PROV[DESCUENTO]),0)),
   ((B55*(1+IFERROR(VLOOKUP($D$2,COLORES[],2,FALSE),0)))+H55)
   *(1-IFERROR(_xlfn.XLOOKUP(1,(DESC_PROV[LINEA]=$B$2)*(DESC_PROV[LISTA]=$C$2),DESC_PROV[DESCUENTO]),0))
   *(1+VLOOKUP($C$2,LISTAS[],2,FALSE))
   *(1+VLOOKUP($C$2,LISTAS[],3,FALSE))
)
/5,0)*5</f>
        <v>660415</v>
      </c>
      <c r="P55" s="65">
        <f t="array" ref="P55">ROUND(
IF($A$2="COSTO",
   (C55*(1+IFERROR(VLOOKUP($D$2,COLORES[],2,FALSE),0)))
   *(1-IFERROR(_xlfn.XLOOKUP(1,(DESC_PROV[LINEA]=$B$2)*(DESC_PROV[LISTA]=$C$2),DESC_PROV[DESCUENTO]),0)),
   (C55*(1+IFERROR(VLOOKUP($D$2,COLORES[],2,FALSE),0)))
   *(1-IFERROR(_xlfn.XLOOKUP(1,(DESC_PROV[LINEA]=$B$2)*(DESC_PROV[LISTA]=$C$2),DESC_PROV[DESCUENTO]),0))
   *(1+VLOOKUP($C$2,LISTAS[],2,FALSE))
   *(1+VLOOKUP($C$2,LISTAS[],3,FALSE))
)
/5,0)*5</f>
        <v>44110</v>
      </c>
      <c r="Q55" s="65">
        <f t="array" ref="Q55">ROUND(
IF($A$2="COSTO",
   (D55*(1+IFERROR(VLOOKUP($D$2,COLORES[],2,FALSE),0)))
   *(1-IFERROR(_xlfn.XLOOKUP(1,(DESC_PROV[LINEA]=$B$2)*(DESC_PROV[LISTA]=$C$2),DESC_PROV[DESCUENTO]),0)),
   (D55*(1+IFERROR(VLOOKUP($D$2,COLORES[],2,FALSE),0)))
   *(1-IFERROR(_xlfn.XLOOKUP(1,(DESC_PROV[LINEA]=$B$2)*(DESC_PROV[LISTA]=$C$2),DESC_PROV[DESCUENTO]),0))
   *(1+VLOOKUP($C$2,LISTAS[],2,FALSE))
   *(1+VLOOKUP($C$2,LISTAS[],4,FALSE))
)
/5,0)*5</f>
        <v>90380</v>
      </c>
      <c r="R55" s="66">
        <f t="array" ref="R55">ROUND(
IF($A$2="COSTO",
   ((B55*(1+IFERROR(VLOOKUP($D$2,COLORES[],2,FALSE),0)))+(F55+I55+F55))
   *(1-IFERROR(_xlfn.XLOOKUP(1,(DESC_PROV[LINEA]=$B$2)*(DESC_PROV[LISTA]=$C$2),DESC_PROV[DESCUENTO]),0)),
   ((B55*(1+IFERROR(VLOOKUP($D$2,COLORES[],2,FALSE),0)))+(F55+I55+F55))
   *(1-IFERROR(_xlfn.XLOOKUP(1,(DESC_PROV[LINEA]=$B$2)*(DESC_PROV[LISTA]=$C$2),DESC_PROV[DESCUENTO]),0))
   *(1+VLOOKUP($C$2,LISTAS[],2,FALSE))
   *(1+VLOOKUP($C$2,LISTAS[],3,FALSE))
)
/5,0)*5</f>
        <v>671155</v>
      </c>
    </row>
    <row r="56" spans="1:18">
      <c r="A56" s="107" t="s">
        <v>86</v>
      </c>
      <c r="B56" s="64">
        <v>261844</v>
      </c>
      <c r="C56" s="64">
        <v>34418</v>
      </c>
      <c r="D56" s="64">
        <v>61000</v>
      </c>
      <c r="E56" s="64">
        <v>64638</v>
      </c>
      <c r="F56" s="64">
        <v>74382</v>
      </c>
      <c r="G56" s="64">
        <v>97950</v>
      </c>
      <c r="H56" s="64">
        <v>306630</v>
      </c>
      <c r="I56" s="64">
        <v>154791</v>
      </c>
      <c r="J56" s="2"/>
      <c r="K56" s="107" t="s">
        <v>86</v>
      </c>
      <c r="L56" s="65">
        <f t="array" ref="L56">ROUND(
IF($A$2="COSTO",
   ((B56*(1+IFERROR(VLOOKUP($D$2,COLORES[],2,FALSE),0)))+E56)
   *(1-IFERROR(_xlfn.XLOOKUP(1,(DESC_PROV[LINEA]=$B$2)*(DESC_PROV[LISTA]=$C$2),DESC_PROV[DESCUENTO]),0)),
   ((B56*(1+IFERROR(VLOOKUP($D$2,COLORES[],2,FALSE),0)))+E56)
   *(1-IFERROR(_xlfn.XLOOKUP(1,(DESC_PROV[LINEA]=$B$2)*(DESC_PROV[LISTA]=$C$2),DESC_PROV[DESCUENTO]),0))
   *(1+VLOOKUP($C$2,LISTAS[],2,FALSE))
   *(1+VLOOKUP($C$2,LISTAS[],3,FALSE))
)
/5,0)*5</f>
        <v>418400</v>
      </c>
      <c r="M56" s="65">
        <f t="array" ref="M56">ROUND(
IF($A$2="COSTO",
   ((B56*(1+IFERROR(VLOOKUP($D$2,COLORES[],2,FALSE),0)))+F56)
   *(1-IFERROR(_xlfn.XLOOKUP(1,(DESC_PROV[LINEA]=$B$2)*(DESC_PROV[LISTA]=$C$2),DESC_PROV[DESCUENTO]),0)),
   ((B56*(1+IFERROR(VLOOKUP($D$2,COLORES[],2,FALSE),0)))+F56)
   *(1-IFERROR(_xlfn.XLOOKUP(1,(DESC_PROV[LINEA]=$B$2)*(DESC_PROV[LISTA]=$C$2),DESC_PROV[DESCUENTO]),0))
   *(1+VLOOKUP($C$2,LISTAS[],2,FALSE))
   *(1+VLOOKUP($C$2,LISTAS[],3,FALSE))
)
/5,0)*5</f>
        <v>430885</v>
      </c>
      <c r="N56" s="65">
        <f t="array" ref="N56">ROUND(
IF($A$2="COSTO",
   ((B56*(1+IFERROR(VLOOKUP($D$2,COLORES[],2,FALSE),0)))+G56)
   *(1-IFERROR(_xlfn.XLOOKUP(1,(DESC_PROV[LINEA]=$B$2)*(DESC_PROV[LISTA]=$C$2),DESC_PROV[DESCUENTO]),0)),
   ((B56*(1+IFERROR(VLOOKUP($D$2,COLORES[],2,FALSE),0)))+G56)
   *(1-IFERROR(_xlfn.XLOOKUP(1,(DESC_PROV[LINEA]=$B$2)*(DESC_PROV[LISTA]=$C$2),DESC_PROV[DESCUENTO]),0))
   *(1+VLOOKUP($C$2,LISTAS[],2,FALSE))
   *(1+VLOOKUP($C$2,LISTAS[],3,FALSE))
)
/5,0)*5</f>
        <v>461090</v>
      </c>
      <c r="O56" s="65">
        <f t="array" ref="O56">ROUND(
IF($A$2="COSTO",
   ((B56*(1+IFERROR(VLOOKUP($D$2,COLORES[],2,FALSE),0)))+H56)
   *(1-IFERROR(_xlfn.XLOOKUP(1,(DESC_PROV[LINEA]=$B$2)*(DESC_PROV[LISTA]=$C$2),DESC_PROV[DESCUENTO]),0)),
   ((B56*(1+IFERROR(VLOOKUP($D$2,COLORES[],2,FALSE),0)))+H56)
   *(1-IFERROR(_xlfn.XLOOKUP(1,(DESC_PROV[LINEA]=$B$2)*(DESC_PROV[LISTA]=$C$2),DESC_PROV[DESCUENTO]),0))
   *(1+VLOOKUP($C$2,LISTAS[],2,FALSE))
   *(1+VLOOKUP($C$2,LISTAS[],3,FALSE))
)
/5,0)*5</f>
        <v>728520</v>
      </c>
      <c r="P56" s="65">
        <f t="array" ref="P56">ROUND(
IF($A$2="COSTO",
   (C56*(1+IFERROR(VLOOKUP($D$2,COLORES[],2,FALSE),0)))
   *(1-IFERROR(_xlfn.XLOOKUP(1,(DESC_PROV[LINEA]=$B$2)*(DESC_PROV[LISTA]=$C$2),DESC_PROV[DESCUENTO]),0)),
   (C56*(1+IFERROR(VLOOKUP($D$2,COLORES[],2,FALSE),0)))
   *(1-IFERROR(_xlfn.XLOOKUP(1,(DESC_PROV[LINEA]=$B$2)*(DESC_PROV[LISTA]=$C$2),DESC_PROV[DESCUENTO]),0))
   *(1+VLOOKUP($C$2,LISTAS[],2,FALSE))
   *(1+VLOOKUP($C$2,LISTAS[],3,FALSE))
)
/5,0)*5</f>
        <v>44110</v>
      </c>
      <c r="Q56" s="65">
        <f t="array" ref="Q56">ROUND(
IF($A$2="COSTO",
   (D56*(1+IFERROR(VLOOKUP($D$2,COLORES[],2,FALSE),0)))
   *(1-IFERROR(_xlfn.XLOOKUP(1,(DESC_PROV[LINEA]=$B$2)*(DESC_PROV[LISTA]=$C$2),DESC_PROV[DESCUENTO]),0)),
   (D56*(1+IFERROR(VLOOKUP($D$2,COLORES[],2,FALSE),0)))
   *(1-IFERROR(_xlfn.XLOOKUP(1,(DESC_PROV[LINEA]=$B$2)*(DESC_PROV[LISTA]=$C$2),DESC_PROV[DESCUENTO]),0))
   *(1+VLOOKUP($C$2,LISTAS[],2,FALSE))
   *(1+VLOOKUP($C$2,LISTAS[],4,FALSE))
)
/5,0)*5</f>
        <v>96215</v>
      </c>
      <c r="R56" s="66">
        <f t="array" ref="R56">ROUND(
IF($A$2="COSTO",
   ((B56*(1+IFERROR(VLOOKUP($D$2,COLORES[],2,FALSE),0)))+(F56+I56+F56))
   *(1-IFERROR(_xlfn.XLOOKUP(1,(DESC_PROV[LINEA]=$B$2)*(DESC_PROV[LISTA]=$C$2),DESC_PROV[DESCUENTO]),0)),
   ((B56*(1+IFERROR(VLOOKUP($D$2,COLORES[],2,FALSE),0)))+(F56+I56+F56))
   *(1-IFERROR(_xlfn.XLOOKUP(1,(DESC_PROV[LINEA]=$B$2)*(DESC_PROV[LISTA]=$C$2),DESC_PROV[DESCUENTO]),0))
   *(1+VLOOKUP($C$2,LISTAS[],2,FALSE))
   *(1+VLOOKUP($C$2,LISTAS[],3,FALSE))
)
/5,0)*5</f>
        <v>724580</v>
      </c>
    </row>
    <row r="57" spans="1:18">
      <c r="A57" s="107" t="s">
        <v>87</v>
      </c>
      <c r="B57" s="64">
        <v>275019</v>
      </c>
      <c r="C57" s="64">
        <v>34418</v>
      </c>
      <c r="D57" s="64">
        <v>64700</v>
      </c>
      <c r="E57" s="64">
        <v>71442</v>
      </c>
      <c r="F57" s="64">
        <v>82212</v>
      </c>
      <c r="G57" s="64">
        <v>108258</v>
      </c>
      <c r="H57" s="64">
        <v>338903</v>
      </c>
      <c r="I57" s="64">
        <v>159951</v>
      </c>
      <c r="J57" s="2"/>
      <c r="K57" s="107" t="s">
        <v>87</v>
      </c>
      <c r="L57" s="65">
        <f t="array" ref="L57">ROUND(
IF($A$2="COSTO",
   ((B57*(1+IFERROR(VLOOKUP($D$2,COLORES[],2,FALSE),0)))+E57)
   *(1-IFERROR(_xlfn.XLOOKUP(1,(DESC_PROV[LINEA]=$B$2)*(DESC_PROV[LISTA]=$C$2),DESC_PROV[DESCUENTO]),0)),
   ((B57*(1+IFERROR(VLOOKUP($D$2,COLORES[],2,FALSE),0)))+E57)
   *(1-IFERROR(_xlfn.XLOOKUP(1,(DESC_PROV[LINEA]=$B$2)*(DESC_PROV[LISTA]=$C$2),DESC_PROV[DESCUENTO]),0))
   *(1+VLOOKUP($C$2,LISTAS[],2,FALSE))
   *(1+VLOOKUP($C$2,LISTAS[],3,FALSE))
)
/5,0)*5</f>
        <v>444005</v>
      </c>
      <c r="M57" s="65">
        <f t="array" ref="M57">ROUND(
IF($A$2="COSTO",
   ((B57*(1+IFERROR(VLOOKUP($D$2,COLORES[],2,FALSE),0)))+F57)
   *(1-IFERROR(_xlfn.XLOOKUP(1,(DESC_PROV[LINEA]=$B$2)*(DESC_PROV[LISTA]=$C$2),DESC_PROV[DESCUENTO]),0)),
   ((B57*(1+IFERROR(VLOOKUP($D$2,COLORES[],2,FALSE),0)))+F57)
   *(1-IFERROR(_xlfn.XLOOKUP(1,(DESC_PROV[LINEA]=$B$2)*(DESC_PROV[LISTA]=$C$2),DESC_PROV[DESCUENTO]),0))
   *(1+VLOOKUP($C$2,LISTAS[],2,FALSE))
   *(1+VLOOKUP($C$2,LISTAS[],3,FALSE))
)
/5,0)*5</f>
        <v>457805</v>
      </c>
      <c r="N57" s="65">
        <f t="array" ref="N57">ROUND(
IF($A$2="COSTO",
   ((B57*(1+IFERROR(VLOOKUP($D$2,COLORES[],2,FALSE),0)))+G57)
   *(1-IFERROR(_xlfn.XLOOKUP(1,(DESC_PROV[LINEA]=$B$2)*(DESC_PROV[LISTA]=$C$2),DESC_PROV[DESCUENTO]),0)),
   ((B57*(1+IFERROR(VLOOKUP($D$2,COLORES[],2,FALSE),0)))+G57)
   *(1-IFERROR(_xlfn.XLOOKUP(1,(DESC_PROV[LINEA]=$B$2)*(DESC_PROV[LISTA]=$C$2),DESC_PROV[DESCUENTO]),0))
   *(1+VLOOKUP($C$2,LISTAS[],2,FALSE))
   *(1+VLOOKUP($C$2,LISTAS[],3,FALSE))
)
/5,0)*5</f>
        <v>491185</v>
      </c>
      <c r="O57" s="65">
        <f t="array" ref="O57">ROUND(
IF($A$2="COSTO",
   ((B57*(1+IFERROR(VLOOKUP($D$2,COLORES[],2,FALSE),0)))+H57)
   *(1-IFERROR(_xlfn.XLOOKUP(1,(DESC_PROV[LINEA]=$B$2)*(DESC_PROV[LISTA]=$C$2),DESC_PROV[DESCUENTO]),0)),
   ((B57*(1+IFERROR(VLOOKUP($D$2,COLORES[],2,FALSE),0)))+H57)
   *(1-IFERROR(_xlfn.XLOOKUP(1,(DESC_PROV[LINEA]=$B$2)*(DESC_PROV[LISTA]=$C$2),DESC_PROV[DESCUENTO]),0))
   *(1+VLOOKUP($C$2,LISTAS[],2,FALSE))
   *(1+VLOOKUP($C$2,LISTAS[],3,FALSE))
)
/5,0)*5</f>
        <v>786765</v>
      </c>
      <c r="P57" s="65">
        <f t="array" ref="P57">ROUND(
IF($A$2="COSTO",
   (C57*(1+IFERROR(VLOOKUP($D$2,COLORES[],2,FALSE),0)))
   *(1-IFERROR(_xlfn.XLOOKUP(1,(DESC_PROV[LINEA]=$B$2)*(DESC_PROV[LISTA]=$C$2),DESC_PROV[DESCUENTO]),0)),
   (C57*(1+IFERROR(VLOOKUP($D$2,COLORES[],2,FALSE),0)))
   *(1-IFERROR(_xlfn.XLOOKUP(1,(DESC_PROV[LINEA]=$B$2)*(DESC_PROV[LISTA]=$C$2),DESC_PROV[DESCUENTO]),0))
   *(1+VLOOKUP($C$2,LISTAS[],2,FALSE))
   *(1+VLOOKUP($C$2,LISTAS[],3,FALSE))
)
/5,0)*5</f>
        <v>44110</v>
      </c>
      <c r="Q57" s="65">
        <f t="array" ref="Q57">ROUND(
IF($A$2="COSTO",
   (D57*(1+IFERROR(VLOOKUP($D$2,COLORES[],2,FALSE),0)))
   *(1-IFERROR(_xlfn.XLOOKUP(1,(DESC_PROV[LINEA]=$B$2)*(DESC_PROV[LISTA]=$C$2),DESC_PROV[DESCUENTO]),0)),
   (D57*(1+IFERROR(VLOOKUP($D$2,COLORES[],2,FALSE),0)))
   *(1-IFERROR(_xlfn.XLOOKUP(1,(DESC_PROV[LINEA]=$B$2)*(DESC_PROV[LISTA]=$C$2),DESC_PROV[DESCUENTO]),0))
   *(1+VLOOKUP($C$2,LISTAS[],2,FALSE))
   *(1+VLOOKUP($C$2,LISTAS[],4,FALSE))
)
/5,0)*5</f>
        <v>102050</v>
      </c>
      <c r="R57" s="66">
        <f t="array" ref="R57">ROUND(
IF($A$2="COSTO",
   ((B57*(1+IFERROR(VLOOKUP($D$2,COLORES[],2,FALSE),0)))+(F57+I57+F57))
   *(1-IFERROR(_xlfn.XLOOKUP(1,(DESC_PROV[LINEA]=$B$2)*(DESC_PROV[LISTA]=$C$2),DESC_PROV[DESCUENTO]),0)),
   ((B57*(1+IFERROR(VLOOKUP($D$2,COLORES[],2,FALSE),0)))+(F57+I57+F57))
   *(1-IFERROR(_xlfn.XLOOKUP(1,(DESC_PROV[LINEA]=$B$2)*(DESC_PROV[LISTA]=$C$2),DESC_PROV[DESCUENTO]),0))
   *(1+VLOOKUP($C$2,LISTAS[],2,FALSE))
   *(1+VLOOKUP($C$2,LISTAS[],3,FALSE))
)
/5,0)*5</f>
        <v>768145</v>
      </c>
    </row>
    <row r="58" spans="1:18">
      <c r="A58" s="107" t="s">
        <v>88</v>
      </c>
      <c r="B58" s="64">
        <v>292225</v>
      </c>
      <c r="C58" s="64">
        <v>34418</v>
      </c>
      <c r="D58" s="64">
        <v>68400</v>
      </c>
      <c r="E58" s="64">
        <v>78246</v>
      </c>
      <c r="F58" s="64">
        <v>90042</v>
      </c>
      <c r="G58" s="64">
        <v>118566</v>
      </c>
      <c r="H58" s="64">
        <v>371184</v>
      </c>
      <c r="I58" s="64">
        <v>165110</v>
      </c>
      <c r="J58" s="2"/>
      <c r="K58" s="107" t="s">
        <v>88</v>
      </c>
      <c r="L58" s="65">
        <f t="array" ref="L58">ROUND(
IF($A$2="COSTO",
   ((B58*(1+IFERROR(VLOOKUP($D$2,COLORES[],2,FALSE),0)))+E58)
   *(1-IFERROR(_xlfn.XLOOKUP(1,(DESC_PROV[LINEA]=$B$2)*(DESC_PROV[LISTA]=$C$2),DESC_PROV[DESCUENTO]),0)),
   ((B58*(1+IFERROR(VLOOKUP($D$2,COLORES[],2,FALSE),0)))+E58)
   *(1-IFERROR(_xlfn.XLOOKUP(1,(DESC_PROV[LINEA]=$B$2)*(DESC_PROV[LISTA]=$C$2),DESC_PROV[DESCUENTO]),0))
   *(1+VLOOKUP($C$2,LISTAS[],2,FALSE))
   *(1+VLOOKUP($C$2,LISTAS[],3,FALSE))
)
/5,0)*5</f>
        <v>474775</v>
      </c>
      <c r="M58" s="65">
        <f t="array" ref="M58">ROUND(
IF($A$2="COSTO",
   ((B58*(1+IFERROR(VLOOKUP($D$2,COLORES[],2,FALSE),0)))+F58)
   *(1-IFERROR(_xlfn.XLOOKUP(1,(DESC_PROV[LINEA]=$B$2)*(DESC_PROV[LISTA]=$C$2),DESC_PROV[DESCUENTO]),0)),
   ((B58*(1+IFERROR(VLOOKUP($D$2,COLORES[],2,FALSE),0)))+F58)
   *(1-IFERROR(_xlfn.XLOOKUP(1,(DESC_PROV[LINEA]=$B$2)*(DESC_PROV[LISTA]=$C$2),DESC_PROV[DESCUENTO]),0))
   *(1+VLOOKUP($C$2,LISTAS[],2,FALSE))
   *(1+VLOOKUP($C$2,LISTAS[],3,FALSE))
)
/5,0)*5</f>
        <v>489890</v>
      </c>
      <c r="N58" s="65">
        <f t="array" ref="N58">ROUND(
IF($A$2="COSTO",
   ((B58*(1+IFERROR(VLOOKUP($D$2,COLORES[],2,FALSE),0)))+G58)
   *(1-IFERROR(_xlfn.XLOOKUP(1,(DESC_PROV[LINEA]=$B$2)*(DESC_PROV[LISTA]=$C$2),DESC_PROV[DESCUENTO]),0)),
   ((B58*(1+IFERROR(VLOOKUP($D$2,COLORES[],2,FALSE),0)))+G58)
   *(1-IFERROR(_xlfn.XLOOKUP(1,(DESC_PROV[LINEA]=$B$2)*(DESC_PROV[LISTA]=$C$2),DESC_PROV[DESCUENTO]),0))
   *(1+VLOOKUP($C$2,LISTAS[],2,FALSE))
   *(1+VLOOKUP($C$2,LISTAS[],3,FALSE))
)
/5,0)*5</f>
        <v>526445</v>
      </c>
      <c r="O58" s="65">
        <f t="array" ref="O58">ROUND(
IF($A$2="COSTO",
   ((B58*(1+IFERROR(VLOOKUP($D$2,COLORES[],2,FALSE),0)))+H58)
   *(1-IFERROR(_xlfn.XLOOKUP(1,(DESC_PROV[LINEA]=$B$2)*(DESC_PROV[LISTA]=$C$2),DESC_PROV[DESCUENTO]),0)),
   ((B58*(1+IFERROR(VLOOKUP($D$2,COLORES[],2,FALSE),0)))+H58)
   *(1-IFERROR(_xlfn.XLOOKUP(1,(DESC_PROV[LINEA]=$B$2)*(DESC_PROV[LISTA]=$C$2),DESC_PROV[DESCUENTO]),0))
   *(1+VLOOKUP($C$2,LISTAS[],2,FALSE))
   *(1+VLOOKUP($C$2,LISTAS[],3,FALSE))
)
/5,0)*5</f>
        <v>850185</v>
      </c>
      <c r="P58" s="65">
        <f t="array" ref="P58">ROUND(
IF($A$2="COSTO",
   (C58*(1+IFERROR(VLOOKUP($D$2,COLORES[],2,FALSE),0)))
   *(1-IFERROR(_xlfn.XLOOKUP(1,(DESC_PROV[LINEA]=$B$2)*(DESC_PROV[LISTA]=$C$2),DESC_PROV[DESCUENTO]),0)),
   (C58*(1+IFERROR(VLOOKUP($D$2,COLORES[],2,FALSE),0)))
   *(1-IFERROR(_xlfn.XLOOKUP(1,(DESC_PROV[LINEA]=$B$2)*(DESC_PROV[LISTA]=$C$2),DESC_PROV[DESCUENTO]),0))
   *(1+VLOOKUP($C$2,LISTAS[],2,FALSE))
   *(1+VLOOKUP($C$2,LISTAS[],3,FALSE))
)
/5,0)*5</f>
        <v>44110</v>
      </c>
      <c r="Q58" s="65">
        <f t="array" ref="Q58">ROUND(
IF($A$2="COSTO",
   (D58*(1+IFERROR(VLOOKUP($D$2,COLORES[],2,FALSE),0)))
   *(1-IFERROR(_xlfn.XLOOKUP(1,(DESC_PROV[LINEA]=$B$2)*(DESC_PROV[LISTA]=$C$2),DESC_PROV[DESCUENTO]),0)),
   (D58*(1+IFERROR(VLOOKUP($D$2,COLORES[],2,FALSE),0)))
   *(1-IFERROR(_xlfn.XLOOKUP(1,(DESC_PROV[LINEA]=$B$2)*(DESC_PROV[LISTA]=$C$2),DESC_PROV[DESCUENTO]),0))
   *(1+VLOOKUP($C$2,LISTAS[],2,FALSE))
   *(1+VLOOKUP($C$2,LISTAS[],4,FALSE))
)
/5,0)*5</f>
        <v>107885</v>
      </c>
      <c r="R58" s="66">
        <f t="array" ref="R58">ROUND(
IF($A$2="COSTO",
   ((B58*(1+IFERROR(VLOOKUP($D$2,COLORES[],2,FALSE),0)))+(F58+I58+F58))
   *(1-IFERROR(_xlfn.XLOOKUP(1,(DESC_PROV[LINEA]=$B$2)*(DESC_PROV[LISTA]=$C$2),DESC_PROV[DESCUENTO]),0)),
   ((B58*(1+IFERROR(VLOOKUP($D$2,COLORES[],2,FALSE),0)))+(F58+I58+F58))
   *(1-IFERROR(_xlfn.XLOOKUP(1,(DESC_PROV[LINEA]=$B$2)*(DESC_PROV[LISTA]=$C$2),DESC_PROV[DESCUENTO]),0))
   *(1+VLOOKUP($C$2,LISTAS[],2,FALSE))
   *(1+VLOOKUP($C$2,LISTAS[],3,FALSE))
)
/5,0)*5</f>
        <v>816880</v>
      </c>
    </row>
    <row r="59" spans="1:18" ht="14.65" thickBot="1">
      <c r="A59" s="108" t="s">
        <v>115</v>
      </c>
      <c r="B59" s="65">
        <f>B58*(1+5%)</f>
        <v>306836.25</v>
      </c>
      <c r="C59" s="65">
        <f t="shared" ref="C59:I59" si="0">C58*(1+5%)</f>
        <v>36138.9</v>
      </c>
      <c r="D59" s="65">
        <f t="shared" si="0"/>
        <v>71820</v>
      </c>
      <c r="E59" s="65">
        <f t="shared" si="0"/>
        <v>82158.3</v>
      </c>
      <c r="F59" s="65">
        <f t="shared" si="0"/>
        <v>94544.1</v>
      </c>
      <c r="G59" s="65">
        <f t="shared" si="0"/>
        <v>124494.3</v>
      </c>
      <c r="H59" s="65">
        <f t="shared" si="0"/>
        <v>389743.2</v>
      </c>
      <c r="I59" s="65">
        <f t="shared" si="0"/>
        <v>173365.5</v>
      </c>
      <c r="J59" s="2"/>
      <c r="K59" s="108" t="s">
        <v>115</v>
      </c>
      <c r="L59" s="65">
        <f t="array" ref="L59">ROUND(
IF($A$2="COSTO",
   ((B59*(1+IFERROR(VLOOKUP($D$2,COLORES[],2,FALSE),0)))+E59)
   *(1-IFERROR(_xlfn.XLOOKUP(1,(DESC_PROV[LINEA]=$B$2)*(DESC_PROV[LISTA]=$C$2),DESC_PROV[DESCUENTO]),0)),
   ((B59*(1+IFERROR(VLOOKUP($D$2,COLORES[],2,FALSE),0)))+E59)
   *(1-IFERROR(_xlfn.XLOOKUP(1,(DESC_PROV[LINEA]=$B$2)*(DESC_PROV[LISTA]=$C$2),DESC_PROV[DESCUENTO]),0))
   *(1+VLOOKUP($C$2,LISTAS[],2,FALSE))
   *(1+VLOOKUP($C$2,LISTAS[],3,FALSE))
)
/5,0)*5</f>
        <v>498510</v>
      </c>
      <c r="M59" s="65">
        <f t="array" ref="M59">ROUND(
IF($A$2="COSTO",
   ((B59*(1+IFERROR(VLOOKUP($D$2,COLORES[],2,FALSE),0)))+F59)
   *(1-IFERROR(_xlfn.XLOOKUP(1,(DESC_PROV[LINEA]=$B$2)*(DESC_PROV[LISTA]=$C$2),DESC_PROV[DESCUENTO]),0)),
   ((B59*(1+IFERROR(VLOOKUP($D$2,COLORES[],2,FALSE),0)))+F59)
   *(1-IFERROR(_xlfn.XLOOKUP(1,(DESC_PROV[LINEA]=$B$2)*(DESC_PROV[LISTA]=$C$2),DESC_PROV[DESCUENTO]),0))
   *(1+VLOOKUP($C$2,LISTAS[],2,FALSE))
   *(1+VLOOKUP($C$2,LISTAS[],3,FALSE))
)
/5,0)*5</f>
        <v>514385</v>
      </c>
      <c r="N59" s="65">
        <f t="array" ref="N59">ROUND(
IF($A$2="COSTO",
   ((B59*(1+IFERROR(VLOOKUP($D$2,COLORES[],2,FALSE),0)))+G59)
   *(1-IFERROR(_xlfn.XLOOKUP(1,(DESC_PROV[LINEA]=$B$2)*(DESC_PROV[LISTA]=$C$2),DESC_PROV[DESCUENTO]),0)),
   ((B59*(1+IFERROR(VLOOKUP($D$2,COLORES[],2,FALSE),0)))+G59)
   *(1-IFERROR(_xlfn.XLOOKUP(1,(DESC_PROV[LINEA]=$B$2)*(DESC_PROV[LISTA]=$C$2),DESC_PROV[DESCUENTO]),0))
   *(1+VLOOKUP($C$2,LISTAS[],2,FALSE))
   *(1+VLOOKUP($C$2,LISTAS[],3,FALSE))
)
/5,0)*5</f>
        <v>552765</v>
      </c>
      <c r="O59" s="65">
        <f t="array" ref="O59">ROUND(
IF($A$2="COSTO",
   ((B59*(1+IFERROR(VLOOKUP($D$2,COLORES[],2,FALSE),0)))+H59)
   *(1-IFERROR(_xlfn.XLOOKUP(1,(DESC_PROV[LINEA]=$B$2)*(DESC_PROV[LISTA]=$C$2),DESC_PROV[DESCUENTO]),0)),
   ((B59*(1+IFERROR(VLOOKUP($D$2,COLORES[],2,FALSE),0)))+H59)
   *(1-IFERROR(_xlfn.XLOOKUP(1,(DESC_PROV[LINEA]=$B$2)*(DESC_PROV[LISTA]=$C$2),DESC_PROV[DESCUENTO]),0))
   *(1+VLOOKUP($C$2,LISTAS[],2,FALSE))
   *(1+VLOOKUP($C$2,LISTAS[],3,FALSE))
)
/5,0)*5</f>
        <v>892695</v>
      </c>
      <c r="P59" s="65">
        <f t="array" ref="P59">ROUND(
IF($A$2="COSTO",
   (C59*(1+IFERROR(VLOOKUP($D$2,COLORES[],2,FALSE),0)))
   *(1-IFERROR(_xlfn.XLOOKUP(1,(DESC_PROV[LINEA]=$B$2)*(DESC_PROV[LISTA]=$C$2),DESC_PROV[DESCUENTO]),0)),
   (C59*(1+IFERROR(VLOOKUP($D$2,COLORES[],2,FALSE),0)))
   *(1-IFERROR(_xlfn.XLOOKUP(1,(DESC_PROV[LINEA]=$B$2)*(DESC_PROV[LISTA]=$C$2),DESC_PROV[DESCUENTO]),0))
   *(1+VLOOKUP($C$2,LISTAS[],2,FALSE))
   *(1+VLOOKUP($C$2,LISTAS[],3,FALSE))
)
/5,0)*5</f>
        <v>46315</v>
      </c>
      <c r="Q59" s="65">
        <f t="array" ref="Q59">ROUND(
IF($A$2="COSTO",
   (D59*(1+IFERROR(VLOOKUP($D$2,COLORES[],2,FALSE),0)))
   *(1-IFERROR(_xlfn.XLOOKUP(1,(DESC_PROV[LINEA]=$B$2)*(DESC_PROV[LISTA]=$C$2),DESC_PROV[DESCUENTO]),0)),
   (D59*(1+IFERROR(VLOOKUP($D$2,COLORES[],2,FALSE),0)))
   *(1-IFERROR(_xlfn.XLOOKUP(1,(DESC_PROV[LINEA]=$B$2)*(DESC_PROV[LISTA]=$C$2),DESC_PROV[DESCUENTO]),0))
   *(1+VLOOKUP($C$2,LISTAS[],2,FALSE))
   *(1+VLOOKUP($C$2,LISTAS[],4,FALSE))
)
/5,0)*5</f>
        <v>113280</v>
      </c>
      <c r="R59" s="66">
        <f t="array" ref="R59">ROUND(
IF($A$2="COSTO",
   ((B59*(1+IFERROR(VLOOKUP($D$2,COLORES[],2,FALSE),0)))+(F59+I59+F59))
   *(1-IFERROR(_xlfn.XLOOKUP(1,(DESC_PROV[LINEA]=$B$2)*(DESC_PROV[LISTA]=$C$2),DESC_PROV[DESCUENTO]),0)),
   ((B59*(1+IFERROR(VLOOKUP($D$2,COLORES[],2,FALSE),0)))+(F59+I59+F59))
   *(1-IFERROR(_xlfn.XLOOKUP(1,(DESC_PROV[LINEA]=$B$2)*(DESC_PROV[LISTA]=$C$2),DESC_PROV[DESCUENTO]),0))
   *(1+VLOOKUP($C$2,LISTAS[],2,FALSE))
   *(1+VLOOKUP($C$2,LISTAS[],3,FALSE))
)
/5,0)*5</f>
        <v>857720</v>
      </c>
    </row>
  </sheetData>
  <mergeCells count="2">
    <mergeCell ref="A4:I4"/>
    <mergeCell ref="K4:R4"/>
  </mergeCells>
  <pageMargins left="0.7" right="0.7" top="0.75" bottom="0.75" header="0.3" footer="0.3"/>
  <pageSetup scale="5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FF0000"/>
  </sheetPr>
  <dimension ref="A1:R75"/>
  <sheetViews>
    <sheetView zoomScale="70" zoomScaleNormal="70" workbookViewId="0">
      <selection activeCell="B7" sqref="B7:I75"/>
    </sheetView>
  </sheetViews>
  <sheetFormatPr baseColWidth="10" defaultRowHeight="14.25"/>
  <cols>
    <col min="1" max="2" width="11" customWidth="1"/>
    <col min="3" max="3" width="10.265625" customWidth="1"/>
    <col min="4" max="5" width="8.73046875"/>
    <col min="6" max="6" width="13.86328125" customWidth="1"/>
    <col min="7" max="7" width="12" customWidth="1"/>
    <col min="8" max="8" width="10.1328125" customWidth="1"/>
    <col min="9" max="9" width="13.1328125" customWidth="1"/>
    <col min="10" max="10" width="8.73046875"/>
    <col min="11" max="11" width="11" customWidth="1"/>
    <col min="12" max="12" width="10.265625" customWidth="1"/>
    <col min="13" max="14" width="8.73046875"/>
    <col min="15" max="15" width="13.86328125" customWidth="1"/>
    <col min="16" max="16" width="12" customWidth="1"/>
    <col min="17" max="17" width="10.1328125" customWidth="1"/>
    <col min="18" max="18" width="13.1328125" customWidth="1"/>
  </cols>
  <sheetData>
    <row r="1" spans="1:18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8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18" ht="14.65" thickBot="1"/>
    <row r="5" spans="1:18" ht="25.9" thickBot="1">
      <c r="A5" s="302" t="s">
        <v>257</v>
      </c>
      <c r="B5" s="303"/>
      <c r="C5" s="303"/>
      <c r="D5" s="303"/>
      <c r="E5" s="303"/>
      <c r="F5" s="303"/>
      <c r="G5" s="303"/>
      <c r="H5" s="303"/>
      <c r="I5" s="304"/>
      <c r="J5" s="124"/>
      <c r="K5" s="302" t="s">
        <v>257</v>
      </c>
      <c r="L5" s="303"/>
      <c r="M5" s="303"/>
      <c r="N5" s="303"/>
      <c r="O5" s="303"/>
      <c r="P5" s="303"/>
      <c r="Q5" s="303"/>
      <c r="R5" s="304"/>
    </row>
    <row r="6" spans="1:18" ht="16.899999999999999">
      <c r="A6" s="130" t="s">
        <v>4</v>
      </c>
      <c r="B6" s="131" t="s">
        <v>196</v>
      </c>
      <c r="C6" s="131" t="s">
        <v>258</v>
      </c>
      <c r="D6" s="131" t="s">
        <v>123</v>
      </c>
      <c r="E6" s="131" t="s">
        <v>199</v>
      </c>
      <c r="F6" s="131" t="s">
        <v>125</v>
      </c>
      <c r="G6" s="131" t="s">
        <v>126</v>
      </c>
      <c r="H6" s="131" t="s">
        <v>259</v>
      </c>
      <c r="I6" s="132" t="s">
        <v>253</v>
      </c>
      <c r="J6" s="124"/>
      <c r="K6" s="130" t="s">
        <v>4</v>
      </c>
      <c r="L6" s="131" t="s">
        <v>258</v>
      </c>
      <c r="M6" s="131" t="s">
        <v>123</v>
      </c>
      <c r="N6" s="131" t="s">
        <v>199</v>
      </c>
      <c r="O6" s="131" t="s">
        <v>125</v>
      </c>
      <c r="P6" s="131" t="s">
        <v>126</v>
      </c>
      <c r="Q6" s="131" t="s">
        <v>259</v>
      </c>
      <c r="R6" s="132" t="s">
        <v>253</v>
      </c>
    </row>
    <row r="7" spans="1:18">
      <c r="A7" s="133" t="s">
        <v>128</v>
      </c>
      <c r="B7" s="125">
        <v>91406</v>
      </c>
      <c r="C7" s="125">
        <v>2448</v>
      </c>
      <c r="D7" s="125">
        <v>2966</v>
      </c>
      <c r="E7" s="125">
        <v>3907</v>
      </c>
      <c r="F7" s="125">
        <v>8458</v>
      </c>
      <c r="G7" s="125">
        <v>3264</v>
      </c>
      <c r="H7" s="125">
        <v>12649</v>
      </c>
      <c r="I7" s="125">
        <v>24806</v>
      </c>
      <c r="J7" s="124"/>
      <c r="K7" s="133" t="s">
        <v>128</v>
      </c>
      <c r="L7" s="125">
        <f t="array" ref="L7">IFERROR(
ROUND(
IF($A$2="COSTO",
   ((B7*(1+IFERROR(VLOOKUP($D$2,COLORES[],2,FALSE),0)))+C7)
   *(1-IFERROR(_xlfn.XLOOKUP(1,(DESC_PROV[LINEA]=$B$2)*(DESC_PROV[LISTA]=$C$2),DESC_PROV[DESCUENTO]),0)),
   ((B7*(1+IFERROR(VLOOKUP($D$2,COLORES[],2,FALSE),0)))+C7)
   *(1-IFERROR(_xlfn.XLOOKUP(1,(DESC_PROV[LINEA]=$B$2)*(DESC_PROV[LISTA]=$C$2),DESC_PROV[DESCUENTO]),0))
   *(1+VLOOKUP($C$2,LISTAS[],2,FALSE))
   *(1+VLOOKUP($C$2,LISTAS[],3,FALSE))
)
/5,0)*5,0)</f>
        <v>120280</v>
      </c>
      <c r="M7" s="125">
        <f t="array" ref="M7">IFERROR(
ROUND(
IF($A$2="COSTO",
   ((B7*(1+IFERROR(VLOOKUP($D$2,COLORES[],2,FALSE),0)))+D7)
   *(1-IFERROR(_xlfn.XLOOKUP(1,(DESC_PROV[LINEA]=$B$2)*(DESC_PROV[LISTA]=$C$2),DESC_PROV[DESCUENTO]),0)),
   ((B7*(1+IFERROR(VLOOKUP($D$2,COLORES[],2,FALSE),0)))+D7)
   *(1-IFERROR(_xlfn.XLOOKUP(1,(DESC_PROV[LINEA]=$B$2)*(DESC_PROV[LISTA]=$C$2),DESC_PROV[DESCUENTO]),0))
   *(1+VLOOKUP($C$2,LISTAS[],2,FALSE))
   *(1+VLOOKUP($C$2,LISTAS[],3,FALSE))
)
/5,0)*5,0)</f>
        <v>120940</v>
      </c>
      <c r="N7" s="125">
        <f t="array" ref="N7">IFERROR(
ROUND(
IF($A$2="COSTO",
   ((B7*(1+IFERROR(VLOOKUP($D$2,COLORES[],2,FALSE),0)))+E7)
   *(1-IFERROR(_xlfn.XLOOKUP(1,(DESC_PROV[LINEA]=$B$2)*(DESC_PROV[LISTA]=$C$2),DESC_PROV[DESCUENTO]),0)),
   ((B7*(1+IFERROR(VLOOKUP($D$2,COLORES[],2,FALSE),0)))+E7)
   *(1-IFERROR(_xlfn.XLOOKUP(1,(DESC_PROV[LINEA]=$B$2)*(DESC_PROV[LISTA]=$C$2),DESC_PROV[DESCUENTO]),0))
   *(1+VLOOKUP($C$2,LISTAS[],2,FALSE))
   *(1+VLOOKUP($C$2,LISTAS[],3,FALSE))
)
/5,0)*5,0)</f>
        <v>122145</v>
      </c>
      <c r="O7" s="125">
        <f t="array" ref="O7">IFERROR(
ROUND(
IF($A$2="COSTO",
   ((B7*(1+IFERROR(VLOOKUP($D$2,COLORES[],2,FALSE),0)))+F7)
   *(1-IFERROR(_xlfn.XLOOKUP(1,(DESC_PROV[LINEA]=$B$2)*(DESC_PROV[LISTA]=$C$2),DESC_PROV[DESCUENTO]),0)),
   ((B7*(1+IFERROR(VLOOKUP($D$2,COLORES[],2,FALSE),0)))+F7)
   *(1-IFERROR(_xlfn.XLOOKUP(1,(DESC_PROV[LINEA]=$B$2)*(DESC_PROV[LISTA]=$C$2),DESC_PROV[DESCUENTO]),0))
   *(1+VLOOKUP($C$2,LISTAS[],2,FALSE))
   *(1+VLOOKUP($C$2,LISTAS[],3,FALSE))
)
/5,0)*5,0)</f>
        <v>127980</v>
      </c>
      <c r="P7" s="125">
        <f t="array" ref="P7">IFERROR(
ROUND(
IF($A$2="COSTO",
   ((B7*(1+IFERROR(VLOOKUP($D$2,COLORES[],2,FALSE),0)))+G7)
   *(1-IFERROR(_xlfn.XLOOKUP(1,(DESC_PROV[LINEA]=$B$2)*(DESC_PROV[LISTA]=$C$2),DESC_PROV[DESCUENTO]),0)),
   ((B7*(1+IFERROR(VLOOKUP($D$2,COLORES[],2,FALSE),0)))+G7)
   *(1-IFERROR(_xlfn.XLOOKUP(1,(DESC_PROV[LINEA]=$B$2)*(DESC_PROV[LISTA]=$C$2),DESC_PROV[DESCUENTO]),0))
   *(1+VLOOKUP($C$2,LISTAS[],2,FALSE))
   *(1+VLOOKUP($C$2,LISTAS[],3,FALSE))
)
/5,0)*5,0)</f>
        <v>121325</v>
      </c>
      <c r="Q7" s="125">
        <f t="array" ref="Q7">IFERROR(
ROUND(
IF($A$2="COSTO",
   ((B7*(1+IFERROR(VLOOKUP($D$2,COLORES[],2,FALSE),0)))+H7)
   *(1-IFERROR(_xlfn.XLOOKUP(1,(DESC_PROV[LINEA]=$B$2)*(DESC_PROV[LISTA]=$C$2),DESC_PROV[DESCUENTO]),0)),
   ((B7*(1+IFERROR(VLOOKUP($D$2,COLORES[],2,FALSE),0)))+H7)
   *(1-IFERROR(_xlfn.XLOOKUP(1,(DESC_PROV[LINEA]=$B$2)*(DESC_PROV[LISTA]=$C$2),DESC_PROV[DESCUENTO]),0))
   *(1+VLOOKUP($C$2,LISTAS[],2,FALSE))
   *(1+VLOOKUP($C$2,LISTAS[],3,FALSE))
)
/5,0)*5,0)</f>
        <v>133350</v>
      </c>
      <c r="R7" s="126">
        <f t="array" ref="R7">IFERROR(
ROUND(
IF($A$2="COSTO",
   ((B7*(1+IFERROR(VLOOKUP($D$2,COLORES[],2,FALSE),0)))+(D7+I7+D7))
   *(1-IFERROR(_xlfn.XLOOKUP(1,(DESC_PROV[LINEA]=$B$2)*(DESC_PROV[LISTA]=$C$2),DESC_PROV[DESCUENTO]),0)),
   ((B7*(1+IFERROR(VLOOKUP($D$2,COLORES[],2,FALSE),0)))+(D7+I7+D7))
   *(1-IFERROR(_xlfn.XLOOKUP(1,(DESC_PROV[LINEA]=$B$2)*(DESC_PROV[LISTA]=$C$2),DESC_PROV[DESCUENTO]),0))
   *(1+VLOOKUP($C$2,LISTAS[],2,FALSE))
   *(1+VLOOKUP($C$2,LISTAS[],3,FALSE))
)
/5,0)*5,0)</f>
        <v>156530</v>
      </c>
    </row>
    <row r="8" spans="1:18">
      <c r="A8" s="133" t="s">
        <v>129</v>
      </c>
      <c r="B8" s="125">
        <v>96512</v>
      </c>
      <c r="C8" s="125">
        <v>3264</v>
      </c>
      <c r="D8" s="125">
        <v>3955</v>
      </c>
      <c r="E8" s="125">
        <v>5213</v>
      </c>
      <c r="F8" s="125">
        <v>11280</v>
      </c>
      <c r="G8" s="125">
        <v>4358</v>
      </c>
      <c r="H8" s="125">
        <v>16877</v>
      </c>
      <c r="I8" s="125">
        <v>27907</v>
      </c>
      <c r="J8" s="124"/>
      <c r="K8" s="133" t="s">
        <v>129</v>
      </c>
      <c r="L8" s="125">
        <f t="array" ref="L8">IFERROR(
ROUND(
IF($A$2="COSTO",
   ((B8*(1+IFERROR(VLOOKUP($D$2,COLORES[],2,FALSE),0)))+C8)
   *(1-IFERROR(_xlfn.XLOOKUP(1,(DESC_PROV[LINEA]=$B$2)*(DESC_PROV[LISTA]=$C$2),DESC_PROV[DESCUENTO]),0)),
   ((B8*(1+IFERROR(VLOOKUP($D$2,COLORES[],2,FALSE),0)))+C8)
   *(1-IFERROR(_xlfn.XLOOKUP(1,(DESC_PROV[LINEA]=$B$2)*(DESC_PROV[LISTA]=$C$2),DESC_PROV[DESCUENTO]),0))
   *(1+VLOOKUP($C$2,LISTAS[],2,FALSE))
   *(1+VLOOKUP($C$2,LISTAS[],3,FALSE))
)
/5,0)*5,0)</f>
        <v>127865</v>
      </c>
      <c r="M8" s="125">
        <f t="array" ref="M8">IFERROR(
ROUND(
IF($A$2="COSTO",
   ((B8*(1+IFERROR(VLOOKUP($D$2,COLORES[],2,FALSE),0)))+D8)
   *(1-IFERROR(_xlfn.XLOOKUP(1,(DESC_PROV[LINEA]=$B$2)*(DESC_PROV[LISTA]=$C$2),DESC_PROV[DESCUENTO]),0)),
   ((B8*(1+IFERROR(VLOOKUP($D$2,COLORES[],2,FALSE),0)))+D8)
   *(1-IFERROR(_xlfn.XLOOKUP(1,(DESC_PROV[LINEA]=$B$2)*(DESC_PROV[LISTA]=$C$2),DESC_PROV[DESCUENTO]),0))
   *(1+VLOOKUP($C$2,LISTAS[],2,FALSE))
   *(1+VLOOKUP($C$2,LISTAS[],3,FALSE))
)
/5,0)*5,0)</f>
        <v>128750</v>
      </c>
      <c r="N8" s="125">
        <f t="array" ref="N8">IFERROR(
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/5,0)*5,0)</f>
        <v>130365</v>
      </c>
      <c r="O8" s="125">
        <f t="array" ref="O8">IFERROR(
ROUND(
IF($A$2="COSTO",
   ((B8*(1+IFERROR(VLOOKUP($D$2,COLORES[],2,FALSE),0)))+F8)
   *(1-IFERROR(_xlfn.XLOOKUP(1,(DESC_PROV[LINEA]=$B$2)*(DESC_PROV[LISTA]=$C$2),DESC_PROV[DESCUENTO]),0)),
   ((B8*(1+IFERROR(VLOOKUP($D$2,COLORES[],2,FALSE),0)))+F8)
   *(1-IFERROR(_xlfn.XLOOKUP(1,(DESC_PROV[LINEA]=$B$2)*(DESC_PROV[LISTA]=$C$2),DESC_PROV[DESCUENTO]),0))
   *(1+VLOOKUP($C$2,LISTAS[],2,FALSE))
   *(1+VLOOKUP($C$2,LISTAS[],3,FALSE))
)
/5,0)*5,0)</f>
        <v>138140</v>
      </c>
      <c r="P8" s="125">
        <f t="array" ref="P8">IFERROR(
ROUND(
IF($A$2="COSTO",
   ((B8*(1+IFERROR(VLOOKUP($D$2,COLORES[],2,FALSE),0)))+G8)
   *(1-IFERROR(_xlfn.XLOOKUP(1,(DESC_PROV[LINEA]=$B$2)*(DESC_PROV[LISTA]=$C$2),DESC_PROV[DESCUENTO]),0)),
   ((B8*(1+IFERROR(VLOOKUP($D$2,COLORES[],2,FALSE),0)))+G8)
   *(1-IFERROR(_xlfn.XLOOKUP(1,(DESC_PROV[LINEA]=$B$2)*(DESC_PROV[LISTA]=$C$2),DESC_PROV[DESCUENTO]),0))
   *(1+VLOOKUP($C$2,LISTAS[],2,FALSE))
   *(1+VLOOKUP($C$2,LISTAS[],3,FALSE))
)
/5,0)*5,0)</f>
        <v>129270</v>
      </c>
      <c r="Q8" s="125">
        <f t="array" ref="Q8">IFERROR(
ROUND(
IF($A$2="COSTO",
   ((B8*(1+IFERROR(VLOOKUP($D$2,COLORES[],2,FALSE),0)))+H8)
   *(1-IFERROR(_xlfn.XLOOKUP(1,(DESC_PROV[LINEA]=$B$2)*(DESC_PROV[LISTA]=$C$2),DESC_PROV[DESCUENTO]),0)),
   ((B8*(1+IFERROR(VLOOKUP($D$2,COLORES[],2,FALSE),0)))+H8)
   *(1-IFERROR(_xlfn.XLOOKUP(1,(DESC_PROV[LINEA]=$B$2)*(DESC_PROV[LISTA]=$C$2),DESC_PROV[DESCUENTO]),0))
   *(1+VLOOKUP($C$2,LISTAS[],2,FALSE))
   *(1+VLOOKUP($C$2,LISTAS[],3,FALSE))
)
/5,0)*5,0)</f>
        <v>145315</v>
      </c>
      <c r="R8" s="126">
        <f t="array" ref="R8">IFERROR(
ROUND(
IF($A$2="COSTO",
   ((B8*(1+IFERROR(VLOOKUP($D$2,COLORES[],2,FALSE),0)))+(D8+I8+D8))
   *(1-IFERROR(_xlfn.XLOOKUP(1,(DESC_PROV[LINEA]=$B$2)*(DESC_PROV[LISTA]=$C$2),DESC_PROV[DESCUENTO]),0)),
   ((B8*(1+IFERROR(VLOOKUP($D$2,COLORES[],2,FALSE),0)))+(D8+I8+D8))
   *(1-IFERROR(_xlfn.XLOOKUP(1,(DESC_PROV[LINEA]=$B$2)*(DESC_PROV[LISTA]=$C$2),DESC_PROV[DESCUENTO]),0))
   *(1+VLOOKUP($C$2,LISTAS[],2,FALSE))
   *(1+VLOOKUP($C$2,LISTAS[],3,FALSE))
)
/5,0)*5,0)</f>
        <v>169585</v>
      </c>
    </row>
    <row r="9" spans="1:18">
      <c r="A9" s="133" t="s">
        <v>130</v>
      </c>
      <c r="B9" s="125">
        <v>101653</v>
      </c>
      <c r="C9" s="125">
        <v>4080</v>
      </c>
      <c r="D9" s="125">
        <v>4944</v>
      </c>
      <c r="E9" s="125">
        <v>6518</v>
      </c>
      <c r="F9" s="125">
        <v>14102</v>
      </c>
      <c r="G9" s="125">
        <v>5453</v>
      </c>
      <c r="H9" s="125">
        <v>21105</v>
      </c>
      <c r="I9" s="125">
        <v>31008</v>
      </c>
      <c r="J9" s="124"/>
      <c r="K9" s="133" t="s">
        <v>130</v>
      </c>
      <c r="L9" s="125">
        <f t="array" ref="L9">IFERROR(
ROUND(
IF($A$2="COSTO",
   ((B9*(1+IFERROR(VLOOKUP($D$2,COLORES[],2,FALSE),0)))+C9)
   *(1-IFERROR(_xlfn.XLOOKUP(1,(DESC_PROV[LINEA]=$B$2)*(DESC_PROV[LISTA]=$C$2),DESC_PROV[DESCUENTO]),0)),
   ((B9*(1+IFERROR(VLOOKUP($D$2,COLORES[],2,FALSE),0)))+C9)
   *(1-IFERROR(_xlfn.XLOOKUP(1,(DESC_PROV[LINEA]=$B$2)*(DESC_PROV[LISTA]=$C$2),DESC_PROV[DESCUENTO]),0))
   *(1+VLOOKUP($C$2,LISTAS[],2,FALSE))
   *(1+VLOOKUP($C$2,LISTAS[],3,FALSE))
)
/5,0)*5,0)</f>
        <v>135500</v>
      </c>
      <c r="M9" s="125">
        <f t="array" ref="M9">IFERROR(
ROUND(
IF($A$2="COSTO",
   ((B9*(1+IFERROR(VLOOKUP($D$2,COLORES[],2,FALSE),0)))+D9)
   *(1-IFERROR(_xlfn.XLOOKUP(1,(DESC_PROV[LINEA]=$B$2)*(DESC_PROV[LISTA]=$C$2),DESC_PROV[DESCUENTO]),0)),
   ((B9*(1+IFERROR(VLOOKUP($D$2,COLORES[],2,FALSE),0)))+D9)
   *(1-IFERROR(_xlfn.XLOOKUP(1,(DESC_PROV[LINEA]=$B$2)*(DESC_PROV[LISTA]=$C$2),DESC_PROV[DESCUENTO]),0))
   *(1+VLOOKUP($C$2,LISTAS[],2,FALSE))
   *(1+VLOOKUP($C$2,LISTAS[],3,FALSE))
)
/5,0)*5,0)</f>
        <v>136610</v>
      </c>
      <c r="N9" s="125">
        <f t="array" ref="N9">IFERROR(
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/5,0)*5,0)</f>
        <v>138625</v>
      </c>
      <c r="O9" s="125">
        <f t="array" ref="O9">IFERROR(
ROUND(
IF($A$2="COSTO",
   ((B9*(1+IFERROR(VLOOKUP($D$2,COLORES[],2,FALSE),0)))+F9)
   *(1-IFERROR(_xlfn.XLOOKUP(1,(DESC_PROV[LINEA]=$B$2)*(DESC_PROV[LISTA]=$C$2),DESC_PROV[DESCUENTO]),0)),
   ((B9*(1+IFERROR(VLOOKUP($D$2,COLORES[],2,FALSE),0)))+F9)
   *(1-IFERROR(_xlfn.XLOOKUP(1,(DESC_PROV[LINEA]=$B$2)*(DESC_PROV[LISTA]=$C$2),DESC_PROV[DESCUENTO]),0))
   *(1+VLOOKUP($C$2,LISTAS[],2,FALSE))
   *(1+VLOOKUP($C$2,LISTAS[],3,FALSE))
)
/5,0)*5,0)</f>
        <v>148345</v>
      </c>
      <c r="P9" s="125">
        <f t="array" ref="P9">IFERROR(
ROUND(
IF($A$2="COSTO",
   ((B9*(1+IFERROR(VLOOKUP($D$2,COLORES[],2,FALSE),0)))+G9)
   *(1-IFERROR(_xlfn.XLOOKUP(1,(DESC_PROV[LINEA]=$B$2)*(DESC_PROV[LISTA]=$C$2),DESC_PROV[DESCUENTO]),0)),
   ((B9*(1+IFERROR(VLOOKUP($D$2,COLORES[],2,FALSE),0)))+G9)
   *(1-IFERROR(_xlfn.XLOOKUP(1,(DESC_PROV[LINEA]=$B$2)*(DESC_PROV[LISTA]=$C$2),DESC_PROV[DESCUENTO]),0))
   *(1+VLOOKUP($C$2,LISTAS[],2,FALSE))
   *(1+VLOOKUP($C$2,LISTAS[],3,FALSE))
)
/5,0)*5,0)</f>
        <v>137260</v>
      </c>
      <c r="Q9" s="125">
        <f t="array" ref="Q9">IFERROR(
ROUND(
IF($A$2="COSTO",
   ((B9*(1+IFERROR(VLOOKUP($D$2,COLORES[],2,FALSE),0)))+H9)
   *(1-IFERROR(_xlfn.XLOOKUP(1,(DESC_PROV[LINEA]=$B$2)*(DESC_PROV[LISTA]=$C$2),DESC_PROV[DESCUENTO]),0)),
   ((B9*(1+IFERROR(VLOOKUP($D$2,COLORES[],2,FALSE),0)))+H9)
   *(1-IFERROR(_xlfn.XLOOKUP(1,(DESC_PROV[LINEA]=$B$2)*(DESC_PROV[LISTA]=$C$2),DESC_PROV[DESCUENTO]),0))
   *(1+VLOOKUP($C$2,LISTAS[],2,FALSE))
   *(1+VLOOKUP($C$2,LISTAS[],3,FALSE))
)
/5,0)*5,0)</f>
        <v>157320</v>
      </c>
      <c r="R9" s="126">
        <f t="array" ref="R9">IFERROR(
ROUND(
IF($A$2="COSTO",
   ((B9*(1+IFERROR(VLOOKUP($D$2,COLORES[],2,FALSE),0)))+(D9+I9+D9))
   *(1-IFERROR(_xlfn.XLOOKUP(1,(DESC_PROV[LINEA]=$B$2)*(DESC_PROV[LISTA]=$C$2),DESC_PROV[DESCUENTO]),0)),
   ((B9*(1+IFERROR(VLOOKUP($D$2,COLORES[],2,FALSE),0)))+(D9+I9+D9))
   *(1-IFERROR(_xlfn.XLOOKUP(1,(DESC_PROV[LINEA]=$B$2)*(DESC_PROV[LISTA]=$C$2),DESC_PROV[DESCUENTO]),0))
   *(1+VLOOKUP($C$2,LISTAS[],2,FALSE))
   *(1+VLOOKUP($C$2,LISTAS[],3,FALSE))
)
/5,0)*5,0)</f>
        <v>182680</v>
      </c>
    </row>
    <row r="10" spans="1:18">
      <c r="A10" s="133" t="s">
        <v>131</v>
      </c>
      <c r="B10" s="125">
        <v>106774</v>
      </c>
      <c r="C10" s="125">
        <v>4896</v>
      </c>
      <c r="D10" s="125">
        <v>5933</v>
      </c>
      <c r="E10" s="125">
        <v>7824</v>
      </c>
      <c r="F10" s="125">
        <v>16925</v>
      </c>
      <c r="G10" s="125">
        <v>6547</v>
      </c>
      <c r="H10" s="125">
        <v>25332</v>
      </c>
      <c r="I10" s="125">
        <v>34109</v>
      </c>
      <c r="J10" s="124"/>
      <c r="K10" s="133" t="s">
        <v>131</v>
      </c>
      <c r="L10" s="125">
        <f t="array" ref="L10">IFERROR(
ROUND(
IF($A$2="COSTO",
   ((B10*(1+IFERROR(VLOOKUP($D$2,COLORES[],2,FALSE),0)))+C10)
   *(1-IFERROR(_xlfn.XLOOKUP(1,(DESC_PROV[LINEA]=$B$2)*(DESC_PROV[LISTA]=$C$2),DESC_PROV[DESCUENTO]),0)),
   ((B10*(1+IFERROR(VLOOKUP($D$2,COLORES[],2,FALSE),0)))+C10)
   *(1-IFERROR(_xlfn.XLOOKUP(1,(DESC_PROV[LINEA]=$B$2)*(DESC_PROV[LISTA]=$C$2),DESC_PROV[DESCUENTO]),0))
   *(1+VLOOKUP($C$2,LISTAS[],2,FALSE))
   *(1+VLOOKUP($C$2,LISTAS[],3,FALSE))
)
/5,0)*5,0)</f>
        <v>143110</v>
      </c>
      <c r="M10" s="125">
        <f t="array" ref="M10">IFERROR(
ROUND(
IF($A$2="COSTO",
   ((B10*(1+IFERROR(VLOOKUP($D$2,COLORES[],2,FALSE),0)))+D10)
   *(1-IFERROR(_xlfn.XLOOKUP(1,(DESC_PROV[LINEA]=$B$2)*(DESC_PROV[LISTA]=$C$2),DESC_PROV[DESCUENTO]),0)),
   ((B10*(1+IFERROR(VLOOKUP($D$2,COLORES[],2,FALSE),0)))+D10)
   *(1-IFERROR(_xlfn.XLOOKUP(1,(DESC_PROV[LINEA]=$B$2)*(DESC_PROV[LISTA]=$C$2),DESC_PROV[DESCUENTO]),0))
   *(1+VLOOKUP($C$2,LISTAS[],2,FALSE))
   *(1+VLOOKUP($C$2,LISTAS[],3,FALSE))
)
/5,0)*5,0)</f>
        <v>144440</v>
      </c>
      <c r="N10" s="125">
        <f t="array" ref="N10">IFERROR(
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/5,0)*5,0)</f>
        <v>146860</v>
      </c>
      <c r="O10" s="125">
        <f t="array" ref="O10">IFERROR(
ROUND(
IF($A$2="COSTO",
   ((B10*(1+IFERROR(VLOOKUP($D$2,COLORES[],2,FALSE),0)))+F10)
   *(1-IFERROR(_xlfn.XLOOKUP(1,(DESC_PROV[LINEA]=$B$2)*(DESC_PROV[LISTA]=$C$2),DESC_PROV[DESCUENTO]),0)),
   ((B10*(1+IFERROR(VLOOKUP($D$2,COLORES[],2,FALSE),0)))+F10)
   *(1-IFERROR(_xlfn.XLOOKUP(1,(DESC_PROV[LINEA]=$B$2)*(DESC_PROV[LISTA]=$C$2),DESC_PROV[DESCUENTO]),0))
   *(1+VLOOKUP($C$2,LISTAS[],2,FALSE))
   *(1+VLOOKUP($C$2,LISTAS[],3,FALSE))
)
/5,0)*5,0)</f>
        <v>158525</v>
      </c>
      <c r="P10" s="125">
        <f t="array" ref="P10">IFERROR(
ROUND(
IF($A$2="COSTO",
   ((B10*(1+IFERROR(VLOOKUP($D$2,COLORES[],2,FALSE),0)))+G10)
   *(1-IFERROR(_xlfn.XLOOKUP(1,(DESC_PROV[LINEA]=$B$2)*(DESC_PROV[LISTA]=$C$2),DESC_PROV[DESCUENTO]),0)),
   ((B10*(1+IFERROR(VLOOKUP($D$2,COLORES[],2,FALSE),0)))+G10)
   *(1-IFERROR(_xlfn.XLOOKUP(1,(DESC_PROV[LINEA]=$B$2)*(DESC_PROV[LISTA]=$C$2),DESC_PROV[DESCUENTO]),0))
   *(1+VLOOKUP($C$2,LISTAS[],2,FALSE))
   *(1+VLOOKUP($C$2,LISTAS[],3,FALSE))
)
/5,0)*5,0)</f>
        <v>145225</v>
      </c>
      <c r="Q10" s="125">
        <f t="array" ref="Q10">IFERROR(
ROUND(
IF($A$2="COSTO",
   ((B10*(1+IFERROR(VLOOKUP($D$2,COLORES[],2,FALSE),0)))+H10)
   *(1-IFERROR(_xlfn.XLOOKUP(1,(DESC_PROV[LINEA]=$B$2)*(DESC_PROV[LISTA]=$C$2),DESC_PROV[DESCUENTO]),0)),
   ((B10*(1+IFERROR(VLOOKUP($D$2,COLORES[],2,FALSE),0)))+H10)
   *(1-IFERROR(_xlfn.XLOOKUP(1,(DESC_PROV[LINEA]=$B$2)*(DESC_PROV[LISTA]=$C$2),DESC_PROV[DESCUENTO]),0))
   *(1+VLOOKUP($C$2,LISTAS[],2,FALSE))
   *(1+VLOOKUP($C$2,LISTAS[],3,FALSE))
)
/5,0)*5,0)</f>
        <v>169300</v>
      </c>
      <c r="R10" s="126">
        <f t="array" ref="R10">IFERROR(
ROUND(
IF($A$2="COSTO",
   ((B10*(1+IFERROR(VLOOKUP($D$2,COLORES[],2,FALSE),0)))+(D10+I10+D10))
   *(1-IFERROR(_xlfn.XLOOKUP(1,(DESC_PROV[LINEA]=$B$2)*(DESC_PROV[LISTA]=$C$2),DESC_PROV[DESCUENTO]),0)),
   ((B10*(1+IFERROR(VLOOKUP($D$2,COLORES[],2,FALSE),0)))+(D10+I10+D10))
   *(1-IFERROR(_xlfn.XLOOKUP(1,(DESC_PROV[LINEA]=$B$2)*(DESC_PROV[LISTA]=$C$2),DESC_PROV[DESCUENTO]),0))
   *(1+VLOOKUP($C$2,LISTAS[],2,FALSE))
   *(1+VLOOKUP($C$2,LISTAS[],3,FALSE))
)
/5,0)*5,0)</f>
        <v>195755</v>
      </c>
    </row>
    <row r="11" spans="1:18">
      <c r="A11" s="133" t="s">
        <v>132</v>
      </c>
      <c r="B11" s="125">
        <v>111908</v>
      </c>
      <c r="C11" s="125">
        <v>5712</v>
      </c>
      <c r="D11" s="125">
        <v>6922</v>
      </c>
      <c r="E11" s="125">
        <v>9130</v>
      </c>
      <c r="F11" s="125">
        <v>19747</v>
      </c>
      <c r="G11" s="125">
        <v>7642</v>
      </c>
      <c r="H11" s="125">
        <v>29560</v>
      </c>
      <c r="I11" s="125">
        <v>37210</v>
      </c>
      <c r="J11" s="124"/>
      <c r="K11" s="133" t="s">
        <v>132</v>
      </c>
      <c r="L11" s="125">
        <f t="array" ref="L11">IFERROR(
ROUND(
IF($A$2="COSTO",
   ((B11*(1+IFERROR(VLOOKUP($D$2,COLORES[],2,FALSE),0)))+C11)
   *(1-IFERROR(_xlfn.XLOOKUP(1,(DESC_PROV[LINEA]=$B$2)*(DESC_PROV[LISTA]=$C$2),DESC_PROV[DESCUENTO]),0)),
   ((B11*(1+IFERROR(VLOOKUP($D$2,COLORES[],2,FALSE),0)))+C11)
   *(1-IFERROR(_xlfn.XLOOKUP(1,(DESC_PROV[LINEA]=$B$2)*(DESC_PROV[LISTA]=$C$2),DESC_PROV[DESCUENTO]),0))
   *(1+VLOOKUP($C$2,LISTAS[],2,FALSE))
   *(1+VLOOKUP($C$2,LISTAS[],3,FALSE))
)
/5,0)*5,0)</f>
        <v>150735</v>
      </c>
      <c r="M11" s="125">
        <f t="array" ref="M11">IFERROR(
ROUND(
IF($A$2="COSTO",
   ((B11*(1+IFERROR(VLOOKUP($D$2,COLORES[],2,FALSE),0)))+D11)
   *(1-IFERROR(_xlfn.XLOOKUP(1,(DESC_PROV[LINEA]=$B$2)*(DESC_PROV[LISTA]=$C$2),DESC_PROV[DESCUENTO]),0)),
   ((B11*(1+IFERROR(VLOOKUP($D$2,COLORES[],2,FALSE),0)))+D11)
   *(1-IFERROR(_xlfn.XLOOKUP(1,(DESC_PROV[LINEA]=$B$2)*(DESC_PROV[LISTA]=$C$2),DESC_PROV[DESCUENTO]),0))
   *(1+VLOOKUP($C$2,LISTAS[],2,FALSE))
   *(1+VLOOKUP($C$2,LISTAS[],3,FALSE))
)
/5,0)*5,0)</f>
        <v>152285</v>
      </c>
      <c r="N11" s="125">
        <f t="array" ref="N11">IFERROR(
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/5,0)*5,0)</f>
        <v>155115</v>
      </c>
      <c r="O11" s="125">
        <f t="array" ref="O11">IFERROR(
ROUND(
IF($A$2="COSTO",
   ((B11*(1+IFERROR(VLOOKUP($D$2,COLORES[],2,FALSE),0)))+F11)
   *(1-IFERROR(_xlfn.XLOOKUP(1,(DESC_PROV[LINEA]=$B$2)*(DESC_PROV[LISTA]=$C$2),DESC_PROV[DESCUENTO]),0)),
   ((B11*(1+IFERROR(VLOOKUP($D$2,COLORES[],2,FALSE),0)))+F11)
   *(1-IFERROR(_xlfn.XLOOKUP(1,(DESC_PROV[LINEA]=$B$2)*(DESC_PROV[LISTA]=$C$2),DESC_PROV[DESCUENTO]),0))
   *(1+VLOOKUP($C$2,LISTAS[],2,FALSE))
   *(1+VLOOKUP($C$2,LISTAS[],3,FALSE))
)
/5,0)*5,0)</f>
        <v>168720</v>
      </c>
      <c r="P11" s="125">
        <f t="array" ref="P11">IFERROR(
ROUND(
IF($A$2="COSTO",
   ((B11*(1+IFERROR(VLOOKUP($D$2,COLORES[],2,FALSE),0)))+G11)
   *(1-IFERROR(_xlfn.XLOOKUP(1,(DESC_PROV[LINEA]=$B$2)*(DESC_PROV[LISTA]=$C$2),DESC_PROV[DESCUENTO]),0)),
   ((B11*(1+IFERROR(VLOOKUP($D$2,COLORES[],2,FALSE),0)))+G11)
   *(1-IFERROR(_xlfn.XLOOKUP(1,(DESC_PROV[LINEA]=$B$2)*(DESC_PROV[LISTA]=$C$2),DESC_PROV[DESCUENTO]),0))
   *(1+VLOOKUP($C$2,LISTAS[],2,FALSE))
   *(1+VLOOKUP($C$2,LISTAS[],3,FALSE))
)
/5,0)*5,0)</f>
        <v>153210</v>
      </c>
      <c r="Q11" s="125">
        <f t="array" ref="Q11">IFERROR(
ROUND(
IF($A$2="COSTO",
   ((B11*(1+IFERROR(VLOOKUP($D$2,COLORES[],2,FALSE),0)))+H11)
   *(1-IFERROR(_xlfn.XLOOKUP(1,(DESC_PROV[LINEA]=$B$2)*(DESC_PROV[LISTA]=$C$2),DESC_PROV[DESCUENTO]),0)),
   ((B11*(1+IFERROR(VLOOKUP($D$2,COLORES[],2,FALSE),0)))+H11)
   *(1-IFERROR(_xlfn.XLOOKUP(1,(DESC_PROV[LINEA]=$B$2)*(DESC_PROV[LISTA]=$C$2),DESC_PROV[DESCUENTO]),0))
   *(1+VLOOKUP($C$2,LISTAS[],2,FALSE))
   *(1+VLOOKUP($C$2,LISTAS[],3,FALSE))
)
/5,0)*5,0)</f>
        <v>181295</v>
      </c>
      <c r="R11" s="126">
        <f t="array" ref="R11">IFERROR(
ROUND(
IF($A$2="COSTO",
   ((B11*(1+IFERROR(VLOOKUP($D$2,COLORES[],2,FALSE),0)))+(D11+I11+D11))
   *(1-IFERROR(_xlfn.XLOOKUP(1,(DESC_PROV[LINEA]=$B$2)*(DESC_PROV[LISTA]=$C$2),DESC_PROV[DESCUENTO]),0)),
   ((B11*(1+IFERROR(VLOOKUP($D$2,COLORES[],2,FALSE),0)))+(D11+I11+D11))
   *(1-IFERROR(_xlfn.XLOOKUP(1,(DESC_PROV[LINEA]=$B$2)*(DESC_PROV[LISTA]=$C$2),DESC_PROV[DESCUENTO]),0))
   *(1+VLOOKUP($C$2,LISTAS[],2,FALSE))
   *(1+VLOOKUP($C$2,LISTAS[],3,FALSE))
)
/5,0)*5,0)</f>
        <v>208840</v>
      </c>
    </row>
    <row r="12" spans="1:18">
      <c r="A12" s="133" t="s">
        <v>133</v>
      </c>
      <c r="B12" s="125">
        <v>117035</v>
      </c>
      <c r="C12" s="125">
        <v>6528</v>
      </c>
      <c r="D12" s="125">
        <v>7910</v>
      </c>
      <c r="E12" s="125">
        <v>10435</v>
      </c>
      <c r="F12" s="125">
        <v>22570</v>
      </c>
      <c r="G12" s="125">
        <v>8736</v>
      </c>
      <c r="H12" s="125">
        <v>33788</v>
      </c>
      <c r="I12" s="125">
        <v>40310</v>
      </c>
      <c r="J12" s="124"/>
      <c r="K12" s="133" t="s">
        <v>133</v>
      </c>
      <c r="L12" s="125">
        <f t="array" ref="L12">IFERROR(
ROUND(
IF($A$2="COSTO",
   ((B12*(1+IFERROR(VLOOKUP($D$2,COLORES[],2,FALSE),0)))+C12)
   *(1-IFERROR(_xlfn.XLOOKUP(1,(DESC_PROV[LINEA]=$B$2)*(DESC_PROV[LISTA]=$C$2),DESC_PROV[DESCUENTO]),0)),
   ((B12*(1+IFERROR(VLOOKUP($D$2,COLORES[],2,FALSE),0)))+C12)
   *(1-IFERROR(_xlfn.XLOOKUP(1,(DESC_PROV[LINEA]=$B$2)*(DESC_PROV[LISTA]=$C$2),DESC_PROV[DESCUENTO]),0))
   *(1+VLOOKUP($C$2,LISTAS[],2,FALSE))
   *(1+VLOOKUP($C$2,LISTAS[],3,FALSE))
)
/5,0)*5,0)</f>
        <v>158350</v>
      </c>
      <c r="M12" s="125">
        <f t="array" ref="M12">IFERROR(
ROUND(
IF($A$2="COSTO",
   ((B12*(1+IFERROR(VLOOKUP($D$2,COLORES[],2,FALSE),0)))+D12)
   *(1-IFERROR(_xlfn.XLOOKUP(1,(DESC_PROV[LINEA]=$B$2)*(DESC_PROV[LISTA]=$C$2),DESC_PROV[DESCUENTO]),0)),
   ((B12*(1+IFERROR(VLOOKUP($D$2,COLORES[],2,FALSE),0)))+D12)
   *(1-IFERROR(_xlfn.XLOOKUP(1,(DESC_PROV[LINEA]=$B$2)*(DESC_PROV[LISTA]=$C$2),DESC_PROV[DESCUENTO]),0))
   *(1+VLOOKUP($C$2,LISTAS[],2,FALSE))
   *(1+VLOOKUP($C$2,LISTAS[],3,FALSE))
)
/5,0)*5,0)</f>
        <v>160120</v>
      </c>
      <c r="N12" s="125">
        <f t="array" ref="N12">IFERROR(
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/5,0)*5,0)</f>
        <v>163360</v>
      </c>
      <c r="O12" s="125">
        <f t="array" ref="O12">IFERROR(
ROUND(
IF($A$2="COSTO",
   ((B12*(1+IFERROR(VLOOKUP($D$2,COLORES[],2,FALSE),0)))+F12)
   *(1-IFERROR(_xlfn.XLOOKUP(1,(DESC_PROV[LINEA]=$B$2)*(DESC_PROV[LISTA]=$C$2),DESC_PROV[DESCUENTO]),0)),
   ((B12*(1+IFERROR(VLOOKUP($D$2,COLORES[],2,FALSE),0)))+F12)
   *(1-IFERROR(_xlfn.XLOOKUP(1,(DESC_PROV[LINEA]=$B$2)*(DESC_PROV[LISTA]=$C$2),DESC_PROV[DESCUENTO]),0))
   *(1+VLOOKUP($C$2,LISTAS[],2,FALSE))
   *(1+VLOOKUP($C$2,LISTAS[],3,FALSE))
)
/5,0)*5,0)</f>
        <v>178910</v>
      </c>
      <c r="P12" s="125">
        <f t="array" ref="P12">IFERROR(
ROUND(
IF($A$2="COSTO",
   ((B12*(1+IFERROR(VLOOKUP($D$2,COLORES[],2,FALSE),0)))+G12)
   *(1-IFERROR(_xlfn.XLOOKUP(1,(DESC_PROV[LINEA]=$B$2)*(DESC_PROV[LISTA]=$C$2),DESC_PROV[DESCUENTO]),0)),
   ((B12*(1+IFERROR(VLOOKUP($D$2,COLORES[],2,FALSE),0)))+G12)
   *(1-IFERROR(_xlfn.XLOOKUP(1,(DESC_PROV[LINEA]=$B$2)*(DESC_PROV[LISTA]=$C$2),DESC_PROV[DESCUENTO]),0))
   *(1+VLOOKUP($C$2,LISTAS[],2,FALSE))
   *(1+VLOOKUP($C$2,LISTAS[],3,FALSE))
)
/5,0)*5,0)</f>
        <v>161180</v>
      </c>
      <c r="Q12" s="125">
        <f t="array" ref="Q12">IFERROR(
ROUND(
IF($A$2="COSTO",
   ((B12*(1+IFERROR(VLOOKUP($D$2,COLORES[],2,FALSE),0)))+H12)
   *(1-IFERROR(_xlfn.XLOOKUP(1,(DESC_PROV[LINEA]=$B$2)*(DESC_PROV[LISTA]=$C$2),DESC_PROV[DESCUENTO]),0)),
   ((B12*(1+IFERROR(VLOOKUP($D$2,COLORES[],2,FALSE),0)))+H12)
   *(1-IFERROR(_xlfn.XLOOKUP(1,(DESC_PROV[LINEA]=$B$2)*(DESC_PROV[LISTA]=$C$2),DESC_PROV[DESCUENTO]),0))
   *(1+VLOOKUP($C$2,LISTAS[],2,FALSE))
   *(1+VLOOKUP($C$2,LISTAS[],3,FALSE))
)
/5,0)*5,0)</f>
        <v>193285</v>
      </c>
      <c r="R12" s="126">
        <f t="array" ref="R12">IFERROR(
ROUND(
IF($A$2="COSTO",
   ((B12*(1+IFERROR(VLOOKUP($D$2,COLORES[],2,FALSE),0)))+(D12+I12+D12))
   *(1-IFERROR(_xlfn.XLOOKUP(1,(DESC_PROV[LINEA]=$B$2)*(DESC_PROV[LISTA]=$C$2),DESC_PROV[DESCUENTO]),0)),
   ((B12*(1+IFERROR(VLOOKUP($D$2,COLORES[],2,FALSE),0)))+(D12+I12+D12))
   *(1-IFERROR(_xlfn.XLOOKUP(1,(DESC_PROV[LINEA]=$B$2)*(DESC_PROV[LISTA]=$C$2),DESC_PROV[DESCUENTO]),0))
   *(1+VLOOKUP($C$2,LISTAS[],2,FALSE))
   *(1+VLOOKUP($C$2,LISTAS[],3,FALSE))
)
/5,0)*5,0)</f>
        <v>221920</v>
      </c>
    </row>
    <row r="13" spans="1:18">
      <c r="A13" s="133" t="s">
        <v>134</v>
      </c>
      <c r="B13" s="125">
        <v>122142</v>
      </c>
      <c r="C13" s="125">
        <v>7344</v>
      </c>
      <c r="D13" s="125">
        <v>8899</v>
      </c>
      <c r="E13" s="125">
        <v>11741</v>
      </c>
      <c r="F13" s="125">
        <v>25392</v>
      </c>
      <c r="G13" s="125">
        <v>9830</v>
      </c>
      <c r="H13" s="125">
        <v>38016</v>
      </c>
      <c r="I13" s="125">
        <v>43411</v>
      </c>
      <c r="J13" s="124"/>
      <c r="K13" s="133" t="s">
        <v>134</v>
      </c>
      <c r="L13" s="125">
        <f t="array" ref="L13">IFERROR(
ROUND(
IF($A$2="COSTO",
   ((B13*(1+IFERROR(VLOOKUP($D$2,COLORES[],2,FALSE),0)))+C13)
   *(1-IFERROR(_xlfn.XLOOKUP(1,(DESC_PROV[LINEA]=$B$2)*(DESC_PROV[LISTA]=$C$2),DESC_PROV[DESCUENTO]),0)),
   ((B13*(1+IFERROR(VLOOKUP($D$2,COLORES[],2,FALSE),0)))+C13)
   *(1-IFERROR(_xlfn.XLOOKUP(1,(DESC_PROV[LINEA]=$B$2)*(DESC_PROV[LISTA]=$C$2),DESC_PROV[DESCUENTO]),0))
   *(1+VLOOKUP($C$2,LISTAS[],2,FALSE))
   *(1+VLOOKUP($C$2,LISTAS[],3,FALSE))
)
/5,0)*5,0)</f>
        <v>165940</v>
      </c>
      <c r="M13" s="125">
        <f t="array" ref="M13">IFERROR(
ROUND(
IF($A$2="COSTO",
   ((B13*(1+IFERROR(VLOOKUP($D$2,COLORES[],2,FALSE),0)))+D13)
   *(1-IFERROR(_xlfn.XLOOKUP(1,(DESC_PROV[LINEA]=$B$2)*(DESC_PROV[LISTA]=$C$2),DESC_PROV[DESCUENTO]),0)),
   ((B13*(1+IFERROR(VLOOKUP($D$2,COLORES[],2,FALSE),0)))+D13)
   *(1-IFERROR(_xlfn.XLOOKUP(1,(DESC_PROV[LINEA]=$B$2)*(DESC_PROV[LISTA]=$C$2),DESC_PROV[DESCUENTO]),0))
   *(1+VLOOKUP($C$2,LISTAS[],2,FALSE))
   *(1+VLOOKUP($C$2,LISTAS[],3,FALSE))
)
/5,0)*5,0)</f>
        <v>167935</v>
      </c>
      <c r="N13" s="125">
        <f t="array" ref="N13">IFERROR(
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/5,0)*5,0)</f>
        <v>171575</v>
      </c>
      <c r="O13" s="125">
        <f t="array" ref="O13">IFERROR(
ROUND(
IF($A$2="COSTO",
   ((B13*(1+IFERROR(VLOOKUP($D$2,COLORES[],2,FALSE),0)))+F13)
   *(1-IFERROR(_xlfn.XLOOKUP(1,(DESC_PROV[LINEA]=$B$2)*(DESC_PROV[LISTA]=$C$2),DESC_PROV[DESCUENTO]),0)),
   ((B13*(1+IFERROR(VLOOKUP($D$2,COLORES[],2,FALSE),0)))+F13)
   *(1-IFERROR(_xlfn.XLOOKUP(1,(DESC_PROV[LINEA]=$B$2)*(DESC_PROV[LISTA]=$C$2),DESC_PROV[DESCUENTO]),0))
   *(1+VLOOKUP($C$2,LISTAS[],2,FALSE))
   *(1+VLOOKUP($C$2,LISTAS[],3,FALSE))
)
/5,0)*5,0)</f>
        <v>189070</v>
      </c>
      <c r="P13" s="125">
        <f t="array" ref="P13">IFERROR(
ROUND(
IF($A$2="COSTO",
   ((B13*(1+IFERROR(VLOOKUP($D$2,COLORES[],2,FALSE),0)))+G13)
   *(1-IFERROR(_xlfn.XLOOKUP(1,(DESC_PROV[LINEA]=$B$2)*(DESC_PROV[LISTA]=$C$2),DESC_PROV[DESCUENTO]),0)),
   ((B13*(1+IFERROR(VLOOKUP($D$2,COLORES[],2,FALSE),0)))+G13)
   *(1-IFERROR(_xlfn.XLOOKUP(1,(DESC_PROV[LINEA]=$B$2)*(DESC_PROV[LISTA]=$C$2),DESC_PROV[DESCUENTO]),0))
   *(1+VLOOKUP($C$2,LISTAS[],2,FALSE))
   *(1+VLOOKUP($C$2,LISTAS[],3,FALSE))
)
/5,0)*5,0)</f>
        <v>169125</v>
      </c>
      <c r="Q13" s="125">
        <f t="array" ref="Q13">IFERROR(
ROUND(
IF($A$2="COSTO",
   ((B13*(1+IFERROR(VLOOKUP($D$2,COLORES[],2,FALSE),0)))+H13)
   *(1-IFERROR(_xlfn.XLOOKUP(1,(DESC_PROV[LINEA]=$B$2)*(DESC_PROV[LISTA]=$C$2),DESC_PROV[DESCUENTO]),0)),
   ((B13*(1+IFERROR(VLOOKUP($D$2,COLORES[],2,FALSE),0)))+H13)
   *(1-IFERROR(_xlfn.XLOOKUP(1,(DESC_PROV[LINEA]=$B$2)*(DESC_PROV[LISTA]=$C$2),DESC_PROV[DESCUENTO]),0))
   *(1+VLOOKUP($C$2,LISTAS[],2,FALSE))
   *(1+VLOOKUP($C$2,LISTAS[],3,FALSE))
)
/5,0)*5,0)</f>
        <v>205250</v>
      </c>
      <c r="R13" s="126">
        <f t="array" ref="R13">IFERROR(
ROUND(
IF($A$2="COSTO",
   ((B13*(1+IFERROR(VLOOKUP($D$2,COLORES[],2,FALSE),0)))+(D13+I13+D13))
   *(1-IFERROR(_xlfn.XLOOKUP(1,(DESC_PROV[LINEA]=$B$2)*(DESC_PROV[LISTA]=$C$2),DESC_PROV[DESCUENTO]),0)),
   ((B13*(1+IFERROR(VLOOKUP($D$2,COLORES[],2,FALSE),0)))+(D13+I13+D13))
   *(1-IFERROR(_xlfn.XLOOKUP(1,(DESC_PROV[LINEA]=$B$2)*(DESC_PROV[LISTA]=$C$2),DESC_PROV[DESCUENTO]),0))
   *(1+VLOOKUP($C$2,LISTAS[],2,FALSE))
   *(1+VLOOKUP($C$2,LISTAS[],3,FALSE))
)
/5,0)*5,0)</f>
        <v>234970</v>
      </c>
    </row>
    <row r="14" spans="1:18">
      <c r="A14" s="133" t="s">
        <v>135</v>
      </c>
      <c r="B14" s="125">
        <v>96526</v>
      </c>
      <c r="C14" s="125">
        <v>3264</v>
      </c>
      <c r="D14" s="125">
        <v>3955</v>
      </c>
      <c r="E14" s="125">
        <v>5213</v>
      </c>
      <c r="F14" s="125">
        <v>11280</v>
      </c>
      <c r="G14" s="125">
        <v>4358</v>
      </c>
      <c r="H14" s="125">
        <v>16877</v>
      </c>
      <c r="I14" s="125">
        <v>27907</v>
      </c>
      <c r="J14" s="124"/>
      <c r="K14" s="133" t="s">
        <v>135</v>
      </c>
      <c r="L14" s="125">
        <f t="array" ref="L14">IFERROR(
ROUND(
IF($A$2="COSTO",
   ((B14*(1+IFERROR(VLOOKUP($D$2,COLORES[],2,FALSE),0)))+C14)
   *(1-IFERROR(_xlfn.XLOOKUP(1,(DESC_PROV[LINEA]=$B$2)*(DESC_PROV[LISTA]=$C$2),DESC_PROV[DESCUENTO]),0)),
   ((B14*(1+IFERROR(VLOOKUP($D$2,COLORES[],2,FALSE),0)))+C14)
   *(1-IFERROR(_xlfn.XLOOKUP(1,(DESC_PROV[LINEA]=$B$2)*(DESC_PROV[LISTA]=$C$2),DESC_PROV[DESCUENTO]),0))
   *(1+VLOOKUP($C$2,LISTAS[],2,FALSE))
   *(1+VLOOKUP($C$2,LISTAS[],3,FALSE))
)
/5,0)*5,0)</f>
        <v>127885</v>
      </c>
      <c r="M14" s="125">
        <f t="array" ref="M14">IFERROR(
ROUND(
IF($A$2="COSTO",
   ((B14*(1+IFERROR(VLOOKUP($D$2,COLORES[],2,FALSE),0)))+D14)
   *(1-IFERROR(_xlfn.XLOOKUP(1,(DESC_PROV[LINEA]=$B$2)*(DESC_PROV[LISTA]=$C$2),DESC_PROV[DESCUENTO]),0)),
   ((B14*(1+IFERROR(VLOOKUP($D$2,COLORES[],2,FALSE),0)))+D14)
   *(1-IFERROR(_xlfn.XLOOKUP(1,(DESC_PROV[LINEA]=$B$2)*(DESC_PROV[LISTA]=$C$2),DESC_PROV[DESCUENTO]),0))
   *(1+VLOOKUP($C$2,LISTAS[],2,FALSE))
   *(1+VLOOKUP($C$2,LISTAS[],3,FALSE))
)
/5,0)*5,0)</f>
        <v>128770</v>
      </c>
      <c r="N14" s="125">
        <f t="array" ref="N14">IFERROR(
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/5,0)*5,0)</f>
        <v>130385</v>
      </c>
      <c r="O14" s="125">
        <f t="array" ref="O14">IFERROR(
ROUND(
IF($A$2="COSTO",
   ((B14*(1+IFERROR(VLOOKUP($D$2,COLORES[],2,FALSE),0)))+F14)
   *(1-IFERROR(_xlfn.XLOOKUP(1,(DESC_PROV[LINEA]=$B$2)*(DESC_PROV[LISTA]=$C$2),DESC_PROV[DESCUENTO]),0)),
   ((B14*(1+IFERROR(VLOOKUP($D$2,COLORES[],2,FALSE),0)))+F14)
   *(1-IFERROR(_xlfn.XLOOKUP(1,(DESC_PROV[LINEA]=$B$2)*(DESC_PROV[LISTA]=$C$2),DESC_PROV[DESCUENTO]),0))
   *(1+VLOOKUP($C$2,LISTAS[],2,FALSE))
   *(1+VLOOKUP($C$2,LISTAS[],3,FALSE))
)
/5,0)*5,0)</f>
        <v>138160</v>
      </c>
      <c r="P14" s="125">
        <f t="array" ref="P14">IFERROR(
ROUND(
IF($A$2="COSTO",
   ((B14*(1+IFERROR(VLOOKUP($D$2,COLORES[],2,FALSE),0)))+G14)
   *(1-IFERROR(_xlfn.XLOOKUP(1,(DESC_PROV[LINEA]=$B$2)*(DESC_PROV[LISTA]=$C$2),DESC_PROV[DESCUENTO]),0)),
   ((B14*(1+IFERROR(VLOOKUP($D$2,COLORES[],2,FALSE),0)))+G14)
   *(1-IFERROR(_xlfn.XLOOKUP(1,(DESC_PROV[LINEA]=$B$2)*(DESC_PROV[LISTA]=$C$2),DESC_PROV[DESCUENTO]),0))
   *(1+VLOOKUP($C$2,LISTAS[],2,FALSE))
   *(1+VLOOKUP($C$2,LISTAS[],3,FALSE))
)
/5,0)*5,0)</f>
        <v>129285</v>
      </c>
      <c r="Q14" s="125">
        <f t="array" ref="Q14">IFERROR(
ROUND(
IF($A$2="COSTO",
   ((B14*(1+IFERROR(VLOOKUP($D$2,COLORES[],2,FALSE),0)))+H14)
   *(1-IFERROR(_xlfn.XLOOKUP(1,(DESC_PROV[LINEA]=$B$2)*(DESC_PROV[LISTA]=$C$2),DESC_PROV[DESCUENTO]),0)),
   ((B14*(1+IFERROR(VLOOKUP($D$2,COLORES[],2,FALSE),0)))+H14)
   *(1-IFERROR(_xlfn.XLOOKUP(1,(DESC_PROV[LINEA]=$B$2)*(DESC_PROV[LISTA]=$C$2),DESC_PROV[DESCUENTO]),0))
   *(1+VLOOKUP($C$2,LISTAS[],2,FALSE))
   *(1+VLOOKUP($C$2,LISTAS[],3,FALSE))
)
/5,0)*5,0)</f>
        <v>145330</v>
      </c>
      <c r="R14" s="126">
        <f t="array" ref="R14">IFERROR(
ROUND(
IF($A$2="COSTO",
   ((B14*(1+IFERROR(VLOOKUP($D$2,COLORES[],2,FALSE),0)))+(D14+I14+D14))
   *(1-IFERROR(_xlfn.XLOOKUP(1,(DESC_PROV[LINEA]=$B$2)*(DESC_PROV[LISTA]=$C$2),DESC_PROV[DESCUENTO]),0)),
   ((B14*(1+IFERROR(VLOOKUP($D$2,COLORES[],2,FALSE),0)))+(D14+I14+D14))
   *(1-IFERROR(_xlfn.XLOOKUP(1,(DESC_PROV[LINEA]=$B$2)*(DESC_PROV[LISTA]=$C$2),DESC_PROV[DESCUENTO]),0))
   *(1+VLOOKUP($C$2,LISTAS[],2,FALSE))
   *(1+VLOOKUP($C$2,LISTAS[],3,FALSE))
)
/5,0)*5,0)</f>
        <v>169605</v>
      </c>
    </row>
    <row r="15" spans="1:18">
      <c r="A15" s="133" t="s">
        <v>136</v>
      </c>
      <c r="B15" s="125">
        <v>101653</v>
      </c>
      <c r="C15" s="125">
        <v>4358</v>
      </c>
      <c r="D15" s="125">
        <v>5270</v>
      </c>
      <c r="E15" s="125">
        <v>6960</v>
      </c>
      <c r="F15" s="125">
        <v>15034</v>
      </c>
      <c r="G15" s="125">
        <v>5808</v>
      </c>
      <c r="H15" s="125">
        <v>22499</v>
      </c>
      <c r="I15" s="125">
        <v>31008</v>
      </c>
      <c r="J15" s="124"/>
      <c r="K15" s="133" t="s">
        <v>136</v>
      </c>
      <c r="L15" s="125">
        <f t="array" ref="L15">IFERROR(
ROUND(
IF($A$2="COSTO",
   ((B15*(1+IFERROR(VLOOKUP($D$2,COLORES[],2,FALSE),0)))+C15)
   *(1-IFERROR(_xlfn.XLOOKUP(1,(DESC_PROV[LINEA]=$B$2)*(DESC_PROV[LISTA]=$C$2),DESC_PROV[DESCUENTO]),0)),
   ((B15*(1+IFERROR(VLOOKUP($D$2,COLORES[],2,FALSE),0)))+C15)
   *(1-IFERROR(_xlfn.XLOOKUP(1,(DESC_PROV[LINEA]=$B$2)*(DESC_PROV[LISTA]=$C$2),DESC_PROV[DESCUENTO]),0))
   *(1+VLOOKUP($C$2,LISTAS[],2,FALSE))
   *(1+VLOOKUP($C$2,LISTAS[],3,FALSE))
)
/5,0)*5,0)</f>
        <v>135855</v>
      </c>
      <c r="M15" s="125">
        <f t="array" ref="M15">IFERROR(
ROUND(
IF($A$2="COSTO",
   ((B15*(1+IFERROR(VLOOKUP($D$2,COLORES[],2,FALSE),0)))+D15)
   *(1-IFERROR(_xlfn.XLOOKUP(1,(DESC_PROV[LINEA]=$B$2)*(DESC_PROV[LISTA]=$C$2),DESC_PROV[DESCUENTO]),0)),
   ((B15*(1+IFERROR(VLOOKUP($D$2,COLORES[],2,FALSE),0)))+D15)
   *(1-IFERROR(_xlfn.XLOOKUP(1,(DESC_PROV[LINEA]=$B$2)*(DESC_PROV[LISTA]=$C$2),DESC_PROV[DESCUENTO]),0))
   *(1+VLOOKUP($C$2,LISTAS[],2,FALSE))
   *(1+VLOOKUP($C$2,LISTAS[],3,FALSE))
)
/5,0)*5,0)</f>
        <v>137025</v>
      </c>
      <c r="N15" s="125">
        <f t="array" ref="N15">IFERROR(
ROUND(
IF($A$2="COSTO",
   ((B15*(1+IFERROR(VLOOKUP($D$2,COLORES[],2,FALSE),0)))+E15)
   *(1-IFERROR(_xlfn.XLOOKUP(1,(DESC_PROV[LINEA]=$B$2)*(DESC_PROV[LISTA]=$C$2),DESC_PROV[DESCUENTO]),0)),
   ((B15*(1+IFERROR(VLOOKUP($D$2,COLORES[],2,FALSE),0)))+E15)
   *(1-IFERROR(_xlfn.XLOOKUP(1,(DESC_PROV[LINEA]=$B$2)*(DESC_PROV[LISTA]=$C$2),DESC_PROV[DESCUENTO]),0))
   *(1+VLOOKUP($C$2,LISTAS[],2,FALSE))
   *(1+VLOOKUP($C$2,LISTAS[],3,FALSE))
)
/5,0)*5,0)</f>
        <v>139190</v>
      </c>
      <c r="O15" s="125">
        <f t="array" ref="O15">IFERROR(
ROUND(
IF($A$2="COSTO",
   ((B15*(1+IFERROR(VLOOKUP($D$2,COLORES[],2,FALSE),0)))+F15)
   *(1-IFERROR(_xlfn.XLOOKUP(1,(DESC_PROV[LINEA]=$B$2)*(DESC_PROV[LISTA]=$C$2),DESC_PROV[DESCUENTO]),0)),
   ((B15*(1+IFERROR(VLOOKUP($D$2,COLORES[],2,FALSE),0)))+F15)
   *(1-IFERROR(_xlfn.XLOOKUP(1,(DESC_PROV[LINEA]=$B$2)*(DESC_PROV[LISTA]=$C$2),DESC_PROV[DESCUENTO]),0))
   *(1+VLOOKUP($C$2,LISTAS[],2,FALSE))
   *(1+VLOOKUP($C$2,LISTAS[],3,FALSE))
)
/5,0)*5,0)</f>
        <v>149540</v>
      </c>
      <c r="P15" s="125">
        <f t="array" ref="P15">IFERROR(
ROUND(
IF($A$2="COSTO",
   ((B15*(1+IFERROR(VLOOKUP($D$2,COLORES[],2,FALSE),0)))+G15)
   *(1-IFERROR(_xlfn.XLOOKUP(1,(DESC_PROV[LINEA]=$B$2)*(DESC_PROV[LISTA]=$C$2),DESC_PROV[DESCUENTO]),0)),
   ((B15*(1+IFERROR(VLOOKUP($D$2,COLORES[],2,FALSE),0)))+G15)
   *(1-IFERROR(_xlfn.XLOOKUP(1,(DESC_PROV[LINEA]=$B$2)*(DESC_PROV[LISTA]=$C$2),DESC_PROV[DESCUENTO]),0))
   *(1+VLOOKUP($C$2,LISTAS[],2,FALSE))
   *(1+VLOOKUP($C$2,LISTAS[],3,FALSE))
)
/5,0)*5,0)</f>
        <v>137715</v>
      </c>
      <c r="Q15" s="125">
        <f t="array" ref="Q15">IFERROR(
ROUND(
IF($A$2="COSTO",
   ((B15*(1+IFERROR(VLOOKUP($D$2,COLORES[],2,FALSE),0)))+H15)
   *(1-IFERROR(_xlfn.XLOOKUP(1,(DESC_PROV[LINEA]=$B$2)*(DESC_PROV[LISTA]=$C$2),DESC_PROV[DESCUENTO]),0)),
   ((B15*(1+IFERROR(VLOOKUP($D$2,COLORES[],2,FALSE),0)))+H15)
   *(1-IFERROR(_xlfn.XLOOKUP(1,(DESC_PROV[LINEA]=$B$2)*(DESC_PROV[LISTA]=$C$2),DESC_PROV[DESCUENTO]),0))
   *(1+VLOOKUP($C$2,LISTAS[],2,FALSE))
   *(1+VLOOKUP($C$2,LISTAS[],3,FALSE))
)
/5,0)*5,0)</f>
        <v>159105</v>
      </c>
      <c r="R15" s="126">
        <f t="array" ref="R15">IFERROR(
ROUND(
IF($A$2="COSTO",
   ((B15*(1+IFERROR(VLOOKUP($D$2,COLORES[],2,FALSE),0)))+(D15+I15+D15))
   *(1-IFERROR(_xlfn.XLOOKUP(1,(DESC_PROV[LINEA]=$B$2)*(DESC_PROV[LISTA]=$C$2),DESC_PROV[DESCUENTO]),0)),
   ((B15*(1+IFERROR(VLOOKUP($D$2,COLORES[],2,FALSE),0)))+(D15+I15+D15))
   *(1-IFERROR(_xlfn.XLOOKUP(1,(DESC_PROV[LINEA]=$B$2)*(DESC_PROV[LISTA]=$C$2),DESC_PROV[DESCUENTO]),0))
   *(1+VLOOKUP($C$2,LISTAS[],2,FALSE))
   *(1+VLOOKUP($C$2,LISTAS[],3,FALSE))
)
/5,0)*5,0)</f>
        <v>183520</v>
      </c>
    </row>
    <row r="16" spans="1:18">
      <c r="A16" s="133" t="s">
        <v>137</v>
      </c>
      <c r="B16" s="125">
        <v>106774</v>
      </c>
      <c r="C16" s="125">
        <v>5443</v>
      </c>
      <c r="D16" s="125">
        <v>6586</v>
      </c>
      <c r="E16" s="125">
        <v>8707</v>
      </c>
      <c r="F16" s="125">
        <v>18787</v>
      </c>
      <c r="G16" s="125">
        <v>7258</v>
      </c>
      <c r="H16" s="125">
        <v>28120</v>
      </c>
      <c r="I16" s="125">
        <v>34109</v>
      </c>
      <c r="J16" s="124"/>
      <c r="K16" s="133" t="s">
        <v>137</v>
      </c>
      <c r="L16" s="125">
        <f t="array" ref="L16">IFERROR(
ROUND(
IF($A$2="COSTO",
   ((B16*(1+IFERROR(VLOOKUP($D$2,COLORES[],2,FALSE),0)))+C16)
   *(1-IFERROR(_xlfn.XLOOKUP(1,(DESC_PROV[LINEA]=$B$2)*(DESC_PROV[LISTA]=$C$2),DESC_PROV[DESCUENTO]),0)),
   ((B16*(1+IFERROR(VLOOKUP($D$2,COLORES[],2,FALSE),0)))+C16)
   *(1-IFERROR(_xlfn.XLOOKUP(1,(DESC_PROV[LINEA]=$B$2)*(DESC_PROV[LISTA]=$C$2),DESC_PROV[DESCUENTO]),0))
   *(1+VLOOKUP($C$2,LISTAS[],2,FALSE))
   *(1+VLOOKUP($C$2,LISTAS[],3,FALSE))
)
/5,0)*5,0)</f>
        <v>143810</v>
      </c>
      <c r="M16" s="125">
        <f t="array" ref="M16">IFERROR(
ROUND(
IF($A$2="COSTO",
   ((B16*(1+IFERROR(VLOOKUP($D$2,COLORES[],2,FALSE),0)))+D16)
   *(1-IFERROR(_xlfn.XLOOKUP(1,(DESC_PROV[LINEA]=$B$2)*(DESC_PROV[LISTA]=$C$2),DESC_PROV[DESCUENTO]),0)),
   ((B16*(1+IFERROR(VLOOKUP($D$2,COLORES[],2,FALSE),0)))+D16)
   *(1-IFERROR(_xlfn.XLOOKUP(1,(DESC_PROV[LINEA]=$B$2)*(DESC_PROV[LISTA]=$C$2),DESC_PROV[DESCUENTO]),0))
   *(1+VLOOKUP($C$2,LISTAS[],2,FALSE))
   *(1+VLOOKUP($C$2,LISTAS[],3,FALSE))
)
/5,0)*5,0)</f>
        <v>145275</v>
      </c>
      <c r="N16" s="125">
        <f t="array" ref="N16">IFERROR(
ROUND(
IF($A$2="COSTO",
   ((B16*(1+IFERROR(VLOOKUP($D$2,COLORES[],2,FALSE),0)))+E16)
   *(1-IFERROR(_xlfn.XLOOKUP(1,(DESC_PROV[LINEA]=$B$2)*(DESC_PROV[LISTA]=$C$2),DESC_PROV[DESCUENTO]),0)),
   ((B16*(1+IFERROR(VLOOKUP($D$2,COLORES[],2,FALSE),0)))+E16)
   *(1-IFERROR(_xlfn.XLOOKUP(1,(DESC_PROV[LINEA]=$B$2)*(DESC_PROV[LISTA]=$C$2),DESC_PROV[DESCUENTO]),0))
   *(1+VLOOKUP($C$2,LISTAS[],2,FALSE))
   *(1+VLOOKUP($C$2,LISTAS[],3,FALSE))
)
/5,0)*5,0)</f>
        <v>147995</v>
      </c>
      <c r="O16" s="125">
        <f t="array" ref="O16">IFERROR(
ROUND(
IF($A$2="COSTO",
   ((B16*(1+IFERROR(VLOOKUP($D$2,COLORES[],2,FALSE),0)))+F16)
   *(1-IFERROR(_xlfn.XLOOKUP(1,(DESC_PROV[LINEA]=$B$2)*(DESC_PROV[LISTA]=$C$2),DESC_PROV[DESCUENTO]),0)),
   ((B16*(1+IFERROR(VLOOKUP($D$2,COLORES[],2,FALSE),0)))+F16)
   *(1-IFERROR(_xlfn.XLOOKUP(1,(DESC_PROV[LINEA]=$B$2)*(DESC_PROV[LISTA]=$C$2),DESC_PROV[DESCUENTO]),0))
   *(1+VLOOKUP($C$2,LISTAS[],2,FALSE))
   *(1+VLOOKUP($C$2,LISTAS[],3,FALSE))
)
/5,0)*5,0)</f>
        <v>160910</v>
      </c>
      <c r="P16" s="125">
        <f t="array" ref="P16">IFERROR(
ROUND(
IF($A$2="COSTO",
   ((B16*(1+IFERROR(VLOOKUP($D$2,COLORES[],2,FALSE),0)))+G16)
   *(1-IFERROR(_xlfn.XLOOKUP(1,(DESC_PROV[LINEA]=$B$2)*(DESC_PROV[LISTA]=$C$2),DESC_PROV[DESCUENTO]),0)),
   ((B16*(1+IFERROR(VLOOKUP($D$2,COLORES[],2,FALSE),0)))+G16)
   *(1-IFERROR(_xlfn.XLOOKUP(1,(DESC_PROV[LINEA]=$B$2)*(DESC_PROV[LISTA]=$C$2),DESC_PROV[DESCUENTO]),0))
   *(1+VLOOKUP($C$2,LISTAS[],2,FALSE))
   *(1+VLOOKUP($C$2,LISTAS[],3,FALSE))
)
/5,0)*5,0)</f>
        <v>146135</v>
      </c>
      <c r="Q16" s="125">
        <f t="array" ref="Q16">IFERROR(
ROUND(
IF($A$2="COSTO",
   ((B16*(1+IFERROR(VLOOKUP($D$2,COLORES[],2,FALSE),0)))+H16)
   *(1-IFERROR(_xlfn.XLOOKUP(1,(DESC_PROV[LINEA]=$B$2)*(DESC_PROV[LISTA]=$C$2),DESC_PROV[DESCUENTO]),0)),
   ((B16*(1+IFERROR(VLOOKUP($D$2,COLORES[],2,FALSE),0)))+H16)
   *(1-IFERROR(_xlfn.XLOOKUP(1,(DESC_PROV[LINEA]=$B$2)*(DESC_PROV[LISTA]=$C$2),DESC_PROV[DESCUENTO]),0))
   *(1+VLOOKUP($C$2,LISTAS[],2,FALSE))
   *(1+VLOOKUP($C$2,LISTAS[],3,FALSE))
)
/5,0)*5,0)</f>
        <v>172870</v>
      </c>
      <c r="R16" s="126">
        <f t="array" ref="R16">IFERROR(
ROUND(
IF($A$2="COSTO",
   ((B16*(1+IFERROR(VLOOKUP($D$2,COLORES[],2,FALSE),0)))+(D16+I16+D16))
   *(1-IFERROR(_xlfn.XLOOKUP(1,(DESC_PROV[LINEA]=$B$2)*(DESC_PROV[LISTA]=$C$2),DESC_PROV[DESCUENTO]),0)),
   ((B16*(1+IFERROR(VLOOKUP($D$2,COLORES[],2,FALSE),0)))+(D16+I16+D16))
   *(1-IFERROR(_xlfn.XLOOKUP(1,(DESC_PROV[LINEA]=$B$2)*(DESC_PROV[LISTA]=$C$2),DESC_PROV[DESCUENTO]),0))
   *(1+VLOOKUP($C$2,LISTAS[],2,FALSE))
   *(1+VLOOKUP($C$2,LISTAS[],3,FALSE))
)
/5,0)*5,0)</f>
        <v>197430</v>
      </c>
    </row>
    <row r="17" spans="1:18">
      <c r="A17" s="133" t="s">
        <v>138</v>
      </c>
      <c r="B17" s="125">
        <v>111894</v>
      </c>
      <c r="C17" s="125">
        <v>6528</v>
      </c>
      <c r="D17" s="125">
        <v>7901</v>
      </c>
      <c r="E17" s="125">
        <v>10454</v>
      </c>
      <c r="F17" s="125">
        <v>22541</v>
      </c>
      <c r="G17" s="125">
        <v>8707</v>
      </c>
      <c r="H17" s="125">
        <v>33742</v>
      </c>
      <c r="I17" s="125">
        <v>37210</v>
      </c>
      <c r="J17" s="124"/>
      <c r="K17" s="133" t="s">
        <v>138</v>
      </c>
      <c r="L17" s="125">
        <f t="array" ref="L17">IFERROR(
ROUND(
IF($A$2="COSTO",
   ((B17*(1+IFERROR(VLOOKUP($D$2,COLORES[],2,FALSE),0)))+C17)
   *(1-IFERROR(_xlfn.XLOOKUP(1,(DESC_PROV[LINEA]=$B$2)*(DESC_PROV[LISTA]=$C$2),DESC_PROV[DESCUENTO]),0)),
   ((B17*(1+IFERROR(VLOOKUP($D$2,COLORES[],2,FALSE),0)))+C17)
   *(1-IFERROR(_xlfn.XLOOKUP(1,(DESC_PROV[LINEA]=$B$2)*(DESC_PROV[LISTA]=$C$2),DESC_PROV[DESCUENTO]),0))
   *(1+VLOOKUP($C$2,LISTAS[],2,FALSE))
   *(1+VLOOKUP($C$2,LISTAS[],3,FALSE))
)
/5,0)*5,0)</f>
        <v>151765</v>
      </c>
      <c r="M17" s="125">
        <f t="array" ref="M17">IFERROR(
ROUND(
IF($A$2="COSTO",
   ((B17*(1+IFERROR(VLOOKUP($D$2,COLORES[],2,FALSE),0)))+D17)
   *(1-IFERROR(_xlfn.XLOOKUP(1,(DESC_PROV[LINEA]=$B$2)*(DESC_PROV[LISTA]=$C$2),DESC_PROV[DESCUENTO]),0)),
   ((B17*(1+IFERROR(VLOOKUP($D$2,COLORES[],2,FALSE),0)))+D17)
   *(1-IFERROR(_xlfn.XLOOKUP(1,(DESC_PROV[LINEA]=$B$2)*(DESC_PROV[LISTA]=$C$2),DESC_PROV[DESCUENTO]),0))
   *(1+VLOOKUP($C$2,LISTAS[],2,FALSE))
   *(1+VLOOKUP($C$2,LISTAS[],3,FALSE))
)
/5,0)*5,0)</f>
        <v>153520</v>
      </c>
      <c r="N17" s="125">
        <f t="array" ref="N17">IFERROR(
ROUND(
IF($A$2="COSTO",
   ((B17*(1+IFERROR(VLOOKUP($D$2,COLORES[],2,FALSE),0)))+E17)
   *(1-IFERROR(_xlfn.XLOOKUP(1,(DESC_PROV[LINEA]=$B$2)*(DESC_PROV[LISTA]=$C$2),DESC_PROV[DESCUENTO]),0)),
   ((B17*(1+IFERROR(VLOOKUP($D$2,COLORES[],2,FALSE),0)))+E17)
   *(1-IFERROR(_xlfn.XLOOKUP(1,(DESC_PROV[LINEA]=$B$2)*(DESC_PROV[LISTA]=$C$2),DESC_PROV[DESCUENTO]),0))
   *(1+VLOOKUP($C$2,LISTAS[],2,FALSE))
   *(1+VLOOKUP($C$2,LISTAS[],3,FALSE))
)
/5,0)*5,0)</f>
        <v>156795</v>
      </c>
      <c r="O17" s="125">
        <f t="array" ref="O17">IFERROR(
ROUND(
IF($A$2="COSTO",
   ((B17*(1+IFERROR(VLOOKUP($D$2,COLORES[],2,FALSE),0)))+F17)
   *(1-IFERROR(_xlfn.XLOOKUP(1,(DESC_PROV[LINEA]=$B$2)*(DESC_PROV[LISTA]=$C$2),DESC_PROV[DESCUENTO]),0)),
   ((B17*(1+IFERROR(VLOOKUP($D$2,COLORES[],2,FALSE),0)))+F17)
   *(1-IFERROR(_xlfn.XLOOKUP(1,(DESC_PROV[LINEA]=$B$2)*(DESC_PROV[LISTA]=$C$2),DESC_PROV[DESCUENTO]),0))
   *(1+VLOOKUP($C$2,LISTAS[],2,FALSE))
   *(1+VLOOKUP($C$2,LISTAS[],3,FALSE))
)
/5,0)*5,0)</f>
        <v>172285</v>
      </c>
      <c r="P17" s="125">
        <f t="array" ref="P17">IFERROR(
ROUND(
IF($A$2="COSTO",
   ((B17*(1+IFERROR(VLOOKUP($D$2,COLORES[],2,FALSE),0)))+G17)
   *(1-IFERROR(_xlfn.XLOOKUP(1,(DESC_PROV[LINEA]=$B$2)*(DESC_PROV[LISTA]=$C$2),DESC_PROV[DESCUENTO]),0)),
   ((B17*(1+IFERROR(VLOOKUP($D$2,COLORES[],2,FALSE),0)))+G17)
   *(1-IFERROR(_xlfn.XLOOKUP(1,(DESC_PROV[LINEA]=$B$2)*(DESC_PROV[LISTA]=$C$2),DESC_PROV[DESCUENTO]),0))
   *(1+VLOOKUP($C$2,LISTAS[],2,FALSE))
   *(1+VLOOKUP($C$2,LISTAS[],3,FALSE))
)
/5,0)*5,0)</f>
        <v>154555</v>
      </c>
      <c r="Q17" s="125">
        <f t="array" ref="Q17">IFERROR(
ROUND(
IF($A$2="COSTO",
   ((B17*(1+IFERROR(VLOOKUP($D$2,COLORES[],2,FALSE),0)))+H17)
   *(1-IFERROR(_xlfn.XLOOKUP(1,(DESC_PROV[LINEA]=$B$2)*(DESC_PROV[LISTA]=$C$2),DESC_PROV[DESCUENTO]),0)),
   ((B17*(1+IFERROR(VLOOKUP($D$2,COLORES[],2,FALSE),0)))+H17)
   *(1-IFERROR(_xlfn.XLOOKUP(1,(DESC_PROV[LINEA]=$B$2)*(DESC_PROV[LISTA]=$C$2),DESC_PROV[DESCUENTO]),0))
   *(1+VLOOKUP($C$2,LISTAS[],2,FALSE))
   *(1+VLOOKUP($C$2,LISTAS[],3,FALSE))
)
/5,0)*5,0)</f>
        <v>186640</v>
      </c>
      <c r="R17" s="126">
        <f t="array" ref="R17">IFERROR(
ROUND(
IF($A$2="COSTO",
   ((B17*(1+IFERROR(VLOOKUP($D$2,COLORES[],2,FALSE),0)))+(D17+I17+D17))
   *(1-IFERROR(_xlfn.XLOOKUP(1,(DESC_PROV[LINEA]=$B$2)*(DESC_PROV[LISTA]=$C$2),DESC_PROV[DESCUENTO]),0)),
   ((B17*(1+IFERROR(VLOOKUP($D$2,COLORES[],2,FALSE),0)))+(D17+I17+D17))
   *(1-IFERROR(_xlfn.XLOOKUP(1,(DESC_PROV[LINEA]=$B$2)*(DESC_PROV[LISTA]=$C$2),DESC_PROV[DESCUENTO]),0))
   *(1+VLOOKUP($C$2,LISTAS[],2,FALSE))
   *(1+VLOOKUP($C$2,LISTAS[],3,FALSE))
)
/5,0)*5,0)</f>
        <v>211335</v>
      </c>
    </row>
    <row r="18" spans="1:18">
      <c r="A18" s="133" t="s">
        <v>139</v>
      </c>
      <c r="B18" s="125">
        <v>117035</v>
      </c>
      <c r="C18" s="125">
        <v>7622</v>
      </c>
      <c r="D18" s="125">
        <v>9216</v>
      </c>
      <c r="E18" s="125">
        <v>12202</v>
      </c>
      <c r="F18" s="125">
        <v>26294</v>
      </c>
      <c r="G18" s="125">
        <v>10157</v>
      </c>
      <c r="H18" s="125">
        <v>39364</v>
      </c>
      <c r="I18" s="125">
        <v>40310</v>
      </c>
      <c r="J18" s="124"/>
      <c r="K18" s="133" t="s">
        <v>139</v>
      </c>
      <c r="L18" s="125">
        <f t="array" ref="L18">IFERROR(
ROUND(
IF($A$2="COSTO",
   ((B18*(1+IFERROR(VLOOKUP($D$2,COLORES[],2,FALSE),0)))+C18)
   *(1-IFERROR(_xlfn.XLOOKUP(1,(DESC_PROV[LINEA]=$B$2)*(DESC_PROV[LISTA]=$C$2),DESC_PROV[DESCUENTO]),0)),
   ((B18*(1+IFERROR(VLOOKUP($D$2,COLORES[],2,FALSE),0)))+C18)
   *(1-IFERROR(_xlfn.XLOOKUP(1,(DESC_PROV[LINEA]=$B$2)*(DESC_PROV[LISTA]=$C$2),DESC_PROV[DESCUENTO]),0))
   *(1+VLOOKUP($C$2,LISTAS[],2,FALSE))
   *(1+VLOOKUP($C$2,LISTAS[],3,FALSE))
)
/5,0)*5,0)</f>
        <v>159755</v>
      </c>
      <c r="M18" s="125">
        <f t="array" ref="M18">IFERROR(
ROUND(
IF($A$2="COSTO",
   ((B18*(1+IFERROR(VLOOKUP($D$2,COLORES[],2,FALSE),0)))+D18)
   *(1-IFERROR(_xlfn.XLOOKUP(1,(DESC_PROV[LINEA]=$B$2)*(DESC_PROV[LISTA]=$C$2),DESC_PROV[DESCUENTO]),0)),
   ((B18*(1+IFERROR(VLOOKUP($D$2,COLORES[],2,FALSE),0)))+D18)
   *(1-IFERROR(_xlfn.XLOOKUP(1,(DESC_PROV[LINEA]=$B$2)*(DESC_PROV[LISTA]=$C$2),DESC_PROV[DESCUENTO]),0))
   *(1+VLOOKUP($C$2,LISTAS[],2,FALSE))
   *(1+VLOOKUP($C$2,LISTAS[],3,FALSE))
)
/5,0)*5,0)</f>
        <v>161795</v>
      </c>
      <c r="N18" s="125">
        <f t="array" ref="N18">IFERROR(
ROUND(
IF($A$2="COSTO",
   ((B18*(1+IFERROR(VLOOKUP($D$2,COLORES[],2,FALSE),0)))+E18)
   *(1-IFERROR(_xlfn.XLOOKUP(1,(DESC_PROV[LINEA]=$B$2)*(DESC_PROV[LISTA]=$C$2),DESC_PROV[DESCUENTO]),0)),
   ((B18*(1+IFERROR(VLOOKUP($D$2,COLORES[],2,FALSE),0)))+E18)
   *(1-IFERROR(_xlfn.XLOOKUP(1,(DESC_PROV[LINEA]=$B$2)*(DESC_PROV[LISTA]=$C$2),DESC_PROV[DESCUENTO]),0))
   *(1+VLOOKUP($C$2,LISTAS[],2,FALSE))
   *(1+VLOOKUP($C$2,LISTAS[],3,FALSE))
)
/5,0)*5,0)</f>
        <v>165620</v>
      </c>
      <c r="O18" s="125">
        <f t="array" ref="O18">IFERROR(
ROUND(
IF($A$2="COSTO",
   ((B18*(1+IFERROR(VLOOKUP($D$2,COLORES[],2,FALSE),0)))+F18)
   *(1-IFERROR(_xlfn.XLOOKUP(1,(DESC_PROV[LINEA]=$B$2)*(DESC_PROV[LISTA]=$C$2),DESC_PROV[DESCUENTO]),0)),
   ((B18*(1+IFERROR(VLOOKUP($D$2,COLORES[],2,FALSE),0)))+F18)
   *(1-IFERROR(_xlfn.XLOOKUP(1,(DESC_PROV[LINEA]=$B$2)*(DESC_PROV[LISTA]=$C$2),DESC_PROV[DESCUENTO]),0))
   *(1+VLOOKUP($C$2,LISTAS[],2,FALSE))
   *(1+VLOOKUP($C$2,LISTAS[],3,FALSE))
)
/5,0)*5,0)</f>
        <v>183680</v>
      </c>
      <c r="P18" s="125">
        <f t="array" ref="P18">IFERROR(
ROUND(
IF($A$2="COSTO",
   ((B18*(1+IFERROR(VLOOKUP($D$2,COLORES[],2,FALSE),0)))+G18)
   *(1-IFERROR(_xlfn.XLOOKUP(1,(DESC_PROV[LINEA]=$B$2)*(DESC_PROV[LISTA]=$C$2),DESC_PROV[DESCUENTO]),0)),
   ((B18*(1+IFERROR(VLOOKUP($D$2,COLORES[],2,FALSE),0)))+G18)
   *(1-IFERROR(_xlfn.XLOOKUP(1,(DESC_PROV[LINEA]=$B$2)*(DESC_PROV[LISTA]=$C$2),DESC_PROV[DESCUENTO]),0))
   *(1+VLOOKUP($C$2,LISTAS[],2,FALSE))
   *(1+VLOOKUP($C$2,LISTAS[],3,FALSE))
)
/5,0)*5,0)</f>
        <v>163000</v>
      </c>
      <c r="Q18" s="125">
        <f t="array" ref="Q18">IFERROR(
ROUND(
IF($A$2="COSTO",
   ((B18*(1+IFERROR(VLOOKUP($D$2,COLORES[],2,FALSE),0)))+H18)
   *(1-IFERROR(_xlfn.XLOOKUP(1,(DESC_PROV[LINEA]=$B$2)*(DESC_PROV[LISTA]=$C$2),DESC_PROV[DESCUENTO]),0)),
   ((B18*(1+IFERROR(VLOOKUP($D$2,COLORES[],2,FALSE),0)))+H18)
   *(1-IFERROR(_xlfn.XLOOKUP(1,(DESC_PROV[LINEA]=$B$2)*(DESC_PROV[LISTA]=$C$2),DESC_PROV[DESCUENTO]),0))
   *(1+VLOOKUP($C$2,LISTAS[],2,FALSE))
   *(1+VLOOKUP($C$2,LISTAS[],3,FALSE))
)
/5,0)*5,0)</f>
        <v>200430</v>
      </c>
      <c r="R18" s="126">
        <f t="array" ref="R18">IFERROR(
ROUND(
IF($A$2="COSTO",
   ((B18*(1+IFERROR(VLOOKUP($D$2,COLORES[],2,FALSE),0)))+(D18+I18+D18))
   *(1-IFERROR(_xlfn.XLOOKUP(1,(DESC_PROV[LINEA]=$B$2)*(DESC_PROV[LISTA]=$C$2),DESC_PROV[DESCUENTO]),0)),
   ((B18*(1+IFERROR(VLOOKUP($D$2,COLORES[],2,FALSE),0)))+(D18+I18+D18))
   *(1-IFERROR(_xlfn.XLOOKUP(1,(DESC_PROV[LINEA]=$B$2)*(DESC_PROV[LISTA]=$C$2),DESC_PROV[DESCUENTO]),0))
   *(1+VLOOKUP($C$2,LISTAS[],2,FALSE))
   *(1+VLOOKUP($C$2,LISTAS[],3,FALSE))
)
/5,0)*5,0)</f>
        <v>225265</v>
      </c>
    </row>
    <row r="19" spans="1:18">
      <c r="A19" s="133" t="s">
        <v>140</v>
      </c>
      <c r="B19" s="125">
        <v>122155</v>
      </c>
      <c r="C19" s="125">
        <v>8707</v>
      </c>
      <c r="D19" s="125">
        <v>10531</v>
      </c>
      <c r="E19" s="125">
        <v>13949</v>
      </c>
      <c r="F19" s="125">
        <v>30048</v>
      </c>
      <c r="G19" s="125">
        <v>11606</v>
      </c>
      <c r="H19" s="125">
        <v>44986</v>
      </c>
      <c r="I19" s="125">
        <v>43411</v>
      </c>
      <c r="J19" s="124"/>
      <c r="K19" s="133" t="s">
        <v>140</v>
      </c>
      <c r="L19" s="125">
        <f t="array" ref="L19">IFERROR(
ROUND(
IF($A$2="COSTO",
   ((B19*(1+IFERROR(VLOOKUP($D$2,COLORES[],2,FALSE),0)))+C19)
   *(1-IFERROR(_xlfn.XLOOKUP(1,(DESC_PROV[LINEA]=$B$2)*(DESC_PROV[LISTA]=$C$2),DESC_PROV[DESCUENTO]),0)),
   ((B19*(1+IFERROR(VLOOKUP($D$2,COLORES[],2,FALSE),0)))+C19)
   *(1-IFERROR(_xlfn.XLOOKUP(1,(DESC_PROV[LINEA]=$B$2)*(DESC_PROV[LISTA]=$C$2),DESC_PROV[DESCUENTO]),0))
   *(1+VLOOKUP($C$2,LISTAS[],2,FALSE))
   *(1+VLOOKUP($C$2,LISTAS[],3,FALSE))
)
/5,0)*5,0)</f>
        <v>167705</v>
      </c>
      <c r="M19" s="125">
        <f t="array" ref="M19">IFERROR(
ROUND(
IF($A$2="COSTO",
   ((B19*(1+IFERROR(VLOOKUP($D$2,COLORES[],2,FALSE),0)))+D19)
   *(1-IFERROR(_xlfn.XLOOKUP(1,(DESC_PROV[LINEA]=$B$2)*(DESC_PROV[LISTA]=$C$2),DESC_PROV[DESCUENTO]),0)),
   ((B19*(1+IFERROR(VLOOKUP($D$2,COLORES[],2,FALSE),0)))+D19)
   *(1-IFERROR(_xlfn.XLOOKUP(1,(DESC_PROV[LINEA]=$B$2)*(DESC_PROV[LISTA]=$C$2),DESC_PROV[DESCUENTO]),0))
   *(1+VLOOKUP($C$2,LISTAS[],2,FALSE))
   *(1+VLOOKUP($C$2,LISTAS[],3,FALSE))
)
/5,0)*5,0)</f>
        <v>170040</v>
      </c>
      <c r="N19" s="125">
        <f t="array" ref="N19">IFERROR(
ROUND(
IF($A$2="COSTO",
   ((B19*(1+IFERROR(VLOOKUP($D$2,COLORES[],2,FALSE),0)))+E19)
   *(1-IFERROR(_xlfn.XLOOKUP(1,(DESC_PROV[LINEA]=$B$2)*(DESC_PROV[LISTA]=$C$2),DESC_PROV[DESCUENTO]),0)),
   ((B19*(1+IFERROR(VLOOKUP($D$2,COLORES[],2,FALSE),0)))+E19)
   *(1-IFERROR(_xlfn.XLOOKUP(1,(DESC_PROV[LINEA]=$B$2)*(DESC_PROV[LISTA]=$C$2),DESC_PROV[DESCUENTO]),0))
   *(1+VLOOKUP($C$2,LISTAS[],2,FALSE))
   *(1+VLOOKUP($C$2,LISTAS[],3,FALSE))
)
/5,0)*5,0)</f>
        <v>174425</v>
      </c>
      <c r="O19" s="125">
        <f t="array" ref="O19">IFERROR(
ROUND(
IF($A$2="COSTO",
   ((B19*(1+IFERROR(VLOOKUP($D$2,COLORES[],2,FALSE),0)))+F19)
   *(1-IFERROR(_xlfn.XLOOKUP(1,(DESC_PROV[LINEA]=$B$2)*(DESC_PROV[LISTA]=$C$2),DESC_PROV[DESCUENTO]),0)),
   ((B19*(1+IFERROR(VLOOKUP($D$2,COLORES[],2,FALSE),0)))+F19)
   *(1-IFERROR(_xlfn.XLOOKUP(1,(DESC_PROV[LINEA]=$B$2)*(DESC_PROV[LISTA]=$C$2),DESC_PROV[DESCUENTO]),0))
   *(1+VLOOKUP($C$2,LISTAS[],2,FALSE))
   *(1+VLOOKUP($C$2,LISTAS[],3,FALSE))
)
/5,0)*5,0)</f>
        <v>195055</v>
      </c>
      <c r="P19" s="125">
        <f t="array" ref="P19">IFERROR(
ROUND(
IF($A$2="COSTO",
   ((B19*(1+IFERROR(VLOOKUP($D$2,COLORES[],2,FALSE),0)))+G19)
   *(1-IFERROR(_xlfn.XLOOKUP(1,(DESC_PROV[LINEA]=$B$2)*(DESC_PROV[LISTA]=$C$2),DESC_PROV[DESCUENTO]),0)),
   ((B19*(1+IFERROR(VLOOKUP($D$2,COLORES[],2,FALSE),0)))+G19)
   *(1-IFERROR(_xlfn.XLOOKUP(1,(DESC_PROV[LINEA]=$B$2)*(DESC_PROV[LISTA]=$C$2),DESC_PROV[DESCUENTO]),0))
   *(1+VLOOKUP($C$2,LISTAS[],2,FALSE))
   *(1+VLOOKUP($C$2,LISTAS[],3,FALSE))
)
/5,0)*5,0)</f>
        <v>171420</v>
      </c>
      <c r="Q19" s="125">
        <f t="array" ref="Q19">IFERROR(
ROUND(
IF($A$2="COSTO",
   ((B19*(1+IFERROR(VLOOKUP($D$2,COLORES[],2,FALSE),0)))+H19)
   *(1-IFERROR(_xlfn.XLOOKUP(1,(DESC_PROV[LINEA]=$B$2)*(DESC_PROV[LISTA]=$C$2),DESC_PROV[DESCUENTO]),0)),
   ((B19*(1+IFERROR(VLOOKUP($D$2,COLORES[],2,FALSE),0)))+H19)
   *(1-IFERROR(_xlfn.XLOOKUP(1,(DESC_PROV[LINEA]=$B$2)*(DESC_PROV[LISTA]=$C$2),DESC_PROV[DESCUENTO]),0))
   *(1+VLOOKUP($C$2,LISTAS[],2,FALSE))
   *(1+VLOOKUP($C$2,LISTAS[],3,FALSE))
)
/5,0)*5,0)</f>
        <v>214200</v>
      </c>
      <c r="R19" s="126">
        <f t="array" ref="R19">IFERROR(
ROUND(
IF($A$2="COSTO",
   ((B19*(1+IFERROR(VLOOKUP($D$2,COLORES[],2,FALSE),0)))+(D19+I19+D19))
   *(1-IFERROR(_xlfn.XLOOKUP(1,(DESC_PROV[LINEA]=$B$2)*(DESC_PROV[LISTA]=$C$2),DESC_PROV[DESCUENTO]),0)),
   ((B19*(1+IFERROR(VLOOKUP($D$2,COLORES[],2,FALSE),0)))+(D19+I19+D19))
   *(1-IFERROR(_xlfn.XLOOKUP(1,(DESC_PROV[LINEA]=$B$2)*(DESC_PROV[LISTA]=$C$2),DESC_PROV[DESCUENTO]),0))
   *(1+VLOOKUP($C$2,LISTAS[],2,FALSE))
   *(1+VLOOKUP($C$2,LISTAS[],3,FALSE))
)
/5,0)*5,0)</f>
        <v>239170</v>
      </c>
    </row>
    <row r="20" spans="1:18">
      <c r="A20" s="133" t="s">
        <v>141</v>
      </c>
      <c r="B20" s="125">
        <v>127276</v>
      </c>
      <c r="C20" s="125">
        <v>9792</v>
      </c>
      <c r="D20" s="125">
        <v>11846</v>
      </c>
      <c r="E20" s="125">
        <v>15696</v>
      </c>
      <c r="F20" s="125">
        <v>33802</v>
      </c>
      <c r="G20" s="125">
        <v>13056</v>
      </c>
      <c r="H20" s="125">
        <v>50607</v>
      </c>
      <c r="I20" s="125">
        <v>46512</v>
      </c>
      <c r="J20" s="124"/>
      <c r="K20" s="133" t="s">
        <v>141</v>
      </c>
      <c r="L20" s="125">
        <f t="array" ref="L20">IFERROR(
ROUND(
IF($A$2="COSTO",
   ((B20*(1+IFERROR(VLOOKUP($D$2,COLORES[],2,FALSE),0)))+C20)
   *(1-IFERROR(_xlfn.XLOOKUP(1,(DESC_PROV[LINEA]=$B$2)*(DESC_PROV[LISTA]=$C$2),DESC_PROV[DESCUENTO]),0)),
   ((B20*(1+IFERROR(VLOOKUP($D$2,COLORES[],2,FALSE),0)))+C20)
   *(1-IFERROR(_xlfn.XLOOKUP(1,(DESC_PROV[LINEA]=$B$2)*(DESC_PROV[LISTA]=$C$2),DESC_PROV[DESCUENTO]),0))
   *(1+VLOOKUP($C$2,LISTAS[],2,FALSE))
   *(1+VLOOKUP($C$2,LISTAS[],3,FALSE))
)
/5,0)*5,0)</f>
        <v>175660</v>
      </c>
      <c r="M20" s="125">
        <f t="array" ref="M20">IFERROR(
ROUND(
IF($A$2="COSTO",
   ((B20*(1+IFERROR(VLOOKUP($D$2,COLORES[],2,FALSE),0)))+D20)
   *(1-IFERROR(_xlfn.XLOOKUP(1,(DESC_PROV[LINEA]=$B$2)*(DESC_PROV[LISTA]=$C$2),DESC_PROV[DESCUENTO]),0)),
   ((B20*(1+IFERROR(VLOOKUP($D$2,COLORES[],2,FALSE),0)))+D20)
   *(1-IFERROR(_xlfn.XLOOKUP(1,(DESC_PROV[LINEA]=$B$2)*(DESC_PROV[LISTA]=$C$2),DESC_PROV[DESCUENTO]),0))
   *(1+VLOOKUP($C$2,LISTAS[],2,FALSE))
   *(1+VLOOKUP($C$2,LISTAS[],3,FALSE))
)
/5,0)*5,0)</f>
        <v>178290</v>
      </c>
      <c r="N20" s="125">
        <f t="array" ref="N20">IFERROR(
ROUND(
IF($A$2="COSTO",
   ((B20*(1+IFERROR(VLOOKUP($D$2,COLORES[],2,FALSE),0)))+E20)
   *(1-IFERROR(_xlfn.XLOOKUP(1,(DESC_PROV[LINEA]=$B$2)*(DESC_PROV[LISTA]=$C$2),DESC_PROV[DESCUENTO]),0)),
   ((B20*(1+IFERROR(VLOOKUP($D$2,COLORES[],2,FALSE),0)))+E20)
   *(1-IFERROR(_xlfn.XLOOKUP(1,(DESC_PROV[LINEA]=$B$2)*(DESC_PROV[LISTA]=$C$2),DESC_PROV[DESCUENTO]),0))
   *(1+VLOOKUP($C$2,LISTAS[],2,FALSE))
   *(1+VLOOKUP($C$2,LISTAS[],3,FALSE))
)
/5,0)*5,0)</f>
        <v>183225</v>
      </c>
      <c r="O20" s="125">
        <f t="array" ref="O20">IFERROR(
ROUND(
IF($A$2="COSTO",
   ((B20*(1+IFERROR(VLOOKUP($D$2,COLORES[],2,FALSE),0)))+F20)
   *(1-IFERROR(_xlfn.XLOOKUP(1,(DESC_PROV[LINEA]=$B$2)*(DESC_PROV[LISTA]=$C$2),DESC_PROV[DESCUENTO]),0)),
   ((B20*(1+IFERROR(VLOOKUP($D$2,COLORES[],2,FALSE),0)))+F20)
   *(1-IFERROR(_xlfn.XLOOKUP(1,(DESC_PROV[LINEA]=$B$2)*(DESC_PROV[LISTA]=$C$2),DESC_PROV[DESCUENTO]),0))
   *(1+VLOOKUP($C$2,LISTAS[],2,FALSE))
   *(1+VLOOKUP($C$2,LISTAS[],3,FALSE))
)
/5,0)*5,0)</f>
        <v>206430</v>
      </c>
      <c r="P20" s="125">
        <f t="array" ref="P20">IFERROR(
ROUND(
IF($A$2="COSTO",
   ((B20*(1+IFERROR(VLOOKUP($D$2,COLORES[],2,FALSE),0)))+G20)
   *(1-IFERROR(_xlfn.XLOOKUP(1,(DESC_PROV[LINEA]=$B$2)*(DESC_PROV[LISTA]=$C$2),DESC_PROV[DESCUENTO]),0)),
   ((B20*(1+IFERROR(VLOOKUP($D$2,COLORES[],2,FALSE),0)))+G20)
   *(1-IFERROR(_xlfn.XLOOKUP(1,(DESC_PROV[LINEA]=$B$2)*(DESC_PROV[LISTA]=$C$2),DESC_PROV[DESCUENTO]),0))
   *(1+VLOOKUP($C$2,LISTAS[],2,FALSE))
   *(1+VLOOKUP($C$2,LISTAS[],3,FALSE))
)
/5,0)*5,0)</f>
        <v>179840</v>
      </c>
      <c r="Q20" s="125">
        <f t="array" ref="Q20">IFERROR(
ROUND(
IF($A$2="COSTO",
   ((B20*(1+IFERROR(VLOOKUP($D$2,COLORES[],2,FALSE),0)))+H20)
   *(1-IFERROR(_xlfn.XLOOKUP(1,(DESC_PROV[LINEA]=$B$2)*(DESC_PROV[LISTA]=$C$2),DESC_PROV[DESCUENTO]),0)),
   ((B20*(1+IFERROR(VLOOKUP($D$2,COLORES[],2,FALSE),0)))+H20)
   *(1-IFERROR(_xlfn.XLOOKUP(1,(DESC_PROV[LINEA]=$B$2)*(DESC_PROV[LISTA]=$C$2),DESC_PROV[DESCUENTO]),0))
   *(1+VLOOKUP($C$2,LISTAS[],2,FALSE))
   *(1+VLOOKUP($C$2,LISTAS[],3,FALSE))
)
/5,0)*5,0)</f>
        <v>227965</v>
      </c>
      <c r="R20" s="126">
        <f t="array" ref="R20">IFERROR(
ROUND(
IF($A$2="COSTO",
   ((B20*(1+IFERROR(VLOOKUP($D$2,COLORES[],2,FALSE),0)))+(D20+I20+D20))
   *(1-IFERROR(_xlfn.XLOOKUP(1,(DESC_PROV[LINEA]=$B$2)*(DESC_PROV[LISTA]=$C$2),DESC_PROV[DESCUENTO]),0)),
   ((B20*(1+IFERROR(VLOOKUP($D$2,COLORES[],2,FALSE),0)))+(D20+I20+D20))
   *(1-IFERROR(_xlfn.XLOOKUP(1,(DESC_PROV[LINEA]=$B$2)*(DESC_PROV[LISTA]=$C$2),DESC_PROV[DESCUENTO]),0))
   *(1+VLOOKUP($C$2,LISTAS[],2,FALSE))
   *(1+VLOOKUP($C$2,LISTAS[],3,FALSE))
)
/5,0)*5,0)</f>
        <v>253080</v>
      </c>
    </row>
    <row r="21" spans="1:18">
      <c r="A21" s="133" t="s">
        <v>156</v>
      </c>
      <c r="B21" s="125">
        <v>101653</v>
      </c>
      <c r="C21" s="125">
        <v>4080</v>
      </c>
      <c r="D21" s="125">
        <v>4944</v>
      </c>
      <c r="E21" s="125">
        <v>6518</v>
      </c>
      <c r="F21" s="125">
        <v>14102</v>
      </c>
      <c r="G21" s="125">
        <v>5453</v>
      </c>
      <c r="H21" s="125">
        <v>21105</v>
      </c>
      <c r="I21" s="125">
        <v>31008</v>
      </c>
      <c r="J21" s="124"/>
      <c r="K21" s="133" t="s">
        <v>156</v>
      </c>
      <c r="L21" s="125">
        <f t="array" ref="L21">IFERROR(
ROUND(
IF($A$2="COSTO",
   ((B21*(1+IFERROR(VLOOKUP($D$2,COLORES[],2,FALSE),0)))+C21)
   *(1-IFERROR(_xlfn.XLOOKUP(1,(DESC_PROV[LINEA]=$B$2)*(DESC_PROV[LISTA]=$C$2),DESC_PROV[DESCUENTO]),0)),
   ((B21*(1+IFERROR(VLOOKUP($D$2,COLORES[],2,FALSE),0)))+C21)
   *(1-IFERROR(_xlfn.XLOOKUP(1,(DESC_PROV[LINEA]=$B$2)*(DESC_PROV[LISTA]=$C$2),DESC_PROV[DESCUENTO]),0))
   *(1+VLOOKUP($C$2,LISTAS[],2,FALSE))
   *(1+VLOOKUP($C$2,LISTAS[],3,FALSE))
)
/5,0)*5,0)</f>
        <v>135500</v>
      </c>
      <c r="M21" s="125">
        <f t="array" ref="M21">IFERROR(
ROUND(
IF($A$2="COSTO",
   ((B21*(1+IFERROR(VLOOKUP($D$2,COLORES[],2,FALSE),0)))+D21)
   *(1-IFERROR(_xlfn.XLOOKUP(1,(DESC_PROV[LINEA]=$B$2)*(DESC_PROV[LISTA]=$C$2),DESC_PROV[DESCUENTO]),0)),
   ((B21*(1+IFERROR(VLOOKUP($D$2,COLORES[],2,FALSE),0)))+D21)
   *(1-IFERROR(_xlfn.XLOOKUP(1,(DESC_PROV[LINEA]=$B$2)*(DESC_PROV[LISTA]=$C$2),DESC_PROV[DESCUENTO]),0))
   *(1+VLOOKUP($C$2,LISTAS[],2,FALSE))
   *(1+VLOOKUP($C$2,LISTAS[],3,FALSE))
)
/5,0)*5,0)</f>
        <v>136610</v>
      </c>
      <c r="N21" s="125">
        <f t="array" ref="N21">IFERROR(
ROUND(
IF($A$2="COSTO",
   ((B21*(1+IFERROR(VLOOKUP($D$2,COLORES[],2,FALSE),0)))+E21)
   *(1-IFERROR(_xlfn.XLOOKUP(1,(DESC_PROV[LINEA]=$B$2)*(DESC_PROV[LISTA]=$C$2),DESC_PROV[DESCUENTO]),0)),
   ((B21*(1+IFERROR(VLOOKUP($D$2,COLORES[],2,FALSE),0)))+E21)
   *(1-IFERROR(_xlfn.XLOOKUP(1,(DESC_PROV[LINEA]=$B$2)*(DESC_PROV[LISTA]=$C$2),DESC_PROV[DESCUENTO]),0))
   *(1+VLOOKUP($C$2,LISTAS[],2,FALSE))
   *(1+VLOOKUP($C$2,LISTAS[],3,FALSE))
)
/5,0)*5,0)</f>
        <v>138625</v>
      </c>
      <c r="O21" s="125">
        <f t="array" ref="O21">IFERROR(
ROUND(
IF($A$2="COSTO",
   ((B21*(1+IFERROR(VLOOKUP($D$2,COLORES[],2,FALSE),0)))+F21)
   *(1-IFERROR(_xlfn.XLOOKUP(1,(DESC_PROV[LINEA]=$B$2)*(DESC_PROV[LISTA]=$C$2),DESC_PROV[DESCUENTO]),0)),
   ((B21*(1+IFERROR(VLOOKUP($D$2,COLORES[],2,FALSE),0)))+F21)
   *(1-IFERROR(_xlfn.XLOOKUP(1,(DESC_PROV[LINEA]=$B$2)*(DESC_PROV[LISTA]=$C$2),DESC_PROV[DESCUENTO]),0))
   *(1+VLOOKUP($C$2,LISTAS[],2,FALSE))
   *(1+VLOOKUP($C$2,LISTAS[],3,FALSE))
)
/5,0)*5,0)</f>
        <v>148345</v>
      </c>
      <c r="P21" s="125">
        <f t="array" ref="P21">IFERROR(
ROUND(
IF($A$2="COSTO",
   ((B21*(1+IFERROR(VLOOKUP($D$2,COLORES[],2,FALSE),0)))+G21)
   *(1-IFERROR(_xlfn.XLOOKUP(1,(DESC_PROV[LINEA]=$B$2)*(DESC_PROV[LISTA]=$C$2),DESC_PROV[DESCUENTO]),0)),
   ((B21*(1+IFERROR(VLOOKUP($D$2,COLORES[],2,FALSE),0)))+G21)
   *(1-IFERROR(_xlfn.XLOOKUP(1,(DESC_PROV[LINEA]=$B$2)*(DESC_PROV[LISTA]=$C$2),DESC_PROV[DESCUENTO]),0))
   *(1+VLOOKUP($C$2,LISTAS[],2,FALSE))
   *(1+VLOOKUP($C$2,LISTAS[],3,FALSE))
)
/5,0)*5,0)</f>
        <v>137260</v>
      </c>
      <c r="Q21" s="125">
        <f t="array" ref="Q21">IFERROR(
ROUND(
IF($A$2="COSTO",
   ((B21*(1+IFERROR(VLOOKUP($D$2,COLORES[],2,FALSE),0)))+H21)
   *(1-IFERROR(_xlfn.XLOOKUP(1,(DESC_PROV[LINEA]=$B$2)*(DESC_PROV[LISTA]=$C$2),DESC_PROV[DESCUENTO]),0)),
   ((B21*(1+IFERROR(VLOOKUP($D$2,COLORES[],2,FALSE),0)))+H21)
   *(1-IFERROR(_xlfn.XLOOKUP(1,(DESC_PROV[LINEA]=$B$2)*(DESC_PROV[LISTA]=$C$2),DESC_PROV[DESCUENTO]),0))
   *(1+VLOOKUP($C$2,LISTAS[],2,FALSE))
   *(1+VLOOKUP($C$2,LISTAS[],3,FALSE))
)
/5,0)*5,0)</f>
        <v>157320</v>
      </c>
      <c r="R21" s="126">
        <f t="array" ref="R21">IFERROR(
ROUND(
IF($A$2="COSTO",
   ((B21*(1+IFERROR(VLOOKUP($D$2,COLORES[],2,FALSE),0)))+(D21+I21+D21))
   *(1-IFERROR(_xlfn.XLOOKUP(1,(DESC_PROV[LINEA]=$B$2)*(DESC_PROV[LISTA]=$C$2),DESC_PROV[DESCUENTO]),0)),
   ((B21*(1+IFERROR(VLOOKUP($D$2,COLORES[],2,FALSE),0)))+(D21+I21+D21))
   *(1-IFERROR(_xlfn.XLOOKUP(1,(DESC_PROV[LINEA]=$B$2)*(DESC_PROV[LISTA]=$C$2),DESC_PROV[DESCUENTO]),0))
   *(1+VLOOKUP($C$2,LISTAS[],2,FALSE))
   *(1+VLOOKUP($C$2,LISTAS[],3,FALSE))
)
/5,0)*5,0)</f>
        <v>182680</v>
      </c>
    </row>
    <row r="22" spans="1:18">
      <c r="A22" s="133" t="s">
        <v>157</v>
      </c>
      <c r="B22" s="125">
        <v>106774</v>
      </c>
      <c r="C22" s="125">
        <v>5443</v>
      </c>
      <c r="D22" s="125">
        <v>6586</v>
      </c>
      <c r="E22" s="125">
        <v>8707</v>
      </c>
      <c r="F22" s="125">
        <v>18787</v>
      </c>
      <c r="G22" s="125">
        <v>7258</v>
      </c>
      <c r="H22" s="125">
        <v>28120</v>
      </c>
      <c r="I22" s="125">
        <v>34109</v>
      </c>
      <c r="J22" s="124"/>
      <c r="K22" s="133" t="s">
        <v>157</v>
      </c>
      <c r="L22" s="125">
        <f t="array" ref="L22">IFERROR(
ROUND(
IF($A$2="COSTO",
   ((B22*(1+IFERROR(VLOOKUP($D$2,COLORES[],2,FALSE),0)))+C22)
   *(1-IFERROR(_xlfn.XLOOKUP(1,(DESC_PROV[LINEA]=$B$2)*(DESC_PROV[LISTA]=$C$2),DESC_PROV[DESCUENTO]),0)),
   ((B22*(1+IFERROR(VLOOKUP($D$2,COLORES[],2,FALSE),0)))+C22)
   *(1-IFERROR(_xlfn.XLOOKUP(1,(DESC_PROV[LINEA]=$B$2)*(DESC_PROV[LISTA]=$C$2),DESC_PROV[DESCUENTO]),0))
   *(1+VLOOKUP($C$2,LISTAS[],2,FALSE))
   *(1+VLOOKUP($C$2,LISTAS[],3,FALSE))
)
/5,0)*5,0)</f>
        <v>143810</v>
      </c>
      <c r="M22" s="125">
        <f t="array" ref="M22">IFERROR(
ROUND(
IF($A$2="COSTO",
   ((B22*(1+IFERROR(VLOOKUP($D$2,COLORES[],2,FALSE),0)))+D22)
   *(1-IFERROR(_xlfn.XLOOKUP(1,(DESC_PROV[LINEA]=$B$2)*(DESC_PROV[LISTA]=$C$2),DESC_PROV[DESCUENTO]),0)),
   ((B22*(1+IFERROR(VLOOKUP($D$2,COLORES[],2,FALSE),0)))+D22)
   *(1-IFERROR(_xlfn.XLOOKUP(1,(DESC_PROV[LINEA]=$B$2)*(DESC_PROV[LISTA]=$C$2),DESC_PROV[DESCUENTO]),0))
   *(1+VLOOKUP($C$2,LISTAS[],2,FALSE))
   *(1+VLOOKUP($C$2,LISTAS[],3,FALSE))
)
/5,0)*5,0)</f>
        <v>145275</v>
      </c>
      <c r="N22" s="125">
        <f t="array" ref="N22">IFERROR(
ROUND(
IF($A$2="COSTO",
   ((B22*(1+IFERROR(VLOOKUP($D$2,COLORES[],2,FALSE),0)))+E22)
   *(1-IFERROR(_xlfn.XLOOKUP(1,(DESC_PROV[LINEA]=$B$2)*(DESC_PROV[LISTA]=$C$2),DESC_PROV[DESCUENTO]),0)),
   ((B22*(1+IFERROR(VLOOKUP($D$2,COLORES[],2,FALSE),0)))+E22)
   *(1-IFERROR(_xlfn.XLOOKUP(1,(DESC_PROV[LINEA]=$B$2)*(DESC_PROV[LISTA]=$C$2),DESC_PROV[DESCUENTO]),0))
   *(1+VLOOKUP($C$2,LISTAS[],2,FALSE))
   *(1+VLOOKUP($C$2,LISTAS[],3,FALSE))
)
/5,0)*5,0)</f>
        <v>147995</v>
      </c>
      <c r="O22" s="125">
        <f t="array" ref="O22">IFERROR(
ROUND(
IF($A$2="COSTO",
   ((B22*(1+IFERROR(VLOOKUP($D$2,COLORES[],2,FALSE),0)))+F22)
   *(1-IFERROR(_xlfn.XLOOKUP(1,(DESC_PROV[LINEA]=$B$2)*(DESC_PROV[LISTA]=$C$2),DESC_PROV[DESCUENTO]),0)),
   ((B22*(1+IFERROR(VLOOKUP($D$2,COLORES[],2,FALSE),0)))+F22)
   *(1-IFERROR(_xlfn.XLOOKUP(1,(DESC_PROV[LINEA]=$B$2)*(DESC_PROV[LISTA]=$C$2),DESC_PROV[DESCUENTO]),0))
   *(1+VLOOKUP($C$2,LISTAS[],2,FALSE))
   *(1+VLOOKUP($C$2,LISTAS[],3,FALSE))
)
/5,0)*5,0)</f>
        <v>160910</v>
      </c>
      <c r="P22" s="125">
        <f t="array" ref="P22">IFERROR(
ROUND(
IF($A$2="COSTO",
   ((B22*(1+IFERROR(VLOOKUP($D$2,COLORES[],2,FALSE),0)))+G22)
   *(1-IFERROR(_xlfn.XLOOKUP(1,(DESC_PROV[LINEA]=$B$2)*(DESC_PROV[LISTA]=$C$2),DESC_PROV[DESCUENTO]),0)),
   ((B22*(1+IFERROR(VLOOKUP($D$2,COLORES[],2,FALSE),0)))+G22)
   *(1-IFERROR(_xlfn.XLOOKUP(1,(DESC_PROV[LINEA]=$B$2)*(DESC_PROV[LISTA]=$C$2),DESC_PROV[DESCUENTO]),0))
   *(1+VLOOKUP($C$2,LISTAS[],2,FALSE))
   *(1+VLOOKUP($C$2,LISTAS[],3,FALSE))
)
/5,0)*5,0)</f>
        <v>146135</v>
      </c>
      <c r="Q22" s="125">
        <f t="array" ref="Q22">IFERROR(
ROUND(
IF($A$2="COSTO",
   ((B22*(1+IFERROR(VLOOKUP($D$2,COLORES[],2,FALSE),0)))+H22)
   *(1-IFERROR(_xlfn.XLOOKUP(1,(DESC_PROV[LINEA]=$B$2)*(DESC_PROV[LISTA]=$C$2),DESC_PROV[DESCUENTO]),0)),
   ((B22*(1+IFERROR(VLOOKUP($D$2,COLORES[],2,FALSE),0)))+H22)
   *(1-IFERROR(_xlfn.XLOOKUP(1,(DESC_PROV[LINEA]=$B$2)*(DESC_PROV[LISTA]=$C$2),DESC_PROV[DESCUENTO]),0))
   *(1+VLOOKUP($C$2,LISTAS[],2,FALSE))
   *(1+VLOOKUP($C$2,LISTAS[],3,FALSE))
)
/5,0)*5,0)</f>
        <v>172870</v>
      </c>
      <c r="R22" s="126">
        <f t="array" ref="R22">IFERROR(
ROUND(
IF($A$2="COSTO",
   ((B22*(1+IFERROR(VLOOKUP($D$2,COLORES[],2,FALSE),0)))+(D22+I22+D22))
   *(1-IFERROR(_xlfn.XLOOKUP(1,(DESC_PROV[LINEA]=$B$2)*(DESC_PROV[LISTA]=$C$2),DESC_PROV[DESCUENTO]),0)),
   ((B22*(1+IFERROR(VLOOKUP($D$2,COLORES[],2,FALSE),0)))+(D22+I22+D22))
   *(1-IFERROR(_xlfn.XLOOKUP(1,(DESC_PROV[LINEA]=$B$2)*(DESC_PROV[LISTA]=$C$2),DESC_PROV[DESCUENTO]),0))
   *(1+VLOOKUP($C$2,LISTAS[],2,FALSE))
   *(1+VLOOKUP($C$2,LISTAS[],3,FALSE))
)
/5,0)*5,0)</f>
        <v>197430</v>
      </c>
    </row>
    <row r="23" spans="1:18">
      <c r="A23" s="133" t="s">
        <v>158</v>
      </c>
      <c r="B23" s="125">
        <v>111894</v>
      </c>
      <c r="C23" s="125">
        <v>6797</v>
      </c>
      <c r="D23" s="125">
        <v>8227</v>
      </c>
      <c r="E23" s="125">
        <v>10896</v>
      </c>
      <c r="F23" s="125">
        <v>23472</v>
      </c>
      <c r="G23" s="125">
        <v>9062</v>
      </c>
      <c r="H23" s="125">
        <v>35136</v>
      </c>
      <c r="I23" s="125">
        <v>37210</v>
      </c>
      <c r="J23" s="124"/>
      <c r="K23" s="133" t="s">
        <v>158</v>
      </c>
      <c r="L23" s="125">
        <f t="array" ref="L23">IFERROR(
ROUND(
IF($A$2="COSTO",
   ((B23*(1+IFERROR(VLOOKUP($D$2,COLORES[],2,FALSE),0)))+C23)
   *(1-IFERROR(_xlfn.XLOOKUP(1,(DESC_PROV[LINEA]=$B$2)*(DESC_PROV[LISTA]=$C$2),DESC_PROV[DESCUENTO]),0)),
   ((B23*(1+IFERROR(VLOOKUP($D$2,COLORES[],2,FALSE),0)))+C23)
   *(1-IFERROR(_xlfn.XLOOKUP(1,(DESC_PROV[LINEA]=$B$2)*(DESC_PROV[LISTA]=$C$2),DESC_PROV[DESCUENTO]),0))
   *(1+VLOOKUP($C$2,LISTAS[],2,FALSE))
   *(1+VLOOKUP($C$2,LISTAS[],3,FALSE))
)
/5,0)*5,0)</f>
        <v>152105</v>
      </c>
      <c r="M23" s="125">
        <f t="array" ref="M23">IFERROR(
ROUND(
IF($A$2="COSTO",
   ((B23*(1+IFERROR(VLOOKUP($D$2,COLORES[],2,FALSE),0)))+D23)
   *(1-IFERROR(_xlfn.XLOOKUP(1,(DESC_PROV[LINEA]=$B$2)*(DESC_PROV[LISTA]=$C$2),DESC_PROV[DESCUENTO]),0)),
   ((B23*(1+IFERROR(VLOOKUP($D$2,COLORES[],2,FALSE),0)))+D23)
   *(1-IFERROR(_xlfn.XLOOKUP(1,(DESC_PROV[LINEA]=$B$2)*(DESC_PROV[LISTA]=$C$2),DESC_PROV[DESCUENTO]),0))
   *(1+VLOOKUP($C$2,LISTAS[],2,FALSE))
   *(1+VLOOKUP($C$2,LISTAS[],3,FALSE))
)
/5,0)*5,0)</f>
        <v>153940</v>
      </c>
      <c r="N23" s="125">
        <f t="array" ref="N23">IFERROR(
ROUND(
IF($A$2="COSTO",
   ((B23*(1+IFERROR(VLOOKUP($D$2,COLORES[],2,FALSE),0)))+E23)
   *(1-IFERROR(_xlfn.XLOOKUP(1,(DESC_PROV[LINEA]=$B$2)*(DESC_PROV[LISTA]=$C$2),DESC_PROV[DESCUENTO]),0)),
   ((B23*(1+IFERROR(VLOOKUP($D$2,COLORES[],2,FALSE),0)))+E23)
   *(1-IFERROR(_xlfn.XLOOKUP(1,(DESC_PROV[LINEA]=$B$2)*(DESC_PROV[LISTA]=$C$2),DESC_PROV[DESCUENTO]),0))
   *(1+VLOOKUP($C$2,LISTAS[],2,FALSE))
   *(1+VLOOKUP($C$2,LISTAS[],3,FALSE))
)
/5,0)*5,0)</f>
        <v>157360</v>
      </c>
      <c r="O23" s="125">
        <f t="array" ref="O23">IFERROR(
ROUND(
IF($A$2="COSTO",
   ((B23*(1+IFERROR(VLOOKUP($D$2,COLORES[],2,FALSE),0)))+F23)
   *(1-IFERROR(_xlfn.XLOOKUP(1,(DESC_PROV[LINEA]=$B$2)*(DESC_PROV[LISTA]=$C$2),DESC_PROV[DESCUENTO]),0)),
   ((B23*(1+IFERROR(VLOOKUP($D$2,COLORES[],2,FALSE),0)))+F23)
   *(1-IFERROR(_xlfn.XLOOKUP(1,(DESC_PROV[LINEA]=$B$2)*(DESC_PROV[LISTA]=$C$2),DESC_PROV[DESCUENTO]),0))
   *(1+VLOOKUP($C$2,LISTAS[],2,FALSE))
   *(1+VLOOKUP($C$2,LISTAS[],3,FALSE))
)
/5,0)*5,0)</f>
        <v>173475</v>
      </c>
      <c r="P23" s="125">
        <f t="array" ref="P23">IFERROR(
ROUND(
IF($A$2="COSTO",
   ((B23*(1+IFERROR(VLOOKUP($D$2,COLORES[],2,FALSE),0)))+G23)
   *(1-IFERROR(_xlfn.XLOOKUP(1,(DESC_PROV[LINEA]=$B$2)*(DESC_PROV[LISTA]=$C$2),DESC_PROV[DESCUENTO]),0)),
   ((B23*(1+IFERROR(VLOOKUP($D$2,COLORES[],2,FALSE),0)))+G23)
   *(1-IFERROR(_xlfn.XLOOKUP(1,(DESC_PROV[LINEA]=$B$2)*(DESC_PROV[LISTA]=$C$2),DESC_PROV[DESCUENTO]),0))
   *(1+VLOOKUP($C$2,LISTAS[],2,FALSE))
   *(1+VLOOKUP($C$2,LISTAS[],3,FALSE))
)
/5,0)*5,0)</f>
        <v>155010</v>
      </c>
      <c r="Q23" s="125">
        <f t="array" ref="Q23">IFERROR(
ROUND(
IF($A$2="COSTO",
   ((B23*(1+IFERROR(VLOOKUP($D$2,COLORES[],2,FALSE),0)))+H23)
   *(1-IFERROR(_xlfn.XLOOKUP(1,(DESC_PROV[LINEA]=$B$2)*(DESC_PROV[LISTA]=$C$2),DESC_PROV[DESCUENTO]),0)),
   ((B23*(1+IFERROR(VLOOKUP($D$2,COLORES[],2,FALSE),0)))+H23)
   *(1-IFERROR(_xlfn.XLOOKUP(1,(DESC_PROV[LINEA]=$B$2)*(DESC_PROV[LISTA]=$C$2),DESC_PROV[DESCUENTO]),0))
   *(1+VLOOKUP($C$2,LISTAS[],2,FALSE))
   *(1+VLOOKUP($C$2,LISTAS[],3,FALSE))
)
/5,0)*5,0)</f>
        <v>188425</v>
      </c>
      <c r="R23" s="126">
        <f t="array" ref="R23">IFERROR(
ROUND(
IF($A$2="COSTO",
   ((B23*(1+IFERROR(VLOOKUP($D$2,COLORES[],2,FALSE),0)))+(D23+I23+D23))
   *(1-IFERROR(_xlfn.XLOOKUP(1,(DESC_PROV[LINEA]=$B$2)*(DESC_PROV[LISTA]=$C$2),DESC_PROV[DESCUENTO]),0)),
   ((B23*(1+IFERROR(VLOOKUP($D$2,COLORES[],2,FALSE),0)))+(D23+I23+D23))
   *(1-IFERROR(_xlfn.XLOOKUP(1,(DESC_PROV[LINEA]=$B$2)*(DESC_PROV[LISTA]=$C$2),DESC_PROV[DESCUENTO]),0))
   *(1+VLOOKUP($C$2,LISTAS[],2,FALSE))
   *(1+VLOOKUP($C$2,LISTAS[],3,FALSE))
)
/5,0)*5,0)</f>
        <v>212170</v>
      </c>
    </row>
    <row r="24" spans="1:18">
      <c r="A24" s="133" t="s">
        <v>159</v>
      </c>
      <c r="B24" s="125">
        <v>117035</v>
      </c>
      <c r="C24" s="125">
        <v>8160</v>
      </c>
      <c r="D24" s="125">
        <v>9869</v>
      </c>
      <c r="E24" s="125">
        <v>13085</v>
      </c>
      <c r="F24" s="125">
        <v>28253</v>
      </c>
      <c r="G24" s="125">
        <v>10867</v>
      </c>
      <c r="H24" s="125">
        <v>42152</v>
      </c>
      <c r="I24" s="125">
        <v>40310</v>
      </c>
      <c r="J24" s="124"/>
      <c r="K24" s="133" t="s">
        <v>159</v>
      </c>
      <c r="L24" s="125">
        <f t="array" ref="L24">IFERROR(
ROUND(
IF($A$2="COSTO",
   ((B24*(1+IFERROR(VLOOKUP($D$2,COLORES[],2,FALSE),0)))+C24)
   *(1-IFERROR(_xlfn.XLOOKUP(1,(DESC_PROV[LINEA]=$B$2)*(DESC_PROV[LISTA]=$C$2),DESC_PROV[DESCUENTO]),0)),
   ((B24*(1+IFERROR(VLOOKUP($D$2,COLORES[],2,FALSE),0)))+C24)
   *(1-IFERROR(_xlfn.XLOOKUP(1,(DESC_PROV[LINEA]=$B$2)*(DESC_PROV[LISTA]=$C$2),DESC_PROV[DESCUENTO]),0))
   *(1+VLOOKUP($C$2,LISTAS[],2,FALSE))
   *(1+VLOOKUP($C$2,LISTAS[],3,FALSE))
)
/5,0)*5,0)</f>
        <v>160440</v>
      </c>
      <c r="M24" s="125">
        <f t="array" ref="M24">IFERROR(
ROUND(
IF($A$2="COSTO",
   ((B24*(1+IFERROR(VLOOKUP($D$2,COLORES[],2,FALSE),0)))+D24)
   *(1-IFERROR(_xlfn.XLOOKUP(1,(DESC_PROV[LINEA]=$B$2)*(DESC_PROV[LISTA]=$C$2),DESC_PROV[DESCUENTO]),0)),
   ((B24*(1+IFERROR(VLOOKUP($D$2,COLORES[],2,FALSE),0)))+D24)
   *(1-IFERROR(_xlfn.XLOOKUP(1,(DESC_PROV[LINEA]=$B$2)*(DESC_PROV[LISTA]=$C$2),DESC_PROV[DESCUENTO]),0))
   *(1+VLOOKUP($C$2,LISTAS[],2,FALSE))
   *(1+VLOOKUP($C$2,LISTAS[],3,FALSE))
)
/5,0)*5,0)</f>
        <v>162635</v>
      </c>
      <c r="N24" s="125">
        <f t="array" ref="N24">IFERROR(
ROUND(
IF($A$2="COSTO",
   ((B24*(1+IFERROR(VLOOKUP($D$2,COLORES[],2,FALSE),0)))+E24)
   *(1-IFERROR(_xlfn.XLOOKUP(1,(DESC_PROV[LINEA]=$B$2)*(DESC_PROV[LISTA]=$C$2),DESC_PROV[DESCUENTO]),0)),
   ((B24*(1+IFERROR(VLOOKUP($D$2,COLORES[],2,FALSE),0)))+E24)
   *(1-IFERROR(_xlfn.XLOOKUP(1,(DESC_PROV[LINEA]=$B$2)*(DESC_PROV[LISTA]=$C$2),DESC_PROV[DESCUENTO]),0))
   *(1+VLOOKUP($C$2,LISTAS[],2,FALSE))
   *(1+VLOOKUP($C$2,LISTAS[],3,FALSE))
)
/5,0)*5,0)</f>
        <v>166755</v>
      </c>
      <c r="O24" s="125">
        <f t="array" ref="O24">IFERROR(
ROUND(
IF($A$2="COSTO",
   ((B24*(1+IFERROR(VLOOKUP($D$2,COLORES[],2,FALSE),0)))+F24)
   *(1-IFERROR(_xlfn.XLOOKUP(1,(DESC_PROV[LINEA]=$B$2)*(DESC_PROV[LISTA]=$C$2),DESC_PROV[DESCUENTO]),0)),
   ((B24*(1+IFERROR(VLOOKUP($D$2,COLORES[],2,FALSE),0)))+F24)
   *(1-IFERROR(_xlfn.XLOOKUP(1,(DESC_PROV[LINEA]=$B$2)*(DESC_PROV[LISTA]=$C$2),DESC_PROV[DESCUENTO]),0))
   *(1+VLOOKUP($C$2,LISTAS[],2,FALSE))
   *(1+VLOOKUP($C$2,LISTAS[],3,FALSE))
)
/5,0)*5,0)</f>
        <v>186190</v>
      </c>
      <c r="P24" s="125">
        <f t="array" ref="P24">IFERROR(
ROUND(
IF($A$2="COSTO",
   ((B24*(1+IFERROR(VLOOKUP($D$2,COLORES[],2,FALSE),0)))+G24)
   *(1-IFERROR(_xlfn.XLOOKUP(1,(DESC_PROV[LINEA]=$B$2)*(DESC_PROV[LISTA]=$C$2),DESC_PROV[DESCUENTO]),0)),
   ((B24*(1+IFERROR(VLOOKUP($D$2,COLORES[],2,FALSE),0)))+G24)
   *(1-IFERROR(_xlfn.XLOOKUP(1,(DESC_PROV[LINEA]=$B$2)*(DESC_PROV[LISTA]=$C$2),DESC_PROV[DESCUENTO]),0))
   *(1+VLOOKUP($C$2,LISTAS[],2,FALSE))
   *(1+VLOOKUP($C$2,LISTAS[],3,FALSE))
)
/5,0)*5,0)</f>
        <v>163910</v>
      </c>
      <c r="Q24" s="125">
        <f t="array" ref="Q24">IFERROR(
ROUND(
IF($A$2="COSTO",
   ((B24*(1+IFERROR(VLOOKUP($D$2,COLORES[],2,FALSE),0)))+H24)
   *(1-IFERROR(_xlfn.XLOOKUP(1,(DESC_PROV[LINEA]=$B$2)*(DESC_PROV[LISTA]=$C$2),DESC_PROV[DESCUENTO]),0)),
   ((B24*(1+IFERROR(VLOOKUP($D$2,COLORES[],2,FALSE),0)))+H24)
   *(1-IFERROR(_xlfn.XLOOKUP(1,(DESC_PROV[LINEA]=$B$2)*(DESC_PROV[LISTA]=$C$2),DESC_PROV[DESCUENTO]),0))
   *(1+VLOOKUP($C$2,LISTAS[],2,FALSE))
   *(1+VLOOKUP($C$2,LISTAS[],3,FALSE))
)
/5,0)*5,0)</f>
        <v>204005</v>
      </c>
      <c r="R24" s="126">
        <f t="array" ref="R24">IFERROR(
ROUND(
IF($A$2="COSTO",
   ((B24*(1+IFERROR(VLOOKUP($D$2,COLORES[],2,FALSE),0)))+(D24+I24+D24))
   *(1-IFERROR(_xlfn.XLOOKUP(1,(DESC_PROV[LINEA]=$B$2)*(DESC_PROV[LISTA]=$C$2),DESC_PROV[DESCUENTO]),0)),
   ((B24*(1+IFERROR(VLOOKUP($D$2,COLORES[],2,FALSE),0)))+(D24+I24+D24))
   *(1-IFERROR(_xlfn.XLOOKUP(1,(DESC_PROV[LINEA]=$B$2)*(DESC_PROV[LISTA]=$C$2),DESC_PROV[DESCUENTO]),0))
   *(1+VLOOKUP($C$2,LISTAS[],2,FALSE))
   *(1+VLOOKUP($C$2,LISTAS[],3,FALSE))
)
/5,0)*5,0)</f>
        <v>226940</v>
      </c>
    </row>
    <row r="25" spans="1:18">
      <c r="A25" s="133" t="s">
        <v>160</v>
      </c>
      <c r="B25" s="125">
        <v>122155</v>
      </c>
      <c r="C25" s="125">
        <v>9523</v>
      </c>
      <c r="D25" s="125">
        <v>11510</v>
      </c>
      <c r="E25" s="125">
        <v>15274</v>
      </c>
      <c r="F25" s="125">
        <v>33034</v>
      </c>
      <c r="G25" s="125">
        <v>12672</v>
      </c>
      <c r="H25" s="125">
        <v>49167</v>
      </c>
      <c r="I25" s="125">
        <v>43411</v>
      </c>
      <c r="J25" s="124"/>
      <c r="K25" s="133" t="s">
        <v>160</v>
      </c>
      <c r="L25" s="125">
        <f t="array" ref="L25">IFERROR(
ROUND(
IF($A$2="COSTO",
   ((B25*(1+IFERROR(VLOOKUP($D$2,COLORES[],2,FALSE),0)))+C25)
   *(1-IFERROR(_xlfn.XLOOKUP(1,(DESC_PROV[LINEA]=$B$2)*(DESC_PROV[LISTA]=$C$2),DESC_PROV[DESCUENTO]),0)),
   ((B25*(1+IFERROR(VLOOKUP($D$2,COLORES[],2,FALSE),0)))+C25)
   *(1-IFERROR(_xlfn.XLOOKUP(1,(DESC_PROV[LINEA]=$B$2)*(DESC_PROV[LISTA]=$C$2),DESC_PROV[DESCUENTO]),0))
   *(1+VLOOKUP($C$2,LISTAS[],2,FALSE))
   *(1+VLOOKUP($C$2,LISTAS[],3,FALSE))
)
/5,0)*5,0)</f>
        <v>168750</v>
      </c>
      <c r="M25" s="125">
        <f t="array" ref="M25">IFERROR(
ROUND(
IF($A$2="COSTO",
   ((B25*(1+IFERROR(VLOOKUP($D$2,COLORES[],2,FALSE),0)))+D25)
   *(1-IFERROR(_xlfn.XLOOKUP(1,(DESC_PROV[LINEA]=$B$2)*(DESC_PROV[LISTA]=$C$2),DESC_PROV[DESCUENTO]),0)),
   ((B25*(1+IFERROR(VLOOKUP($D$2,COLORES[],2,FALSE),0)))+D25)
   *(1-IFERROR(_xlfn.XLOOKUP(1,(DESC_PROV[LINEA]=$B$2)*(DESC_PROV[LISTA]=$C$2),DESC_PROV[DESCUENTO]),0))
   *(1+VLOOKUP($C$2,LISTAS[],2,FALSE))
   *(1+VLOOKUP($C$2,LISTAS[],3,FALSE))
)
/5,0)*5,0)</f>
        <v>171295</v>
      </c>
      <c r="N25" s="125">
        <f t="array" ref="N25">IFERROR(
ROUND(
IF($A$2="COSTO",
   ((B25*(1+IFERROR(VLOOKUP($D$2,COLORES[],2,FALSE),0)))+E25)
   *(1-IFERROR(_xlfn.XLOOKUP(1,(DESC_PROV[LINEA]=$B$2)*(DESC_PROV[LISTA]=$C$2),DESC_PROV[DESCUENTO]),0)),
   ((B25*(1+IFERROR(VLOOKUP($D$2,COLORES[],2,FALSE),0)))+E25)
   *(1-IFERROR(_xlfn.XLOOKUP(1,(DESC_PROV[LINEA]=$B$2)*(DESC_PROV[LISTA]=$C$2),DESC_PROV[DESCUENTO]),0))
   *(1+VLOOKUP($C$2,LISTAS[],2,FALSE))
   *(1+VLOOKUP($C$2,LISTAS[],3,FALSE))
)
/5,0)*5,0)</f>
        <v>176120</v>
      </c>
      <c r="O25" s="125">
        <f t="array" ref="O25">IFERROR(
ROUND(
IF($A$2="COSTO",
   ((B25*(1+IFERROR(VLOOKUP($D$2,COLORES[],2,FALSE),0)))+F25)
   *(1-IFERROR(_xlfn.XLOOKUP(1,(DESC_PROV[LINEA]=$B$2)*(DESC_PROV[LISTA]=$C$2),DESC_PROV[DESCUENTO]),0)),
   ((B25*(1+IFERROR(VLOOKUP($D$2,COLORES[],2,FALSE),0)))+F25)
   *(1-IFERROR(_xlfn.XLOOKUP(1,(DESC_PROV[LINEA]=$B$2)*(DESC_PROV[LISTA]=$C$2),DESC_PROV[DESCUENTO]),0))
   *(1+VLOOKUP($C$2,LISTAS[],2,FALSE))
   *(1+VLOOKUP($C$2,LISTAS[],3,FALSE))
)
/5,0)*5,0)</f>
        <v>198880</v>
      </c>
      <c r="P25" s="125">
        <f t="array" ref="P25">IFERROR(
ROUND(
IF($A$2="COSTO",
   ((B25*(1+IFERROR(VLOOKUP($D$2,COLORES[],2,FALSE),0)))+G25)
   *(1-IFERROR(_xlfn.XLOOKUP(1,(DESC_PROV[LINEA]=$B$2)*(DESC_PROV[LISTA]=$C$2),DESC_PROV[DESCUENTO]),0)),
   ((B25*(1+IFERROR(VLOOKUP($D$2,COLORES[],2,FALSE),0)))+G25)
   *(1-IFERROR(_xlfn.XLOOKUP(1,(DESC_PROV[LINEA]=$B$2)*(DESC_PROV[LISTA]=$C$2),DESC_PROV[DESCUENTO]),0))
   *(1+VLOOKUP($C$2,LISTAS[],2,FALSE))
   *(1+VLOOKUP($C$2,LISTAS[],3,FALSE))
)
/5,0)*5,0)</f>
        <v>172785</v>
      </c>
      <c r="Q25" s="125">
        <f t="array" ref="Q25">IFERROR(
ROUND(
IF($A$2="COSTO",
   ((B25*(1+IFERROR(VLOOKUP($D$2,COLORES[],2,FALSE),0)))+H25)
   *(1-IFERROR(_xlfn.XLOOKUP(1,(DESC_PROV[LINEA]=$B$2)*(DESC_PROV[LISTA]=$C$2),DESC_PROV[DESCUENTO]),0)),
   ((B25*(1+IFERROR(VLOOKUP($D$2,COLORES[],2,FALSE),0)))+H25)
   *(1-IFERROR(_xlfn.XLOOKUP(1,(DESC_PROV[LINEA]=$B$2)*(DESC_PROV[LISTA]=$C$2),DESC_PROV[DESCUENTO]),0))
   *(1+VLOOKUP($C$2,LISTAS[],2,FALSE))
   *(1+VLOOKUP($C$2,LISTAS[],3,FALSE))
)
/5,0)*5,0)</f>
        <v>219555</v>
      </c>
      <c r="R25" s="126">
        <f t="array" ref="R25">IFERROR(
ROUND(
IF($A$2="COSTO",
   ((B25*(1+IFERROR(VLOOKUP($D$2,COLORES[],2,FALSE),0)))+(D25+I25+D25))
   *(1-IFERROR(_xlfn.XLOOKUP(1,(DESC_PROV[LINEA]=$B$2)*(DESC_PROV[LISTA]=$C$2),DESC_PROV[DESCUENTO]),0)),
   ((B25*(1+IFERROR(VLOOKUP($D$2,COLORES[],2,FALSE),0)))+(D25+I25+D25))
   *(1-IFERROR(_xlfn.XLOOKUP(1,(DESC_PROV[LINEA]=$B$2)*(DESC_PROV[LISTA]=$C$2),DESC_PROV[DESCUENTO]),0))
   *(1+VLOOKUP($C$2,LISTAS[],2,FALSE))
   *(1+VLOOKUP($C$2,LISTAS[],3,FALSE))
)
/5,0)*5,0)</f>
        <v>241680</v>
      </c>
    </row>
    <row r="26" spans="1:18">
      <c r="A26" s="133" t="s">
        <v>161</v>
      </c>
      <c r="B26" s="125">
        <v>127276</v>
      </c>
      <c r="C26" s="125">
        <v>10886</v>
      </c>
      <c r="D26" s="125">
        <v>13152</v>
      </c>
      <c r="E26" s="125">
        <v>17462</v>
      </c>
      <c r="F26" s="125">
        <v>37814</v>
      </c>
      <c r="G26" s="125">
        <v>14477</v>
      </c>
      <c r="H26" s="125">
        <v>56183</v>
      </c>
      <c r="I26" s="125">
        <v>46512</v>
      </c>
      <c r="J26" s="124"/>
      <c r="K26" s="133" t="s">
        <v>161</v>
      </c>
      <c r="L26" s="125">
        <f t="array" ref="L26">IFERROR(
ROUND(
IF($A$2="COSTO",
   ((B26*(1+IFERROR(VLOOKUP($D$2,COLORES[],2,FALSE),0)))+C26)
   *(1-IFERROR(_xlfn.XLOOKUP(1,(DESC_PROV[LINEA]=$B$2)*(DESC_PROV[LISTA]=$C$2),DESC_PROV[DESCUENTO]),0)),
   ((B26*(1+IFERROR(VLOOKUP($D$2,COLORES[],2,FALSE),0)))+C26)
   *(1-IFERROR(_xlfn.XLOOKUP(1,(DESC_PROV[LINEA]=$B$2)*(DESC_PROV[LISTA]=$C$2),DESC_PROV[DESCUENTO]),0))
   *(1+VLOOKUP($C$2,LISTAS[],2,FALSE))
   *(1+VLOOKUP($C$2,LISTAS[],3,FALSE))
)
/5,0)*5,0)</f>
        <v>177060</v>
      </c>
      <c r="M26" s="125">
        <f t="array" ref="M26">IFERROR(
ROUND(
IF($A$2="COSTO",
   ((B26*(1+IFERROR(VLOOKUP($D$2,COLORES[],2,FALSE),0)))+D26)
   *(1-IFERROR(_xlfn.XLOOKUP(1,(DESC_PROV[LINEA]=$B$2)*(DESC_PROV[LISTA]=$C$2),DESC_PROV[DESCUENTO]),0)),
   ((B26*(1+IFERROR(VLOOKUP($D$2,COLORES[],2,FALSE),0)))+D26)
   *(1-IFERROR(_xlfn.XLOOKUP(1,(DESC_PROV[LINEA]=$B$2)*(DESC_PROV[LISTA]=$C$2),DESC_PROV[DESCUENTO]),0))
   *(1+VLOOKUP($C$2,LISTAS[],2,FALSE))
   *(1+VLOOKUP($C$2,LISTAS[],3,FALSE))
)
/5,0)*5,0)</f>
        <v>179965</v>
      </c>
      <c r="N26" s="125">
        <f t="array" ref="N26">IFERROR(
ROUND(
IF($A$2="COSTO",
   ((B26*(1+IFERROR(VLOOKUP($D$2,COLORES[],2,FALSE),0)))+E26)
   *(1-IFERROR(_xlfn.XLOOKUP(1,(DESC_PROV[LINEA]=$B$2)*(DESC_PROV[LISTA]=$C$2),DESC_PROV[DESCUENTO]),0)),
   ((B26*(1+IFERROR(VLOOKUP($D$2,COLORES[],2,FALSE),0)))+E26)
   *(1-IFERROR(_xlfn.XLOOKUP(1,(DESC_PROV[LINEA]=$B$2)*(DESC_PROV[LISTA]=$C$2),DESC_PROV[DESCUENTO]),0))
   *(1+VLOOKUP($C$2,LISTAS[],2,FALSE))
   *(1+VLOOKUP($C$2,LISTAS[],3,FALSE))
)
/5,0)*5,0)</f>
        <v>185490</v>
      </c>
      <c r="O26" s="125">
        <f t="array" ref="O26">IFERROR(
ROUND(
IF($A$2="COSTO",
   ((B26*(1+IFERROR(VLOOKUP($D$2,COLORES[],2,FALSE),0)))+F26)
   *(1-IFERROR(_xlfn.XLOOKUP(1,(DESC_PROV[LINEA]=$B$2)*(DESC_PROV[LISTA]=$C$2),DESC_PROV[DESCUENTO]),0)),
   ((B26*(1+IFERROR(VLOOKUP($D$2,COLORES[],2,FALSE),0)))+F26)
   *(1-IFERROR(_xlfn.XLOOKUP(1,(DESC_PROV[LINEA]=$B$2)*(DESC_PROV[LISTA]=$C$2),DESC_PROV[DESCUENTO]),0))
   *(1+VLOOKUP($C$2,LISTAS[],2,FALSE))
   *(1+VLOOKUP($C$2,LISTAS[],3,FALSE))
)
/5,0)*5,0)</f>
        <v>211570</v>
      </c>
      <c r="P26" s="125">
        <f t="array" ref="P26">IFERROR(
ROUND(
IF($A$2="COSTO",
   ((B26*(1+IFERROR(VLOOKUP($D$2,COLORES[],2,FALSE),0)))+G26)
   *(1-IFERROR(_xlfn.XLOOKUP(1,(DESC_PROV[LINEA]=$B$2)*(DESC_PROV[LISTA]=$C$2),DESC_PROV[DESCUENTO]),0)),
   ((B26*(1+IFERROR(VLOOKUP($D$2,COLORES[],2,FALSE),0)))+G26)
   *(1-IFERROR(_xlfn.XLOOKUP(1,(DESC_PROV[LINEA]=$B$2)*(DESC_PROV[LISTA]=$C$2),DESC_PROV[DESCUENTO]),0))
   *(1+VLOOKUP($C$2,LISTAS[],2,FALSE))
   *(1+VLOOKUP($C$2,LISTAS[],3,FALSE))
)
/5,0)*5,0)</f>
        <v>181660</v>
      </c>
      <c r="Q26" s="125">
        <f t="array" ref="Q26">IFERROR(
ROUND(
IF($A$2="COSTO",
   ((B26*(1+IFERROR(VLOOKUP($D$2,COLORES[],2,FALSE),0)))+H26)
   *(1-IFERROR(_xlfn.XLOOKUP(1,(DESC_PROV[LINEA]=$B$2)*(DESC_PROV[LISTA]=$C$2),DESC_PROV[DESCUENTO]),0)),
   ((B26*(1+IFERROR(VLOOKUP($D$2,COLORES[],2,FALSE),0)))+H26)
   *(1-IFERROR(_xlfn.XLOOKUP(1,(DESC_PROV[LINEA]=$B$2)*(DESC_PROV[LISTA]=$C$2),DESC_PROV[DESCUENTO]),0))
   *(1+VLOOKUP($C$2,LISTAS[],2,FALSE))
   *(1+VLOOKUP($C$2,LISTAS[],3,FALSE))
)
/5,0)*5,0)</f>
        <v>235110</v>
      </c>
      <c r="R26" s="126">
        <f t="array" ref="R26">IFERROR(
ROUND(
IF($A$2="COSTO",
   ((B26*(1+IFERROR(VLOOKUP($D$2,COLORES[],2,FALSE),0)))+(D26+I26+D26))
   *(1-IFERROR(_xlfn.XLOOKUP(1,(DESC_PROV[LINEA]=$B$2)*(DESC_PROV[LISTA]=$C$2),DESC_PROV[DESCUENTO]),0)),
   ((B26*(1+IFERROR(VLOOKUP($D$2,COLORES[],2,FALSE),0)))+(D26+I26+D26))
   *(1-IFERROR(_xlfn.XLOOKUP(1,(DESC_PROV[LINEA]=$B$2)*(DESC_PROV[LISTA]=$C$2),DESC_PROV[DESCUENTO]),0))
   *(1+VLOOKUP($C$2,LISTAS[],2,FALSE))
   *(1+VLOOKUP($C$2,LISTAS[],3,FALSE))
)
/5,0)*5,0)</f>
        <v>256425</v>
      </c>
    </row>
    <row r="27" spans="1:18">
      <c r="A27" s="133" t="s">
        <v>162</v>
      </c>
      <c r="B27" s="125">
        <v>132403</v>
      </c>
      <c r="C27" s="125">
        <v>12250</v>
      </c>
      <c r="D27" s="125">
        <v>14794</v>
      </c>
      <c r="E27" s="125">
        <v>19651</v>
      </c>
      <c r="F27" s="125">
        <v>42595</v>
      </c>
      <c r="G27" s="125">
        <v>16282</v>
      </c>
      <c r="H27" s="125">
        <v>63199</v>
      </c>
      <c r="I27" s="125">
        <v>49613</v>
      </c>
      <c r="J27" s="124"/>
      <c r="K27" s="133" t="s">
        <v>162</v>
      </c>
      <c r="L27" s="125">
        <f t="array" ref="L27">IFERROR(
ROUND(
IF($A$2="COSTO",
   ((B27*(1+IFERROR(VLOOKUP($D$2,COLORES[],2,FALSE),0)))+C27)
   *(1-IFERROR(_xlfn.XLOOKUP(1,(DESC_PROV[LINEA]=$B$2)*(DESC_PROV[LISTA]=$C$2),DESC_PROV[DESCUENTO]),0)),
   ((B27*(1+IFERROR(VLOOKUP($D$2,COLORES[],2,FALSE),0)))+C27)
   *(1-IFERROR(_xlfn.XLOOKUP(1,(DESC_PROV[LINEA]=$B$2)*(DESC_PROV[LISTA]=$C$2),DESC_PROV[DESCUENTO]),0))
   *(1+VLOOKUP($C$2,LISTAS[],2,FALSE))
   *(1+VLOOKUP($C$2,LISTAS[],3,FALSE))
)
/5,0)*5,0)</f>
        <v>185380</v>
      </c>
      <c r="M27" s="125">
        <f t="array" ref="M27">IFERROR(
ROUND(
IF($A$2="COSTO",
   ((B27*(1+IFERROR(VLOOKUP($D$2,COLORES[],2,FALSE),0)))+D27)
   *(1-IFERROR(_xlfn.XLOOKUP(1,(DESC_PROV[LINEA]=$B$2)*(DESC_PROV[LISTA]=$C$2),DESC_PROV[DESCUENTO]),0)),
   ((B27*(1+IFERROR(VLOOKUP($D$2,COLORES[],2,FALSE),0)))+D27)
   *(1-IFERROR(_xlfn.XLOOKUP(1,(DESC_PROV[LINEA]=$B$2)*(DESC_PROV[LISTA]=$C$2),DESC_PROV[DESCUENTO]),0))
   *(1+VLOOKUP($C$2,LISTAS[],2,FALSE))
   *(1+VLOOKUP($C$2,LISTAS[],3,FALSE))
)
/5,0)*5,0)</f>
        <v>188640</v>
      </c>
      <c r="N27" s="125">
        <f t="array" ref="N27">IFERROR(
ROUND(
IF($A$2="COSTO",
   ((B27*(1+IFERROR(VLOOKUP($D$2,COLORES[],2,FALSE),0)))+E27)
   *(1-IFERROR(_xlfn.XLOOKUP(1,(DESC_PROV[LINEA]=$B$2)*(DESC_PROV[LISTA]=$C$2),DESC_PROV[DESCUENTO]),0)),
   ((B27*(1+IFERROR(VLOOKUP($D$2,COLORES[],2,FALSE),0)))+E27)
   *(1-IFERROR(_xlfn.XLOOKUP(1,(DESC_PROV[LINEA]=$B$2)*(DESC_PROV[LISTA]=$C$2),DESC_PROV[DESCUENTO]),0))
   *(1+VLOOKUP($C$2,LISTAS[],2,FALSE))
   *(1+VLOOKUP($C$2,LISTAS[],3,FALSE))
)
/5,0)*5,0)</f>
        <v>194865</v>
      </c>
      <c r="O27" s="125">
        <f t="array" ref="O27">IFERROR(
ROUND(
IF($A$2="COSTO",
   ((B27*(1+IFERROR(VLOOKUP($D$2,COLORES[],2,FALSE),0)))+F27)
   *(1-IFERROR(_xlfn.XLOOKUP(1,(DESC_PROV[LINEA]=$B$2)*(DESC_PROV[LISTA]=$C$2),DESC_PROV[DESCUENTO]),0)),
   ((B27*(1+IFERROR(VLOOKUP($D$2,COLORES[],2,FALSE),0)))+F27)
   *(1-IFERROR(_xlfn.XLOOKUP(1,(DESC_PROV[LINEA]=$B$2)*(DESC_PROV[LISTA]=$C$2),DESC_PROV[DESCUENTO]),0))
   *(1+VLOOKUP($C$2,LISTAS[],2,FALSE))
   *(1+VLOOKUP($C$2,LISTAS[],3,FALSE))
)
/5,0)*5,0)</f>
        <v>224265</v>
      </c>
      <c r="P27" s="125">
        <f t="array" ref="P27">IFERROR(
ROUND(
IF($A$2="COSTO",
   ((B27*(1+IFERROR(VLOOKUP($D$2,COLORES[],2,FALSE),0)))+G27)
   *(1-IFERROR(_xlfn.XLOOKUP(1,(DESC_PROV[LINEA]=$B$2)*(DESC_PROV[LISTA]=$C$2),DESC_PROV[DESCUENTO]),0)),
   ((B27*(1+IFERROR(VLOOKUP($D$2,COLORES[],2,FALSE),0)))+G27)
   *(1-IFERROR(_xlfn.XLOOKUP(1,(DESC_PROV[LINEA]=$B$2)*(DESC_PROV[LISTA]=$C$2),DESC_PROV[DESCUENTO]),0))
   *(1+VLOOKUP($C$2,LISTAS[],2,FALSE))
   *(1+VLOOKUP($C$2,LISTAS[],3,FALSE))
)
/5,0)*5,0)</f>
        <v>190545</v>
      </c>
      <c r="Q27" s="125">
        <f t="array" ref="Q27">IFERROR(
ROUND(
IF($A$2="COSTO",
   ((B27*(1+IFERROR(VLOOKUP($D$2,COLORES[],2,FALSE),0)))+H27)
   *(1-IFERROR(_xlfn.XLOOKUP(1,(DESC_PROV[LINEA]=$B$2)*(DESC_PROV[LISTA]=$C$2),DESC_PROV[DESCUENTO]),0)),
   ((B27*(1+IFERROR(VLOOKUP($D$2,COLORES[],2,FALSE),0)))+H27)
   *(1-IFERROR(_xlfn.XLOOKUP(1,(DESC_PROV[LINEA]=$B$2)*(DESC_PROV[LISTA]=$C$2),DESC_PROV[DESCUENTO]),0))
   *(1+VLOOKUP($C$2,LISTAS[],2,FALSE))
   *(1+VLOOKUP($C$2,LISTAS[],3,FALSE))
)
/5,0)*5,0)</f>
        <v>250670</v>
      </c>
      <c r="R27" s="126">
        <f t="array" ref="R27">IFERROR(
ROUND(
IF($A$2="COSTO",
   ((B27*(1+IFERROR(VLOOKUP($D$2,COLORES[],2,FALSE),0)))+(D27+I27+D27))
   *(1-IFERROR(_xlfn.XLOOKUP(1,(DESC_PROV[LINEA]=$B$2)*(DESC_PROV[LISTA]=$C$2),DESC_PROV[DESCUENTO]),0)),
   ((B27*(1+IFERROR(VLOOKUP($D$2,COLORES[],2,FALSE),0)))+(D27+I27+D27))
   *(1-IFERROR(_xlfn.XLOOKUP(1,(DESC_PROV[LINEA]=$B$2)*(DESC_PROV[LISTA]=$C$2),DESC_PROV[DESCUENTO]),0))
   *(1+VLOOKUP($C$2,LISTAS[],2,FALSE))
   *(1+VLOOKUP($C$2,LISTAS[],3,FALSE))
)
/5,0)*5,0)</f>
        <v>271180</v>
      </c>
    </row>
    <row r="28" spans="1:18">
      <c r="A28" s="133" t="s">
        <v>163</v>
      </c>
      <c r="B28" s="125">
        <v>106774</v>
      </c>
      <c r="C28" s="125">
        <v>4896</v>
      </c>
      <c r="D28" s="125">
        <v>5933</v>
      </c>
      <c r="E28" s="125">
        <v>7824</v>
      </c>
      <c r="F28" s="125">
        <v>16925</v>
      </c>
      <c r="G28" s="125">
        <v>6547</v>
      </c>
      <c r="H28" s="125">
        <v>25332</v>
      </c>
      <c r="I28" s="125">
        <v>34109</v>
      </c>
      <c r="J28" s="124"/>
      <c r="K28" s="133" t="s">
        <v>163</v>
      </c>
      <c r="L28" s="125">
        <f t="array" ref="L28">IFERROR(
ROUND(
IF($A$2="COSTO",
   ((B28*(1+IFERROR(VLOOKUP($D$2,COLORES[],2,FALSE),0)))+C28)
   *(1-IFERROR(_xlfn.XLOOKUP(1,(DESC_PROV[LINEA]=$B$2)*(DESC_PROV[LISTA]=$C$2),DESC_PROV[DESCUENTO]),0)),
   ((B28*(1+IFERROR(VLOOKUP($D$2,COLORES[],2,FALSE),0)))+C28)
   *(1-IFERROR(_xlfn.XLOOKUP(1,(DESC_PROV[LINEA]=$B$2)*(DESC_PROV[LISTA]=$C$2),DESC_PROV[DESCUENTO]),0))
   *(1+VLOOKUP($C$2,LISTAS[],2,FALSE))
   *(1+VLOOKUP($C$2,LISTAS[],3,FALSE))
)
/5,0)*5,0)</f>
        <v>143110</v>
      </c>
      <c r="M28" s="125">
        <f t="array" ref="M28">IFERROR(
ROUND(
IF($A$2="COSTO",
   ((B28*(1+IFERROR(VLOOKUP($D$2,COLORES[],2,FALSE),0)))+D28)
   *(1-IFERROR(_xlfn.XLOOKUP(1,(DESC_PROV[LINEA]=$B$2)*(DESC_PROV[LISTA]=$C$2),DESC_PROV[DESCUENTO]),0)),
   ((B28*(1+IFERROR(VLOOKUP($D$2,COLORES[],2,FALSE),0)))+D28)
   *(1-IFERROR(_xlfn.XLOOKUP(1,(DESC_PROV[LINEA]=$B$2)*(DESC_PROV[LISTA]=$C$2),DESC_PROV[DESCUENTO]),0))
   *(1+VLOOKUP($C$2,LISTAS[],2,FALSE))
   *(1+VLOOKUP($C$2,LISTAS[],3,FALSE))
)
/5,0)*5,0)</f>
        <v>144440</v>
      </c>
      <c r="N28" s="125">
        <f t="array" ref="N28">IFERROR(
ROUND(
IF($A$2="COSTO",
   ((B28*(1+IFERROR(VLOOKUP($D$2,COLORES[],2,FALSE),0)))+E28)
   *(1-IFERROR(_xlfn.XLOOKUP(1,(DESC_PROV[LINEA]=$B$2)*(DESC_PROV[LISTA]=$C$2),DESC_PROV[DESCUENTO]),0)),
   ((B28*(1+IFERROR(VLOOKUP($D$2,COLORES[],2,FALSE),0)))+E28)
   *(1-IFERROR(_xlfn.XLOOKUP(1,(DESC_PROV[LINEA]=$B$2)*(DESC_PROV[LISTA]=$C$2),DESC_PROV[DESCUENTO]),0))
   *(1+VLOOKUP($C$2,LISTAS[],2,FALSE))
   *(1+VLOOKUP($C$2,LISTAS[],3,FALSE))
)
/5,0)*5,0)</f>
        <v>146860</v>
      </c>
      <c r="O28" s="125">
        <f t="array" ref="O28">IFERROR(
ROUND(
IF($A$2="COSTO",
   ((B28*(1+IFERROR(VLOOKUP($D$2,COLORES[],2,FALSE),0)))+F28)
   *(1-IFERROR(_xlfn.XLOOKUP(1,(DESC_PROV[LINEA]=$B$2)*(DESC_PROV[LISTA]=$C$2),DESC_PROV[DESCUENTO]),0)),
   ((B28*(1+IFERROR(VLOOKUP($D$2,COLORES[],2,FALSE),0)))+F28)
   *(1-IFERROR(_xlfn.XLOOKUP(1,(DESC_PROV[LINEA]=$B$2)*(DESC_PROV[LISTA]=$C$2),DESC_PROV[DESCUENTO]),0))
   *(1+VLOOKUP($C$2,LISTAS[],2,FALSE))
   *(1+VLOOKUP($C$2,LISTAS[],3,FALSE))
)
/5,0)*5,0)</f>
        <v>158525</v>
      </c>
      <c r="P28" s="125">
        <f t="array" ref="P28">IFERROR(
ROUND(
IF($A$2="COSTO",
   ((B28*(1+IFERROR(VLOOKUP($D$2,COLORES[],2,FALSE),0)))+G28)
   *(1-IFERROR(_xlfn.XLOOKUP(1,(DESC_PROV[LINEA]=$B$2)*(DESC_PROV[LISTA]=$C$2),DESC_PROV[DESCUENTO]),0)),
   ((B28*(1+IFERROR(VLOOKUP($D$2,COLORES[],2,FALSE),0)))+G28)
   *(1-IFERROR(_xlfn.XLOOKUP(1,(DESC_PROV[LINEA]=$B$2)*(DESC_PROV[LISTA]=$C$2),DESC_PROV[DESCUENTO]),0))
   *(1+VLOOKUP($C$2,LISTAS[],2,FALSE))
   *(1+VLOOKUP($C$2,LISTAS[],3,FALSE))
)
/5,0)*5,0)</f>
        <v>145225</v>
      </c>
      <c r="Q28" s="125">
        <f t="array" ref="Q28">IFERROR(
ROUND(
IF($A$2="COSTO",
   ((B28*(1+IFERROR(VLOOKUP($D$2,COLORES[],2,FALSE),0)))+H28)
   *(1-IFERROR(_xlfn.XLOOKUP(1,(DESC_PROV[LINEA]=$B$2)*(DESC_PROV[LISTA]=$C$2),DESC_PROV[DESCUENTO]),0)),
   ((B28*(1+IFERROR(VLOOKUP($D$2,COLORES[],2,FALSE),0)))+H28)
   *(1-IFERROR(_xlfn.XLOOKUP(1,(DESC_PROV[LINEA]=$B$2)*(DESC_PROV[LISTA]=$C$2),DESC_PROV[DESCUENTO]),0))
   *(1+VLOOKUP($C$2,LISTAS[],2,FALSE))
   *(1+VLOOKUP($C$2,LISTAS[],3,FALSE))
)
/5,0)*5,0)</f>
        <v>169300</v>
      </c>
      <c r="R28" s="126">
        <f t="array" ref="R28">IFERROR(
ROUND(
IF($A$2="COSTO",
   ((B28*(1+IFERROR(VLOOKUP($D$2,COLORES[],2,FALSE),0)))+(D28+I28+D28))
   *(1-IFERROR(_xlfn.XLOOKUP(1,(DESC_PROV[LINEA]=$B$2)*(DESC_PROV[LISTA]=$C$2),DESC_PROV[DESCUENTO]),0)),
   ((B28*(1+IFERROR(VLOOKUP($D$2,COLORES[],2,FALSE),0)))+(D28+I28+D28))
   *(1-IFERROR(_xlfn.XLOOKUP(1,(DESC_PROV[LINEA]=$B$2)*(DESC_PROV[LISTA]=$C$2),DESC_PROV[DESCUENTO]),0))
   *(1+VLOOKUP($C$2,LISTAS[],2,FALSE))
   *(1+VLOOKUP($C$2,LISTAS[],3,FALSE))
)
/5,0)*5,0)</f>
        <v>195755</v>
      </c>
    </row>
    <row r="29" spans="1:18">
      <c r="A29" s="133" t="s">
        <v>164</v>
      </c>
      <c r="B29" s="125">
        <v>111894</v>
      </c>
      <c r="C29" s="125">
        <v>6528</v>
      </c>
      <c r="D29" s="125">
        <v>7901</v>
      </c>
      <c r="E29" s="125">
        <v>10454</v>
      </c>
      <c r="F29" s="125">
        <v>22541</v>
      </c>
      <c r="G29" s="125">
        <v>8707</v>
      </c>
      <c r="H29" s="125">
        <v>33742</v>
      </c>
      <c r="I29" s="125">
        <v>37210</v>
      </c>
      <c r="J29" s="124"/>
      <c r="K29" s="133" t="s">
        <v>164</v>
      </c>
      <c r="L29" s="125">
        <f t="array" ref="L29">IFERROR(
ROUND(
IF($A$2="COSTO",
   ((B29*(1+IFERROR(VLOOKUP($D$2,COLORES[],2,FALSE),0)))+C29)
   *(1-IFERROR(_xlfn.XLOOKUP(1,(DESC_PROV[LINEA]=$B$2)*(DESC_PROV[LISTA]=$C$2),DESC_PROV[DESCUENTO]),0)),
   ((B29*(1+IFERROR(VLOOKUP($D$2,COLORES[],2,FALSE),0)))+C29)
   *(1-IFERROR(_xlfn.XLOOKUP(1,(DESC_PROV[LINEA]=$B$2)*(DESC_PROV[LISTA]=$C$2),DESC_PROV[DESCUENTO]),0))
   *(1+VLOOKUP($C$2,LISTAS[],2,FALSE))
   *(1+VLOOKUP($C$2,LISTAS[],3,FALSE))
)
/5,0)*5,0)</f>
        <v>151765</v>
      </c>
      <c r="M29" s="125">
        <f t="array" ref="M29">IFERROR(
ROUND(
IF($A$2="COSTO",
   ((B29*(1+IFERROR(VLOOKUP($D$2,COLORES[],2,FALSE),0)))+D29)
   *(1-IFERROR(_xlfn.XLOOKUP(1,(DESC_PROV[LINEA]=$B$2)*(DESC_PROV[LISTA]=$C$2),DESC_PROV[DESCUENTO]),0)),
   ((B29*(1+IFERROR(VLOOKUP($D$2,COLORES[],2,FALSE),0)))+D29)
   *(1-IFERROR(_xlfn.XLOOKUP(1,(DESC_PROV[LINEA]=$B$2)*(DESC_PROV[LISTA]=$C$2),DESC_PROV[DESCUENTO]),0))
   *(1+VLOOKUP($C$2,LISTAS[],2,FALSE))
   *(1+VLOOKUP($C$2,LISTAS[],3,FALSE))
)
/5,0)*5,0)</f>
        <v>153520</v>
      </c>
      <c r="N29" s="125">
        <f t="array" ref="N29">IFERROR(
ROUND(
IF($A$2="COSTO",
   ((B29*(1+IFERROR(VLOOKUP($D$2,COLORES[],2,FALSE),0)))+E29)
   *(1-IFERROR(_xlfn.XLOOKUP(1,(DESC_PROV[LINEA]=$B$2)*(DESC_PROV[LISTA]=$C$2),DESC_PROV[DESCUENTO]),0)),
   ((B29*(1+IFERROR(VLOOKUP($D$2,COLORES[],2,FALSE),0)))+E29)
   *(1-IFERROR(_xlfn.XLOOKUP(1,(DESC_PROV[LINEA]=$B$2)*(DESC_PROV[LISTA]=$C$2),DESC_PROV[DESCUENTO]),0))
   *(1+VLOOKUP($C$2,LISTAS[],2,FALSE))
   *(1+VLOOKUP($C$2,LISTAS[],3,FALSE))
)
/5,0)*5,0)</f>
        <v>156795</v>
      </c>
      <c r="O29" s="125">
        <f t="array" ref="O29">IFERROR(
ROUND(
IF($A$2="COSTO",
   ((B29*(1+IFERROR(VLOOKUP($D$2,COLORES[],2,FALSE),0)))+F29)
   *(1-IFERROR(_xlfn.XLOOKUP(1,(DESC_PROV[LINEA]=$B$2)*(DESC_PROV[LISTA]=$C$2),DESC_PROV[DESCUENTO]),0)),
   ((B29*(1+IFERROR(VLOOKUP($D$2,COLORES[],2,FALSE),0)))+F29)
   *(1-IFERROR(_xlfn.XLOOKUP(1,(DESC_PROV[LINEA]=$B$2)*(DESC_PROV[LISTA]=$C$2),DESC_PROV[DESCUENTO]),0))
   *(1+VLOOKUP($C$2,LISTAS[],2,FALSE))
   *(1+VLOOKUP($C$2,LISTAS[],3,FALSE))
)
/5,0)*5,0)</f>
        <v>172285</v>
      </c>
      <c r="P29" s="125">
        <f t="array" ref="P29">IFERROR(
ROUND(
IF($A$2="COSTO",
   ((B29*(1+IFERROR(VLOOKUP($D$2,COLORES[],2,FALSE),0)))+G29)
   *(1-IFERROR(_xlfn.XLOOKUP(1,(DESC_PROV[LINEA]=$B$2)*(DESC_PROV[LISTA]=$C$2),DESC_PROV[DESCUENTO]),0)),
   ((B29*(1+IFERROR(VLOOKUP($D$2,COLORES[],2,FALSE),0)))+G29)
   *(1-IFERROR(_xlfn.XLOOKUP(1,(DESC_PROV[LINEA]=$B$2)*(DESC_PROV[LISTA]=$C$2),DESC_PROV[DESCUENTO]),0))
   *(1+VLOOKUP($C$2,LISTAS[],2,FALSE))
   *(1+VLOOKUP($C$2,LISTAS[],3,FALSE))
)
/5,0)*5,0)</f>
        <v>154555</v>
      </c>
      <c r="Q29" s="125">
        <f t="array" ref="Q29">IFERROR(
ROUND(
IF($A$2="COSTO",
   ((B29*(1+IFERROR(VLOOKUP($D$2,COLORES[],2,FALSE),0)))+H29)
   *(1-IFERROR(_xlfn.XLOOKUP(1,(DESC_PROV[LINEA]=$B$2)*(DESC_PROV[LISTA]=$C$2),DESC_PROV[DESCUENTO]),0)),
   ((B29*(1+IFERROR(VLOOKUP($D$2,COLORES[],2,FALSE),0)))+H29)
   *(1-IFERROR(_xlfn.XLOOKUP(1,(DESC_PROV[LINEA]=$B$2)*(DESC_PROV[LISTA]=$C$2),DESC_PROV[DESCUENTO]),0))
   *(1+VLOOKUP($C$2,LISTAS[],2,FALSE))
   *(1+VLOOKUP($C$2,LISTAS[],3,FALSE))
)
/5,0)*5,0)</f>
        <v>186640</v>
      </c>
      <c r="R29" s="126">
        <f t="array" ref="R29">IFERROR(
ROUND(
IF($A$2="COSTO",
   ((B29*(1+IFERROR(VLOOKUP($D$2,COLORES[],2,FALSE),0)))+(D29+I29+D29))
   *(1-IFERROR(_xlfn.XLOOKUP(1,(DESC_PROV[LINEA]=$B$2)*(DESC_PROV[LISTA]=$C$2),DESC_PROV[DESCUENTO]),0)),
   ((B29*(1+IFERROR(VLOOKUP($D$2,COLORES[],2,FALSE),0)))+(D29+I29+D29))
   *(1-IFERROR(_xlfn.XLOOKUP(1,(DESC_PROV[LINEA]=$B$2)*(DESC_PROV[LISTA]=$C$2),DESC_PROV[DESCUENTO]),0))
   *(1+VLOOKUP($C$2,LISTAS[],2,FALSE))
   *(1+VLOOKUP($C$2,LISTAS[],3,FALSE))
)
/5,0)*5,0)</f>
        <v>211335</v>
      </c>
    </row>
    <row r="30" spans="1:18">
      <c r="A30" s="133" t="s">
        <v>165</v>
      </c>
      <c r="B30" s="125">
        <v>117035</v>
      </c>
      <c r="C30" s="125">
        <v>8160</v>
      </c>
      <c r="D30" s="125">
        <v>9869</v>
      </c>
      <c r="E30" s="125">
        <v>13085</v>
      </c>
      <c r="F30" s="125">
        <v>28253</v>
      </c>
      <c r="G30" s="125">
        <v>10867</v>
      </c>
      <c r="H30" s="125">
        <v>42152</v>
      </c>
      <c r="I30" s="125">
        <v>40310</v>
      </c>
      <c r="J30" s="124"/>
      <c r="K30" s="133" t="s">
        <v>165</v>
      </c>
      <c r="L30" s="125">
        <f t="array" ref="L30">IFERROR(
ROUND(
IF($A$2="COSTO",
   ((B30*(1+IFERROR(VLOOKUP($D$2,COLORES[],2,FALSE),0)))+C30)
   *(1-IFERROR(_xlfn.XLOOKUP(1,(DESC_PROV[LINEA]=$B$2)*(DESC_PROV[LISTA]=$C$2),DESC_PROV[DESCUENTO]),0)),
   ((B30*(1+IFERROR(VLOOKUP($D$2,COLORES[],2,FALSE),0)))+C30)
   *(1-IFERROR(_xlfn.XLOOKUP(1,(DESC_PROV[LINEA]=$B$2)*(DESC_PROV[LISTA]=$C$2),DESC_PROV[DESCUENTO]),0))
   *(1+VLOOKUP($C$2,LISTAS[],2,FALSE))
   *(1+VLOOKUP($C$2,LISTAS[],3,FALSE))
)
/5,0)*5,0)</f>
        <v>160440</v>
      </c>
      <c r="M30" s="125">
        <f t="array" ref="M30">IFERROR(
ROUND(
IF($A$2="COSTO",
   ((B30*(1+IFERROR(VLOOKUP($D$2,COLORES[],2,FALSE),0)))+D30)
   *(1-IFERROR(_xlfn.XLOOKUP(1,(DESC_PROV[LINEA]=$B$2)*(DESC_PROV[LISTA]=$C$2),DESC_PROV[DESCUENTO]),0)),
   ((B30*(1+IFERROR(VLOOKUP($D$2,COLORES[],2,FALSE),0)))+D30)
   *(1-IFERROR(_xlfn.XLOOKUP(1,(DESC_PROV[LINEA]=$B$2)*(DESC_PROV[LISTA]=$C$2),DESC_PROV[DESCUENTO]),0))
   *(1+VLOOKUP($C$2,LISTAS[],2,FALSE))
   *(1+VLOOKUP($C$2,LISTAS[],3,FALSE))
)
/5,0)*5,0)</f>
        <v>162635</v>
      </c>
      <c r="N30" s="125">
        <f t="array" ref="N30">IFERROR(
ROUND(
IF($A$2="COSTO",
   ((B30*(1+IFERROR(VLOOKUP($D$2,COLORES[],2,FALSE),0)))+E30)
   *(1-IFERROR(_xlfn.XLOOKUP(1,(DESC_PROV[LINEA]=$B$2)*(DESC_PROV[LISTA]=$C$2),DESC_PROV[DESCUENTO]),0)),
   ((B30*(1+IFERROR(VLOOKUP($D$2,COLORES[],2,FALSE),0)))+E30)
   *(1-IFERROR(_xlfn.XLOOKUP(1,(DESC_PROV[LINEA]=$B$2)*(DESC_PROV[LISTA]=$C$2),DESC_PROV[DESCUENTO]),0))
   *(1+VLOOKUP($C$2,LISTAS[],2,FALSE))
   *(1+VLOOKUP($C$2,LISTAS[],3,FALSE))
)
/5,0)*5,0)</f>
        <v>166755</v>
      </c>
      <c r="O30" s="125">
        <f t="array" ref="O30">IFERROR(
ROUND(
IF($A$2="COSTO",
   ((B30*(1+IFERROR(VLOOKUP($D$2,COLORES[],2,FALSE),0)))+F30)
   *(1-IFERROR(_xlfn.XLOOKUP(1,(DESC_PROV[LINEA]=$B$2)*(DESC_PROV[LISTA]=$C$2),DESC_PROV[DESCUENTO]),0)),
   ((B30*(1+IFERROR(VLOOKUP($D$2,COLORES[],2,FALSE),0)))+F30)
   *(1-IFERROR(_xlfn.XLOOKUP(1,(DESC_PROV[LINEA]=$B$2)*(DESC_PROV[LISTA]=$C$2),DESC_PROV[DESCUENTO]),0))
   *(1+VLOOKUP($C$2,LISTAS[],2,FALSE))
   *(1+VLOOKUP($C$2,LISTAS[],3,FALSE))
)
/5,0)*5,0)</f>
        <v>186190</v>
      </c>
      <c r="P30" s="125">
        <f t="array" ref="P30">IFERROR(
ROUND(
IF($A$2="COSTO",
   ((B30*(1+IFERROR(VLOOKUP($D$2,COLORES[],2,FALSE),0)))+G30)
   *(1-IFERROR(_xlfn.XLOOKUP(1,(DESC_PROV[LINEA]=$B$2)*(DESC_PROV[LISTA]=$C$2),DESC_PROV[DESCUENTO]),0)),
   ((B30*(1+IFERROR(VLOOKUP($D$2,COLORES[],2,FALSE),0)))+G30)
   *(1-IFERROR(_xlfn.XLOOKUP(1,(DESC_PROV[LINEA]=$B$2)*(DESC_PROV[LISTA]=$C$2),DESC_PROV[DESCUENTO]),0))
   *(1+VLOOKUP($C$2,LISTAS[],2,FALSE))
   *(1+VLOOKUP($C$2,LISTAS[],3,FALSE))
)
/5,0)*5,0)</f>
        <v>163910</v>
      </c>
      <c r="Q30" s="125">
        <f t="array" ref="Q30">IFERROR(
ROUND(
IF($A$2="COSTO",
   ((B30*(1+IFERROR(VLOOKUP($D$2,COLORES[],2,FALSE),0)))+H30)
   *(1-IFERROR(_xlfn.XLOOKUP(1,(DESC_PROV[LINEA]=$B$2)*(DESC_PROV[LISTA]=$C$2),DESC_PROV[DESCUENTO]),0)),
   ((B30*(1+IFERROR(VLOOKUP($D$2,COLORES[],2,FALSE),0)))+H30)
   *(1-IFERROR(_xlfn.XLOOKUP(1,(DESC_PROV[LINEA]=$B$2)*(DESC_PROV[LISTA]=$C$2),DESC_PROV[DESCUENTO]),0))
   *(1+VLOOKUP($C$2,LISTAS[],2,FALSE))
   *(1+VLOOKUP($C$2,LISTAS[],3,FALSE))
)
/5,0)*5,0)</f>
        <v>204005</v>
      </c>
      <c r="R30" s="126">
        <f t="array" ref="R30">IFERROR(
ROUND(
IF($A$2="COSTO",
   ((B30*(1+IFERROR(VLOOKUP($D$2,COLORES[],2,FALSE),0)))+(D30+I30+D30))
   *(1-IFERROR(_xlfn.XLOOKUP(1,(DESC_PROV[LINEA]=$B$2)*(DESC_PROV[LISTA]=$C$2),DESC_PROV[DESCUENTO]),0)),
   ((B30*(1+IFERROR(VLOOKUP($D$2,COLORES[],2,FALSE),0)))+(D30+I30+D30))
   *(1-IFERROR(_xlfn.XLOOKUP(1,(DESC_PROV[LINEA]=$B$2)*(DESC_PROV[LISTA]=$C$2),DESC_PROV[DESCUENTO]),0))
   *(1+VLOOKUP($C$2,LISTAS[],2,FALSE))
   *(1+VLOOKUP($C$2,LISTAS[],3,FALSE))
)
/5,0)*5,0)</f>
        <v>226940</v>
      </c>
    </row>
    <row r="31" spans="1:18">
      <c r="A31" s="133" t="s">
        <v>166</v>
      </c>
      <c r="B31" s="125">
        <v>122155</v>
      </c>
      <c r="C31" s="125">
        <v>9802</v>
      </c>
      <c r="D31" s="125">
        <v>11837</v>
      </c>
      <c r="E31" s="125">
        <v>15715</v>
      </c>
      <c r="F31" s="125">
        <v>33965</v>
      </c>
      <c r="G31" s="125">
        <v>13027</v>
      </c>
      <c r="H31" s="125">
        <v>50561</v>
      </c>
      <c r="I31" s="125">
        <v>43411</v>
      </c>
      <c r="J31" s="124"/>
      <c r="K31" s="133" t="s">
        <v>166</v>
      </c>
      <c r="L31" s="125">
        <f t="array" ref="L31">IFERROR(
ROUND(
IF($A$2="COSTO",
   ((B31*(1+IFERROR(VLOOKUP($D$2,COLORES[],2,FALSE),0)))+C31)
   *(1-IFERROR(_xlfn.XLOOKUP(1,(DESC_PROV[LINEA]=$B$2)*(DESC_PROV[LISTA]=$C$2),DESC_PROV[DESCUENTO]),0)),
   ((B31*(1+IFERROR(VLOOKUP($D$2,COLORES[],2,FALSE),0)))+C31)
   *(1-IFERROR(_xlfn.XLOOKUP(1,(DESC_PROV[LINEA]=$B$2)*(DESC_PROV[LISTA]=$C$2),DESC_PROV[DESCUENTO]),0))
   *(1+VLOOKUP($C$2,LISTAS[],2,FALSE))
   *(1+VLOOKUP($C$2,LISTAS[],3,FALSE))
)
/5,0)*5,0)</f>
        <v>169110</v>
      </c>
      <c r="M31" s="125">
        <f t="array" ref="M31">IFERROR(
ROUND(
IF($A$2="COSTO",
   ((B31*(1+IFERROR(VLOOKUP($D$2,COLORES[],2,FALSE),0)))+D31)
   *(1-IFERROR(_xlfn.XLOOKUP(1,(DESC_PROV[LINEA]=$B$2)*(DESC_PROV[LISTA]=$C$2),DESC_PROV[DESCUENTO]),0)),
   ((B31*(1+IFERROR(VLOOKUP($D$2,COLORES[],2,FALSE),0)))+D31)
   *(1-IFERROR(_xlfn.XLOOKUP(1,(DESC_PROV[LINEA]=$B$2)*(DESC_PROV[LISTA]=$C$2),DESC_PROV[DESCUENTO]),0))
   *(1+VLOOKUP($C$2,LISTAS[],2,FALSE))
   *(1+VLOOKUP($C$2,LISTAS[],3,FALSE))
)
/5,0)*5,0)</f>
        <v>171715</v>
      </c>
      <c r="N31" s="125">
        <f t="array" ref="N31">IFERROR(
ROUND(
IF($A$2="COSTO",
   ((B31*(1+IFERROR(VLOOKUP($D$2,COLORES[],2,FALSE),0)))+E31)
   *(1-IFERROR(_xlfn.XLOOKUP(1,(DESC_PROV[LINEA]=$B$2)*(DESC_PROV[LISTA]=$C$2),DESC_PROV[DESCUENTO]),0)),
   ((B31*(1+IFERROR(VLOOKUP($D$2,COLORES[],2,FALSE),0)))+E31)
   *(1-IFERROR(_xlfn.XLOOKUP(1,(DESC_PROV[LINEA]=$B$2)*(DESC_PROV[LISTA]=$C$2),DESC_PROV[DESCUENTO]),0))
   *(1+VLOOKUP($C$2,LISTAS[],2,FALSE))
   *(1+VLOOKUP($C$2,LISTAS[],3,FALSE))
)
/5,0)*5,0)</f>
        <v>176685</v>
      </c>
      <c r="O31" s="125">
        <f t="array" ref="O31">IFERROR(
ROUND(
IF($A$2="COSTO",
   ((B31*(1+IFERROR(VLOOKUP($D$2,COLORES[],2,FALSE),0)))+F31)
   *(1-IFERROR(_xlfn.XLOOKUP(1,(DESC_PROV[LINEA]=$B$2)*(DESC_PROV[LISTA]=$C$2),DESC_PROV[DESCUENTO]),0)),
   ((B31*(1+IFERROR(VLOOKUP($D$2,COLORES[],2,FALSE),0)))+F31)
   *(1-IFERROR(_xlfn.XLOOKUP(1,(DESC_PROV[LINEA]=$B$2)*(DESC_PROV[LISTA]=$C$2),DESC_PROV[DESCUENTO]),0))
   *(1+VLOOKUP($C$2,LISTAS[],2,FALSE))
   *(1+VLOOKUP($C$2,LISTAS[],3,FALSE))
)
/5,0)*5,0)</f>
        <v>200075</v>
      </c>
      <c r="P31" s="125">
        <f t="array" ref="P31">IFERROR(
ROUND(
IF($A$2="COSTO",
   ((B31*(1+IFERROR(VLOOKUP($D$2,COLORES[],2,FALSE),0)))+G31)
   *(1-IFERROR(_xlfn.XLOOKUP(1,(DESC_PROV[LINEA]=$B$2)*(DESC_PROV[LISTA]=$C$2),DESC_PROV[DESCUENTO]),0)),
   ((B31*(1+IFERROR(VLOOKUP($D$2,COLORES[],2,FALSE),0)))+G31)
   *(1-IFERROR(_xlfn.XLOOKUP(1,(DESC_PROV[LINEA]=$B$2)*(DESC_PROV[LISTA]=$C$2),DESC_PROV[DESCUENTO]),0))
   *(1+VLOOKUP($C$2,LISTAS[],2,FALSE))
   *(1+VLOOKUP($C$2,LISTAS[],3,FALSE))
)
/5,0)*5,0)</f>
        <v>173240</v>
      </c>
      <c r="Q31" s="125">
        <f t="array" ref="Q31">IFERROR(
ROUND(
IF($A$2="COSTO",
   ((B31*(1+IFERROR(VLOOKUP($D$2,COLORES[],2,FALSE),0)))+H31)
   *(1-IFERROR(_xlfn.XLOOKUP(1,(DESC_PROV[LINEA]=$B$2)*(DESC_PROV[LISTA]=$C$2),DESC_PROV[DESCUENTO]),0)),
   ((B31*(1+IFERROR(VLOOKUP($D$2,COLORES[],2,FALSE),0)))+H31)
   *(1-IFERROR(_xlfn.XLOOKUP(1,(DESC_PROV[LINEA]=$B$2)*(DESC_PROV[LISTA]=$C$2),DESC_PROV[DESCUENTO]),0))
   *(1+VLOOKUP($C$2,LISTAS[],2,FALSE))
   *(1+VLOOKUP($C$2,LISTAS[],3,FALSE))
)
/5,0)*5,0)</f>
        <v>221340</v>
      </c>
      <c r="R31" s="126">
        <f t="array" ref="R31">IFERROR(
ROUND(
IF($A$2="COSTO",
   ((B31*(1+IFERROR(VLOOKUP($D$2,COLORES[],2,FALSE),0)))+(D31+I31+D31))
   *(1-IFERROR(_xlfn.XLOOKUP(1,(DESC_PROV[LINEA]=$B$2)*(DESC_PROV[LISTA]=$C$2),DESC_PROV[DESCUENTO]),0)),
   ((B31*(1+IFERROR(VLOOKUP($D$2,COLORES[],2,FALSE),0)))+(D31+I31+D31))
   *(1-IFERROR(_xlfn.XLOOKUP(1,(DESC_PROV[LINEA]=$B$2)*(DESC_PROV[LISTA]=$C$2),DESC_PROV[DESCUENTO]),0))
   *(1+VLOOKUP($C$2,LISTAS[],2,FALSE))
   *(1+VLOOKUP($C$2,LISTAS[],3,FALSE))
)
/5,0)*5,0)</f>
        <v>242520</v>
      </c>
    </row>
    <row r="32" spans="1:18">
      <c r="A32" s="133" t="s">
        <v>167</v>
      </c>
      <c r="B32" s="125">
        <v>127276</v>
      </c>
      <c r="C32" s="125">
        <v>11434</v>
      </c>
      <c r="D32" s="125">
        <v>13805</v>
      </c>
      <c r="E32" s="125">
        <v>18346</v>
      </c>
      <c r="F32" s="125">
        <v>39677</v>
      </c>
      <c r="G32" s="125">
        <v>15187</v>
      </c>
      <c r="H32" s="125">
        <v>58971</v>
      </c>
      <c r="I32" s="125">
        <v>46512</v>
      </c>
      <c r="J32" s="124"/>
      <c r="K32" s="133" t="s">
        <v>167</v>
      </c>
      <c r="L32" s="125">
        <f t="array" ref="L32">IFERROR(
ROUND(
IF($A$2="COSTO",
   ((B32*(1+IFERROR(VLOOKUP($D$2,COLORES[],2,FALSE),0)))+C32)
   *(1-IFERROR(_xlfn.XLOOKUP(1,(DESC_PROV[LINEA]=$B$2)*(DESC_PROV[LISTA]=$C$2),DESC_PROV[DESCUENTO]),0)),
   ((B32*(1+IFERROR(VLOOKUP($D$2,COLORES[],2,FALSE),0)))+C32)
   *(1-IFERROR(_xlfn.XLOOKUP(1,(DESC_PROV[LINEA]=$B$2)*(DESC_PROV[LISTA]=$C$2),DESC_PROV[DESCUENTO]),0))
   *(1+VLOOKUP($C$2,LISTAS[],2,FALSE))
   *(1+VLOOKUP($C$2,LISTAS[],3,FALSE))
)
/5,0)*5,0)</f>
        <v>177760</v>
      </c>
      <c r="M32" s="125">
        <f t="array" ref="M32">IFERROR(
ROUND(
IF($A$2="COSTO",
   ((B32*(1+IFERROR(VLOOKUP($D$2,COLORES[],2,FALSE),0)))+D32)
   *(1-IFERROR(_xlfn.XLOOKUP(1,(DESC_PROV[LINEA]=$B$2)*(DESC_PROV[LISTA]=$C$2),DESC_PROV[DESCUENTO]),0)),
   ((B32*(1+IFERROR(VLOOKUP($D$2,COLORES[],2,FALSE),0)))+D32)
   *(1-IFERROR(_xlfn.XLOOKUP(1,(DESC_PROV[LINEA]=$B$2)*(DESC_PROV[LISTA]=$C$2),DESC_PROV[DESCUENTO]),0))
   *(1+VLOOKUP($C$2,LISTAS[],2,FALSE))
   *(1+VLOOKUP($C$2,LISTAS[],3,FALSE))
)
/5,0)*5,0)</f>
        <v>180800</v>
      </c>
      <c r="N32" s="125">
        <f t="array" ref="N32">IFERROR(
ROUND(
IF($A$2="COSTO",
   ((B32*(1+IFERROR(VLOOKUP($D$2,COLORES[],2,FALSE),0)))+E32)
   *(1-IFERROR(_xlfn.XLOOKUP(1,(DESC_PROV[LINEA]=$B$2)*(DESC_PROV[LISTA]=$C$2),DESC_PROV[DESCUENTO]),0)),
   ((B32*(1+IFERROR(VLOOKUP($D$2,COLORES[],2,FALSE),0)))+E32)
   *(1-IFERROR(_xlfn.XLOOKUP(1,(DESC_PROV[LINEA]=$B$2)*(DESC_PROV[LISTA]=$C$2),DESC_PROV[DESCUENTO]),0))
   *(1+VLOOKUP($C$2,LISTAS[],2,FALSE))
   *(1+VLOOKUP($C$2,LISTAS[],3,FALSE))
)
/5,0)*5,0)</f>
        <v>186620</v>
      </c>
      <c r="O32" s="125">
        <f t="array" ref="O32">IFERROR(
ROUND(
IF($A$2="COSTO",
   ((B32*(1+IFERROR(VLOOKUP($D$2,COLORES[],2,FALSE),0)))+F32)
   *(1-IFERROR(_xlfn.XLOOKUP(1,(DESC_PROV[LINEA]=$B$2)*(DESC_PROV[LISTA]=$C$2),DESC_PROV[DESCUENTO]),0)),
   ((B32*(1+IFERROR(VLOOKUP($D$2,COLORES[],2,FALSE),0)))+F32)
   *(1-IFERROR(_xlfn.XLOOKUP(1,(DESC_PROV[LINEA]=$B$2)*(DESC_PROV[LISTA]=$C$2),DESC_PROV[DESCUENTO]),0))
   *(1+VLOOKUP($C$2,LISTAS[],2,FALSE))
   *(1+VLOOKUP($C$2,LISTAS[],3,FALSE))
)
/5,0)*5,0)</f>
        <v>213955</v>
      </c>
      <c r="P32" s="125">
        <f t="array" ref="P32">IFERROR(
ROUND(
IF($A$2="COSTO",
   ((B32*(1+IFERROR(VLOOKUP($D$2,COLORES[],2,FALSE),0)))+G32)
   *(1-IFERROR(_xlfn.XLOOKUP(1,(DESC_PROV[LINEA]=$B$2)*(DESC_PROV[LISTA]=$C$2),DESC_PROV[DESCUENTO]),0)),
   ((B32*(1+IFERROR(VLOOKUP($D$2,COLORES[],2,FALSE),0)))+G32)
   *(1-IFERROR(_xlfn.XLOOKUP(1,(DESC_PROV[LINEA]=$B$2)*(DESC_PROV[LISTA]=$C$2),DESC_PROV[DESCUENTO]),0))
   *(1+VLOOKUP($C$2,LISTAS[],2,FALSE))
   *(1+VLOOKUP($C$2,LISTAS[],3,FALSE))
)
/5,0)*5,0)</f>
        <v>182570</v>
      </c>
      <c r="Q32" s="125">
        <f t="array" ref="Q32">IFERROR(
ROUND(
IF($A$2="COSTO",
   ((B32*(1+IFERROR(VLOOKUP($D$2,COLORES[],2,FALSE),0)))+H32)
   *(1-IFERROR(_xlfn.XLOOKUP(1,(DESC_PROV[LINEA]=$B$2)*(DESC_PROV[LISTA]=$C$2),DESC_PROV[DESCUENTO]),0)),
   ((B32*(1+IFERROR(VLOOKUP($D$2,COLORES[],2,FALSE),0)))+H32)
   *(1-IFERROR(_xlfn.XLOOKUP(1,(DESC_PROV[LINEA]=$B$2)*(DESC_PROV[LISTA]=$C$2),DESC_PROV[DESCUENTO]),0))
   *(1+VLOOKUP($C$2,LISTAS[],2,FALSE))
   *(1+VLOOKUP($C$2,LISTAS[],3,FALSE))
)
/5,0)*5,0)</f>
        <v>238685</v>
      </c>
      <c r="R32" s="126">
        <f t="array" ref="R32">IFERROR(
ROUND(
IF($A$2="COSTO",
   ((B32*(1+IFERROR(VLOOKUP($D$2,COLORES[],2,FALSE),0)))+(D32+I32+D32))
   *(1-IFERROR(_xlfn.XLOOKUP(1,(DESC_PROV[LINEA]=$B$2)*(DESC_PROV[LISTA]=$C$2),DESC_PROV[DESCUENTO]),0)),
   ((B32*(1+IFERROR(VLOOKUP($D$2,COLORES[],2,FALSE),0)))+(D32+I32+D32))
   *(1-IFERROR(_xlfn.XLOOKUP(1,(DESC_PROV[LINEA]=$B$2)*(DESC_PROV[LISTA]=$C$2),DESC_PROV[DESCUENTO]),0))
   *(1+VLOOKUP($C$2,LISTAS[],2,FALSE))
   *(1+VLOOKUP($C$2,LISTAS[],3,FALSE))
)
/5,0)*5,0)</f>
        <v>258100</v>
      </c>
    </row>
    <row r="33" spans="1:18">
      <c r="A33" s="133" t="s">
        <v>168</v>
      </c>
      <c r="B33" s="125">
        <v>132403</v>
      </c>
      <c r="C33" s="125">
        <v>13066</v>
      </c>
      <c r="D33" s="125">
        <v>15773</v>
      </c>
      <c r="E33" s="125">
        <v>20976</v>
      </c>
      <c r="F33" s="125">
        <v>45389</v>
      </c>
      <c r="G33" s="125">
        <v>17347</v>
      </c>
      <c r="H33" s="125">
        <v>67380</v>
      </c>
      <c r="I33" s="125">
        <v>49613</v>
      </c>
      <c r="J33" s="124"/>
      <c r="K33" s="133" t="s">
        <v>168</v>
      </c>
      <c r="L33" s="125">
        <f t="array" ref="L33">IFERROR(
ROUND(
IF($A$2="COSTO",
   ((B33*(1+IFERROR(VLOOKUP($D$2,COLORES[],2,FALSE),0)))+C33)
   *(1-IFERROR(_xlfn.XLOOKUP(1,(DESC_PROV[LINEA]=$B$2)*(DESC_PROV[LISTA]=$C$2),DESC_PROV[DESCUENTO]),0)),
   ((B33*(1+IFERROR(VLOOKUP($D$2,COLORES[],2,FALSE),0)))+C33)
   *(1-IFERROR(_xlfn.XLOOKUP(1,(DESC_PROV[LINEA]=$B$2)*(DESC_PROV[LISTA]=$C$2),DESC_PROV[DESCUENTO]),0))
   *(1+VLOOKUP($C$2,LISTAS[],2,FALSE))
   *(1+VLOOKUP($C$2,LISTAS[],3,FALSE))
)
/5,0)*5,0)</f>
        <v>186425</v>
      </c>
      <c r="M33" s="125">
        <f t="array" ref="M33">IFERROR(
ROUND(
IF($A$2="COSTO",
   ((B33*(1+IFERROR(VLOOKUP($D$2,COLORES[],2,FALSE),0)))+D33)
   *(1-IFERROR(_xlfn.XLOOKUP(1,(DESC_PROV[LINEA]=$B$2)*(DESC_PROV[LISTA]=$C$2),DESC_PROV[DESCUENTO]),0)),
   ((B33*(1+IFERROR(VLOOKUP($D$2,COLORES[],2,FALSE),0)))+D33)
   *(1-IFERROR(_xlfn.XLOOKUP(1,(DESC_PROV[LINEA]=$B$2)*(DESC_PROV[LISTA]=$C$2),DESC_PROV[DESCUENTO]),0))
   *(1+VLOOKUP($C$2,LISTAS[],2,FALSE))
   *(1+VLOOKUP($C$2,LISTAS[],3,FALSE))
)
/5,0)*5,0)</f>
        <v>189895</v>
      </c>
      <c r="N33" s="125">
        <f t="array" ref="N33">IFERROR(
ROUND(
IF($A$2="COSTO",
   ((B33*(1+IFERROR(VLOOKUP($D$2,COLORES[],2,FALSE),0)))+E33)
   *(1-IFERROR(_xlfn.XLOOKUP(1,(DESC_PROV[LINEA]=$B$2)*(DESC_PROV[LISTA]=$C$2),DESC_PROV[DESCUENTO]),0)),
   ((B33*(1+IFERROR(VLOOKUP($D$2,COLORES[],2,FALSE),0)))+E33)
   *(1-IFERROR(_xlfn.XLOOKUP(1,(DESC_PROV[LINEA]=$B$2)*(DESC_PROV[LISTA]=$C$2),DESC_PROV[DESCUENTO]),0))
   *(1+VLOOKUP($C$2,LISTAS[],2,FALSE))
   *(1+VLOOKUP($C$2,LISTAS[],3,FALSE))
)
/5,0)*5,0)</f>
        <v>196560</v>
      </c>
      <c r="O33" s="125">
        <f t="array" ref="O33">IFERROR(
ROUND(
IF($A$2="COSTO",
   ((B33*(1+IFERROR(VLOOKUP($D$2,COLORES[],2,FALSE),0)))+F33)
   *(1-IFERROR(_xlfn.XLOOKUP(1,(DESC_PROV[LINEA]=$B$2)*(DESC_PROV[LISTA]=$C$2),DESC_PROV[DESCUENTO]),0)),
   ((B33*(1+IFERROR(VLOOKUP($D$2,COLORES[],2,FALSE),0)))+F33)
   *(1-IFERROR(_xlfn.XLOOKUP(1,(DESC_PROV[LINEA]=$B$2)*(DESC_PROV[LISTA]=$C$2),DESC_PROV[DESCUENTO]),0))
   *(1+VLOOKUP($C$2,LISTAS[],2,FALSE))
   *(1+VLOOKUP($C$2,LISTAS[],3,FALSE))
)
/5,0)*5,0)</f>
        <v>227850</v>
      </c>
      <c r="P33" s="125">
        <f t="array" ref="P33">IFERROR(
ROUND(
IF($A$2="COSTO",
   ((B33*(1+IFERROR(VLOOKUP($D$2,COLORES[],2,FALSE),0)))+G33)
   *(1-IFERROR(_xlfn.XLOOKUP(1,(DESC_PROV[LINEA]=$B$2)*(DESC_PROV[LISTA]=$C$2),DESC_PROV[DESCUENTO]),0)),
   ((B33*(1+IFERROR(VLOOKUP($D$2,COLORES[],2,FALSE),0)))+G33)
   *(1-IFERROR(_xlfn.XLOOKUP(1,(DESC_PROV[LINEA]=$B$2)*(DESC_PROV[LISTA]=$C$2),DESC_PROV[DESCUENTO]),0))
   *(1+VLOOKUP($C$2,LISTAS[],2,FALSE))
   *(1+VLOOKUP($C$2,LISTAS[],3,FALSE))
)
/5,0)*5,0)</f>
        <v>191910</v>
      </c>
      <c r="Q33" s="125">
        <f t="array" ref="Q33">IFERROR(
ROUND(
IF($A$2="COSTO",
   ((B33*(1+IFERROR(VLOOKUP($D$2,COLORES[],2,FALSE),0)))+H33)
   *(1-IFERROR(_xlfn.XLOOKUP(1,(DESC_PROV[LINEA]=$B$2)*(DESC_PROV[LISTA]=$C$2),DESC_PROV[DESCUENTO]),0)),
   ((B33*(1+IFERROR(VLOOKUP($D$2,COLORES[],2,FALSE),0)))+H33)
   *(1-IFERROR(_xlfn.XLOOKUP(1,(DESC_PROV[LINEA]=$B$2)*(DESC_PROV[LISTA]=$C$2),DESC_PROV[DESCUENTO]),0))
   *(1+VLOOKUP($C$2,LISTAS[],2,FALSE))
   *(1+VLOOKUP($C$2,LISTAS[],3,FALSE))
)
/5,0)*5,0)</f>
        <v>256030</v>
      </c>
      <c r="R33" s="126">
        <f t="array" ref="R33">IFERROR(
ROUND(
IF($A$2="COSTO",
   ((B33*(1+IFERROR(VLOOKUP($D$2,COLORES[],2,FALSE),0)))+(D33+I33+D33))
   *(1-IFERROR(_xlfn.XLOOKUP(1,(DESC_PROV[LINEA]=$B$2)*(DESC_PROV[LISTA]=$C$2),DESC_PROV[DESCUENTO]),0)),
   ((B33*(1+IFERROR(VLOOKUP($D$2,COLORES[],2,FALSE),0)))+(D33+I33+D33))
   *(1-IFERROR(_xlfn.XLOOKUP(1,(DESC_PROV[LINEA]=$B$2)*(DESC_PROV[LISTA]=$C$2),DESC_PROV[DESCUENTO]),0))
   *(1+VLOOKUP($C$2,LISTAS[],2,FALSE))
   *(1+VLOOKUP($C$2,LISTAS[],3,FALSE))
)
/5,0)*5,0)</f>
        <v>273690</v>
      </c>
    </row>
    <row r="34" spans="1:18">
      <c r="A34" s="133" t="s">
        <v>169</v>
      </c>
      <c r="B34" s="125">
        <v>137537</v>
      </c>
      <c r="C34" s="125">
        <v>14698</v>
      </c>
      <c r="D34" s="125">
        <v>17741</v>
      </c>
      <c r="E34" s="125">
        <v>23606</v>
      </c>
      <c r="F34" s="125">
        <v>51101</v>
      </c>
      <c r="G34" s="125">
        <v>19507</v>
      </c>
      <c r="H34" s="125">
        <v>75790</v>
      </c>
      <c r="I34" s="125">
        <v>52714</v>
      </c>
      <c r="J34" s="124"/>
      <c r="K34" s="133" t="s">
        <v>169</v>
      </c>
      <c r="L34" s="125">
        <f t="array" ref="L34">IFERROR(
ROUND(
IF($A$2="COSTO",
   ((B34*(1+IFERROR(VLOOKUP($D$2,COLORES[],2,FALSE),0)))+C34)
   *(1-IFERROR(_xlfn.XLOOKUP(1,(DESC_PROV[LINEA]=$B$2)*(DESC_PROV[LISTA]=$C$2),DESC_PROV[DESCUENTO]),0)),
   ((B34*(1+IFERROR(VLOOKUP($D$2,COLORES[],2,FALSE),0)))+C34)
   *(1-IFERROR(_xlfn.XLOOKUP(1,(DESC_PROV[LINEA]=$B$2)*(DESC_PROV[LISTA]=$C$2),DESC_PROV[DESCUENTO]),0))
   *(1+VLOOKUP($C$2,LISTAS[],2,FALSE))
   *(1+VLOOKUP($C$2,LISTAS[],3,FALSE))
)
/5,0)*5,0)</f>
        <v>195095</v>
      </c>
      <c r="M34" s="125">
        <f t="array" ref="M34">IFERROR(
ROUND(
IF($A$2="COSTO",
   ((B34*(1+IFERROR(VLOOKUP($D$2,COLORES[],2,FALSE),0)))+D34)
   *(1-IFERROR(_xlfn.XLOOKUP(1,(DESC_PROV[LINEA]=$B$2)*(DESC_PROV[LISTA]=$C$2),DESC_PROV[DESCUENTO]),0)),
   ((B34*(1+IFERROR(VLOOKUP($D$2,COLORES[],2,FALSE),0)))+D34)
   *(1-IFERROR(_xlfn.XLOOKUP(1,(DESC_PROV[LINEA]=$B$2)*(DESC_PROV[LISTA]=$C$2),DESC_PROV[DESCUENTO]),0))
   *(1+VLOOKUP($C$2,LISTAS[],2,FALSE))
   *(1+VLOOKUP($C$2,LISTAS[],3,FALSE))
)
/5,0)*5,0)</f>
        <v>198995</v>
      </c>
      <c r="N34" s="125">
        <f t="array" ref="N34">IFERROR(
ROUND(
IF($A$2="COSTO",
   ((B34*(1+IFERROR(VLOOKUP($D$2,COLORES[],2,FALSE),0)))+E34)
   *(1-IFERROR(_xlfn.XLOOKUP(1,(DESC_PROV[LINEA]=$B$2)*(DESC_PROV[LISTA]=$C$2),DESC_PROV[DESCUENTO]),0)),
   ((B34*(1+IFERROR(VLOOKUP($D$2,COLORES[],2,FALSE),0)))+E34)
   *(1-IFERROR(_xlfn.XLOOKUP(1,(DESC_PROV[LINEA]=$B$2)*(DESC_PROV[LISTA]=$C$2),DESC_PROV[DESCUENTO]),0))
   *(1+VLOOKUP($C$2,LISTAS[],2,FALSE))
   *(1+VLOOKUP($C$2,LISTAS[],3,FALSE))
)
/5,0)*5,0)</f>
        <v>206510</v>
      </c>
      <c r="O34" s="125">
        <f t="array" ref="O34">IFERROR(
ROUND(
IF($A$2="COSTO",
   ((B34*(1+IFERROR(VLOOKUP($D$2,COLORES[],2,FALSE),0)))+F34)
   *(1-IFERROR(_xlfn.XLOOKUP(1,(DESC_PROV[LINEA]=$B$2)*(DESC_PROV[LISTA]=$C$2),DESC_PROV[DESCUENTO]),0)),
   ((B34*(1+IFERROR(VLOOKUP($D$2,COLORES[],2,FALSE),0)))+F34)
   *(1-IFERROR(_xlfn.XLOOKUP(1,(DESC_PROV[LINEA]=$B$2)*(DESC_PROV[LISTA]=$C$2),DESC_PROV[DESCUENTO]),0))
   *(1+VLOOKUP($C$2,LISTAS[],2,FALSE))
   *(1+VLOOKUP($C$2,LISTAS[],3,FALSE))
)
/5,0)*5,0)</f>
        <v>241745</v>
      </c>
      <c r="P34" s="125">
        <f t="array" ref="P34">IFERROR(
ROUND(
IF($A$2="COSTO",
   ((B34*(1+IFERROR(VLOOKUP($D$2,COLORES[],2,FALSE),0)))+G34)
   *(1-IFERROR(_xlfn.XLOOKUP(1,(DESC_PROV[LINEA]=$B$2)*(DESC_PROV[LISTA]=$C$2),DESC_PROV[DESCUENTO]),0)),
   ((B34*(1+IFERROR(VLOOKUP($D$2,COLORES[],2,FALSE),0)))+G34)
   *(1-IFERROR(_xlfn.XLOOKUP(1,(DESC_PROV[LINEA]=$B$2)*(DESC_PROV[LISTA]=$C$2),DESC_PROV[DESCUENTO]),0))
   *(1+VLOOKUP($C$2,LISTAS[],2,FALSE))
   *(1+VLOOKUP($C$2,LISTAS[],3,FALSE))
)
/5,0)*5,0)</f>
        <v>201260</v>
      </c>
      <c r="Q34" s="125">
        <f t="array" ref="Q34">IFERROR(
ROUND(
IF($A$2="COSTO",
   ((B34*(1+IFERROR(VLOOKUP($D$2,COLORES[],2,FALSE),0)))+H34)
   *(1-IFERROR(_xlfn.XLOOKUP(1,(DESC_PROV[LINEA]=$B$2)*(DESC_PROV[LISTA]=$C$2),DESC_PROV[DESCUENTO]),0)),
   ((B34*(1+IFERROR(VLOOKUP($D$2,COLORES[],2,FALSE),0)))+H34)
   *(1-IFERROR(_xlfn.XLOOKUP(1,(DESC_PROV[LINEA]=$B$2)*(DESC_PROV[LISTA]=$C$2),DESC_PROV[DESCUENTO]),0))
   *(1+VLOOKUP($C$2,LISTAS[],2,FALSE))
   *(1+VLOOKUP($C$2,LISTAS[],3,FALSE))
)
/5,0)*5,0)</f>
        <v>273385</v>
      </c>
      <c r="R34" s="126">
        <f t="array" ref="R34">IFERROR(
ROUND(
IF($A$2="COSTO",
   ((B34*(1+IFERROR(VLOOKUP($D$2,COLORES[],2,FALSE),0)))+(D34+I34+D34))
   *(1-IFERROR(_xlfn.XLOOKUP(1,(DESC_PROV[LINEA]=$B$2)*(DESC_PROV[LISTA]=$C$2),DESC_PROV[DESCUENTO]),0)),
   ((B34*(1+IFERROR(VLOOKUP($D$2,COLORES[],2,FALSE),0)))+(D34+I34+D34))
   *(1-IFERROR(_xlfn.XLOOKUP(1,(DESC_PROV[LINEA]=$B$2)*(DESC_PROV[LISTA]=$C$2),DESC_PROV[DESCUENTO]),0))
   *(1+VLOOKUP($C$2,LISTAS[],2,FALSE))
   *(1+VLOOKUP($C$2,LISTAS[],3,FALSE))
)
/5,0)*5,0)</f>
        <v>289285</v>
      </c>
    </row>
    <row r="35" spans="1:18">
      <c r="A35" s="133" t="s">
        <v>170</v>
      </c>
      <c r="B35" s="125">
        <v>111894</v>
      </c>
      <c r="C35" s="125">
        <v>5712</v>
      </c>
      <c r="D35" s="125">
        <v>6922</v>
      </c>
      <c r="E35" s="125">
        <v>9130</v>
      </c>
      <c r="F35" s="125">
        <v>19747</v>
      </c>
      <c r="G35" s="125">
        <v>7642</v>
      </c>
      <c r="H35" s="125">
        <v>29560</v>
      </c>
      <c r="I35" s="125">
        <v>37210</v>
      </c>
      <c r="J35" s="124"/>
      <c r="K35" s="133" t="s">
        <v>170</v>
      </c>
      <c r="L35" s="125">
        <f t="array" ref="L35">IFERROR(
ROUND(
IF($A$2="COSTO",
   ((B35*(1+IFERROR(VLOOKUP($D$2,COLORES[],2,FALSE),0)))+C35)
   *(1-IFERROR(_xlfn.XLOOKUP(1,(DESC_PROV[LINEA]=$B$2)*(DESC_PROV[LISTA]=$C$2),DESC_PROV[DESCUENTO]),0)),
   ((B35*(1+IFERROR(VLOOKUP($D$2,COLORES[],2,FALSE),0)))+C35)
   *(1-IFERROR(_xlfn.XLOOKUP(1,(DESC_PROV[LINEA]=$B$2)*(DESC_PROV[LISTA]=$C$2),DESC_PROV[DESCUENTO]),0))
   *(1+VLOOKUP($C$2,LISTAS[],2,FALSE))
   *(1+VLOOKUP($C$2,LISTAS[],3,FALSE))
)
/5,0)*5,0)</f>
        <v>150715</v>
      </c>
      <c r="M35" s="125">
        <f t="array" ref="M35">IFERROR(
ROUND(
IF($A$2="COSTO",
   ((B35*(1+IFERROR(VLOOKUP($D$2,COLORES[],2,FALSE),0)))+D35)
   *(1-IFERROR(_xlfn.XLOOKUP(1,(DESC_PROV[LINEA]=$B$2)*(DESC_PROV[LISTA]=$C$2),DESC_PROV[DESCUENTO]),0)),
   ((B35*(1+IFERROR(VLOOKUP($D$2,COLORES[],2,FALSE),0)))+D35)
   *(1-IFERROR(_xlfn.XLOOKUP(1,(DESC_PROV[LINEA]=$B$2)*(DESC_PROV[LISTA]=$C$2),DESC_PROV[DESCUENTO]),0))
   *(1+VLOOKUP($C$2,LISTAS[],2,FALSE))
   *(1+VLOOKUP($C$2,LISTAS[],3,FALSE))
)
/5,0)*5,0)</f>
        <v>152265</v>
      </c>
      <c r="N35" s="125">
        <f t="array" ref="N35">IFERROR(
ROUND(
IF($A$2="COSTO",
   ((B35*(1+IFERROR(VLOOKUP($D$2,COLORES[],2,FALSE),0)))+E35)
   *(1-IFERROR(_xlfn.XLOOKUP(1,(DESC_PROV[LINEA]=$B$2)*(DESC_PROV[LISTA]=$C$2),DESC_PROV[DESCUENTO]),0)),
   ((B35*(1+IFERROR(VLOOKUP($D$2,COLORES[],2,FALSE),0)))+E35)
   *(1-IFERROR(_xlfn.XLOOKUP(1,(DESC_PROV[LINEA]=$B$2)*(DESC_PROV[LISTA]=$C$2),DESC_PROV[DESCUENTO]),0))
   *(1+VLOOKUP($C$2,LISTAS[],2,FALSE))
   *(1+VLOOKUP($C$2,LISTAS[],3,FALSE))
)
/5,0)*5,0)</f>
        <v>155095</v>
      </c>
      <c r="O35" s="125">
        <f t="array" ref="O35">IFERROR(
ROUND(
IF($A$2="COSTO",
   ((B35*(1+IFERROR(VLOOKUP($D$2,COLORES[],2,FALSE),0)))+F35)
   *(1-IFERROR(_xlfn.XLOOKUP(1,(DESC_PROV[LINEA]=$B$2)*(DESC_PROV[LISTA]=$C$2),DESC_PROV[DESCUENTO]),0)),
   ((B35*(1+IFERROR(VLOOKUP($D$2,COLORES[],2,FALSE),0)))+F35)
   *(1-IFERROR(_xlfn.XLOOKUP(1,(DESC_PROV[LINEA]=$B$2)*(DESC_PROV[LISTA]=$C$2),DESC_PROV[DESCUENTO]),0))
   *(1+VLOOKUP($C$2,LISTAS[],2,FALSE))
   *(1+VLOOKUP($C$2,LISTAS[],3,FALSE))
)
/5,0)*5,0)</f>
        <v>168705</v>
      </c>
      <c r="P35" s="125">
        <f t="array" ref="P35">IFERROR(
ROUND(
IF($A$2="COSTO",
   ((B35*(1+IFERROR(VLOOKUP($D$2,COLORES[],2,FALSE),0)))+G35)
   *(1-IFERROR(_xlfn.XLOOKUP(1,(DESC_PROV[LINEA]=$B$2)*(DESC_PROV[LISTA]=$C$2),DESC_PROV[DESCUENTO]),0)),
   ((B35*(1+IFERROR(VLOOKUP($D$2,COLORES[],2,FALSE),0)))+G35)
   *(1-IFERROR(_xlfn.XLOOKUP(1,(DESC_PROV[LINEA]=$B$2)*(DESC_PROV[LISTA]=$C$2),DESC_PROV[DESCUENTO]),0))
   *(1+VLOOKUP($C$2,LISTAS[],2,FALSE))
   *(1+VLOOKUP($C$2,LISTAS[],3,FALSE))
)
/5,0)*5,0)</f>
        <v>153190</v>
      </c>
      <c r="Q35" s="125">
        <f t="array" ref="Q35">IFERROR(
ROUND(
IF($A$2="COSTO",
   ((B35*(1+IFERROR(VLOOKUP($D$2,COLORES[],2,FALSE),0)))+H35)
   *(1-IFERROR(_xlfn.XLOOKUP(1,(DESC_PROV[LINEA]=$B$2)*(DESC_PROV[LISTA]=$C$2),DESC_PROV[DESCUENTO]),0)),
   ((B35*(1+IFERROR(VLOOKUP($D$2,COLORES[],2,FALSE),0)))+H35)
   *(1-IFERROR(_xlfn.XLOOKUP(1,(DESC_PROV[LINEA]=$B$2)*(DESC_PROV[LISTA]=$C$2),DESC_PROV[DESCUENTO]),0))
   *(1+VLOOKUP($C$2,LISTAS[],2,FALSE))
   *(1+VLOOKUP($C$2,LISTAS[],3,FALSE))
)
/5,0)*5,0)</f>
        <v>181280</v>
      </c>
      <c r="R35" s="126">
        <f t="array" ref="R35">IFERROR(
ROUND(
IF($A$2="COSTO",
   ((B35*(1+IFERROR(VLOOKUP($D$2,COLORES[],2,FALSE),0)))+(D35+I35+D35))
   *(1-IFERROR(_xlfn.XLOOKUP(1,(DESC_PROV[LINEA]=$B$2)*(DESC_PROV[LISTA]=$C$2),DESC_PROV[DESCUENTO]),0)),
   ((B35*(1+IFERROR(VLOOKUP($D$2,COLORES[],2,FALSE),0)))+(D35+I35+D35))
   *(1-IFERROR(_xlfn.XLOOKUP(1,(DESC_PROV[LINEA]=$B$2)*(DESC_PROV[LISTA]=$C$2),DESC_PROV[DESCUENTO]),0))
   *(1+VLOOKUP($C$2,LISTAS[],2,FALSE))
   *(1+VLOOKUP($C$2,LISTAS[],3,FALSE))
)
/5,0)*5,0)</f>
        <v>208825</v>
      </c>
    </row>
    <row r="36" spans="1:18">
      <c r="A36" s="133" t="s">
        <v>260</v>
      </c>
      <c r="B36" s="125">
        <v>122155</v>
      </c>
      <c r="C36" s="125">
        <v>9523</v>
      </c>
      <c r="D36" s="125">
        <v>11510</v>
      </c>
      <c r="E36" s="125">
        <v>15274</v>
      </c>
      <c r="F36" s="125">
        <v>33034</v>
      </c>
      <c r="G36" s="125">
        <v>12672</v>
      </c>
      <c r="H36" s="125">
        <v>49167</v>
      </c>
      <c r="I36" s="125">
        <v>43411</v>
      </c>
      <c r="J36" s="124"/>
      <c r="K36" s="133" t="s">
        <v>260</v>
      </c>
      <c r="L36" s="125">
        <f t="array" ref="L36">IFERROR(
ROUND(
IF($A$2="COSTO",
   ((B36*(1+IFERROR(VLOOKUP($D$2,COLORES[],2,FALSE),0)))+C36)
   *(1-IFERROR(_xlfn.XLOOKUP(1,(DESC_PROV[LINEA]=$B$2)*(DESC_PROV[LISTA]=$C$2),DESC_PROV[DESCUENTO]),0)),
   ((B36*(1+IFERROR(VLOOKUP($D$2,COLORES[],2,FALSE),0)))+C36)
   *(1-IFERROR(_xlfn.XLOOKUP(1,(DESC_PROV[LINEA]=$B$2)*(DESC_PROV[LISTA]=$C$2),DESC_PROV[DESCUENTO]),0))
   *(1+VLOOKUP($C$2,LISTAS[],2,FALSE))
   *(1+VLOOKUP($C$2,LISTAS[],3,FALSE))
)
/5,0)*5,0)</f>
        <v>168750</v>
      </c>
      <c r="M36" s="125">
        <f t="array" ref="M36">IFERROR(
ROUND(
IF($A$2="COSTO",
   ((B36*(1+IFERROR(VLOOKUP($D$2,COLORES[],2,FALSE),0)))+D36)
   *(1-IFERROR(_xlfn.XLOOKUP(1,(DESC_PROV[LINEA]=$B$2)*(DESC_PROV[LISTA]=$C$2),DESC_PROV[DESCUENTO]),0)),
   ((B36*(1+IFERROR(VLOOKUP($D$2,COLORES[],2,FALSE),0)))+D36)
   *(1-IFERROR(_xlfn.XLOOKUP(1,(DESC_PROV[LINEA]=$B$2)*(DESC_PROV[LISTA]=$C$2),DESC_PROV[DESCUENTO]),0))
   *(1+VLOOKUP($C$2,LISTAS[],2,FALSE))
   *(1+VLOOKUP($C$2,LISTAS[],3,FALSE))
)
/5,0)*5,0)</f>
        <v>171295</v>
      </c>
      <c r="N36" s="125">
        <f t="array" ref="N36">IFERROR(
ROUND(
IF($A$2="COSTO",
   ((B36*(1+IFERROR(VLOOKUP($D$2,COLORES[],2,FALSE),0)))+E36)
   *(1-IFERROR(_xlfn.XLOOKUP(1,(DESC_PROV[LINEA]=$B$2)*(DESC_PROV[LISTA]=$C$2),DESC_PROV[DESCUENTO]),0)),
   ((B36*(1+IFERROR(VLOOKUP($D$2,COLORES[],2,FALSE),0)))+E36)
   *(1-IFERROR(_xlfn.XLOOKUP(1,(DESC_PROV[LINEA]=$B$2)*(DESC_PROV[LISTA]=$C$2),DESC_PROV[DESCUENTO]),0))
   *(1+VLOOKUP($C$2,LISTAS[],2,FALSE))
   *(1+VLOOKUP($C$2,LISTAS[],3,FALSE))
)
/5,0)*5,0)</f>
        <v>176120</v>
      </c>
      <c r="O36" s="125">
        <f t="array" ref="O36">IFERROR(
ROUND(
IF($A$2="COSTO",
   ((B36*(1+IFERROR(VLOOKUP($D$2,COLORES[],2,FALSE),0)))+F36)
   *(1-IFERROR(_xlfn.XLOOKUP(1,(DESC_PROV[LINEA]=$B$2)*(DESC_PROV[LISTA]=$C$2),DESC_PROV[DESCUENTO]),0)),
   ((B36*(1+IFERROR(VLOOKUP($D$2,COLORES[],2,FALSE),0)))+F36)
   *(1-IFERROR(_xlfn.XLOOKUP(1,(DESC_PROV[LINEA]=$B$2)*(DESC_PROV[LISTA]=$C$2),DESC_PROV[DESCUENTO]),0))
   *(1+VLOOKUP($C$2,LISTAS[],2,FALSE))
   *(1+VLOOKUP($C$2,LISTAS[],3,FALSE))
)
/5,0)*5,0)</f>
        <v>198880</v>
      </c>
      <c r="P36" s="125">
        <f t="array" ref="P36">IFERROR(
ROUND(
IF($A$2="COSTO",
   ((B36*(1+IFERROR(VLOOKUP($D$2,COLORES[],2,FALSE),0)))+G36)
   *(1-IFERROR(_xlfn.XLOOKUP(1,(DESC_PROV[LINEA]=$B$2)*(DESC_PROV[LISTA]=$C$2),DESC_PROV[DESCUENTO]),0)),
   ((B36*(1+IFERROR(VLOOKUP($D$2,COLORES[],2,FALSE),0)))+G36)
   *(1-IFERROR(_xlfn.XLOOKUP(1,(DESC_PROV[LINEA]=$B$2)*(DESC_PROV[LISTA]=$C$2),DESC_PROV[DESCUENTO]),0))
   *(1+VLOOKUP($C$2,LISTAS[],2,FALSE))
   *(1+VLOOKUP($C$2,LISTAS[],3,FALSE))
)
/5,0)*5,0)</f>
        <v>172785</v>
      </c>
      <c r="Q36" s="125">
        <f t="array" ref="Q36">IFERROR(
ROUND(
IF($A$2="COSTO",
   ((B36*(1+IFERROR(VLOOKUP($D$2,COLORES[],2,FALSE),0)))+H36)
   *(1-IFERROR(_xlfn.XLOOKUP(1,(DESC_PROV[LINEA]=$B$2)*(DESC_PROV[LISTA]=$C$2),DESC_PROV[DESCUENTO]),0)),
   ((B36*(1+IFERROR(VLOOKUP($D$2,COLORES[],2,FALSE),0)))+H36)
   *(1-IFERROR(_xlfn.XLOOKUP(1,(DESC_PROV[LINEA]=$B$2)*(DESC_PROV[LISTA]=$C$2),DESC_PROV[DESCUENTO]),0))
   *(1+VLOOKUP($C$2,LISTAS[],2,FALSE))
   *(1+VLOOKUP($C$2,LISTAS[],3,FALSE))
)
/5,0)*5,0)</f>
        <v>219555</v>
      </c>
      <c r="R36" s="126">
        <f t="array" ref="R36">IFERROR(
ROUND(
IF($A$2="COSTO",
   ((B36*(1+IFERROR(VLOOKUP($D$2,COLORES[],2,FALSE),0)))+(D36+I36+D36))
   *(1-IFERROR(_xlfn.XLOOKUP(1,(DESC_PROV[LINEA]=$B$2)*(DESC_PROV[LISTA]=$C$2),DESC_PROV[DESCUENTO]),0)),
   ((B36*(1+IFERROR(VLOOKUP($D$2,COLORES[],2,FALSE),0)))+(D36+I36+D36))
   *(1-IFERROR(_xlfn.XLOOKUP(1,(DESC_PROV[LINEA]=$B$2)*(DESC_PROV[LISTA]=$C$2),DESC_PROV[DESCUENTO]),0))
   *(1+VLOOKUP($C$2,LISTAS[],2,FALSE))
   *(1+VLOOKUP($C$2,LISTAS[],3,FALSE))
)
/5,0)*5,0)</f>
        <v>241680</v>
      </c>
    </row>
    <row r="37" spans="1:18">
      <c r="A37" s="133" t="s">
        <v>172</v>
      </c>
      <c r="B37" s="125">
        <v>127276</v>
      </c>
      <c r="C37" s="125">
        <v>11434</v>
      </c>
      <c r="D37" s="125">
        <v>13805</v>
      </c>
      <c r="E37" s="125">
        <v>18346</v>
      </c>
      <c r="F37" s="125">
        <v>39677</v>
      </c>
      <c r="G37" s="125">
        <v>15187</v>
      </c>
      <c r="H37" s="125">
        <v>58971</v>
      </c>
      <c r="I37" s="125">
        <v>46512</v>
      </c>
      <c r="J37" s="124"/>
      <c r="K37" s="133" t="s">
        <v>172</v>
      </c>
      <c r="L37" s="125">
        <f t="array" ref="L37">IFERROR(
ROUND(
IF($A$2="COSTO",
   ((B37*(1+IFERROR(VLOOKUP($D$2,COLORES[],2,FALSE),0)))+C37)
   *(1-IFERROR(_xlfn.XLOOKUP(1,(DESC_PROV[LINEA]=$B$2)*(DESC_PROV[LISTA]=$C$2),DESC_PROV[DESCUENTO]),0)),
   ((B37*(1+IFERROR(VLOOKUP($D$2,COLORES[],2,FALSE),0)))+C37)
   *(1-IFERROR(_xlfn.XLOOKUP(1,(DESC_PROV[LINEA]=$B$2)*(DESC_PROV[LISTA]=$C$2),DESC_PROV[DESCUENTO]),0))
   *(1+VLOOKUP($C$2,LISTAS[],2,FALSE))
   *(1+VLOOKUP($C$2,LISTAS[],3,FALSE))
)
/5,0)*5,0)</f>
        <v>177760</v>
      </c>
      <c r="M37" s="125">
        <f t="array" ref="M37">IFERROR(
ROUND(
IF($A$2="COSTO",
   ((B37*(1+IFERROR(VLOOKUP($D$2,COLORES[],2,FALSE),0)))+D37)
   *(1-IFERROR(_xlfn.XLOOKUP(1,(DESC_PROV[LINEA]=$B$2)*(DESC_PROV[LISTA]=$C$2),DESC_PROV[DESCUENTO]),0)),
   ((B37*(1+IFERROR(VLOOKUP($D$2,COLORES[],2,FALSE),0)))+D37)
   *(1-IFERROR(_xlfn.XLOOKUP(1,(DESC_PROV[LINEA]=$B$2)*(DESC_PROV[LISTA]=$C$2),DESC_PROV[DESCUENTO]),0))
   *(1+VLOOKUP($C$2,LISTAS[],2,FALSE))
   *(1+VLOOKUP($C$2,LISTAS[],3,FALSE))
)
/5,0)*5,0)</f>
        <v>180800</v>
      </c>
      <c r="N37" s="125">
        <f t="array" ref="N37">IFERROR(
ROUND(
IF($A$2="COSTO",
   ((B37*(1+IFERROR(VLOOKUP($D$2,COLORES[],2,FALSE),0)))+E37)
   *(1-IFERROR(_xlfn.XLOOKUP(1,(DESC_PROV[LINEA]=$B$2)*(DESC_PROV[LISTA]=$C$2),DESC_PROV[DESCUENTO]),0)),
   ((B37*(1+IFERROR(VLOOKUP($D$2,COLORES[],2,FALSE),0)))+E37)
   *(1-IFERROR(_xlfn.XLOOKUP(1,(DESC_PROV[LINEA]=$B$2)*(DESC_PROV[LISTA]=$C$2),DESC_PROV[DESCUENTO]),0))
   *(1+VLOOKUP($C$2,LISTAS[],2,FALSE))
   *(1+VLOOKUP($C$2,LISTAS[],3,FALSE))
)
/5,0)*5,0)</f>
        <v>186620</v>
      </c>
      <c r="O37" s="125">
        <f t="array" ref="O37">IFERROR(
ROUND(
IF($A$2="COSTO",
   ((B37*(1+IFERROR(VLOOKUP($D$2,COLORES[],2,FALSE),0)))+F37)
   *(1-IFERROR(_xlfn.XLOOKUP(1,(DESC_PROV[LINEA]=$B$2)*(DESC_PROV[LISTA]=$C$2),DESC_PROV[DESCUENTO]),0)),
   ((B37*(1+IFERROR(VLOOKUP($D$2,COLORES[],2,FALSE),0)))+F37)
   *(1-IFERROR(_xlfn.XLOOKUP(1,(DESC_PROV[LINEA]=$B$2)*(DESC_PROV[LISTA]=$C$2),DESC_PROV[DESCUENTO]),0))
   *(1+VLOOKUP($C$2,LISTAS[],2,FALSE))
   *(1+VLOOKUP($C$2,LISTAS[],3,FALSE))
)
/5,0)*5,0)</f>
        <v>213955</v>
      </c>
      <c r="P37" s="125">
        <f t="array" ref="P37">IFERROR(
ROUND(
IF($A$2="COSTO",
   ((B37*(1+IFERROR(VLOOKUP($D$2,COLORES[],2,FALSE),0)))+G37)
   *(1-IFERROR(_xlfn.XLOOKUP(1,(DESC_PROV[LINEA]=$B$2)*(DESC_PROV[LISTA]=$C$2),DESC_PROV[DESCUENTO]),0)),
   ((B37*(1+IFERROR(VLOOKUP($D$2,COLORES[],2,FALSE),0)))+G37)
   *(1-IFERROR(_xlfn.XLOOKUP(1,(DESC_PROV[LINEA]=$B$2)*(DESC_PROV[LISTA]=$C$2),DESC_PROV[DESCUENTO]),0))
   *(1+VLOOKUP($C$2,LISTAS[],2,FALSE))
   *(1+VLOOKUP($C$2,LISTAS[],3,FALSE))
)
/5,0)*5,0)</f>
        <v>182570</v>
      </c>
      <c r="Q37" s="125">
        <f t="array" ref="Q37">IFERROR(
ROUND(
IF($A$2="COSTO",
   ((B37*(1+IFERROR(VLOOKUP($D$2,COLORES[],2,FALSE),0)))+H37)
   *(1-IFERROR(_xlfn.XLOOKUP(1,(DESC_PROV[LINEA]=$B$2)*(DESC_PROV[LISTA]=$C$2),DESC_PROV[DESCUENTO]),0)),
   ((B37*(1+IFERROR(VLOOKUP($D$2,COLORES[],2,FALSE),0)))+H37)
   *(1-IFERROR(_xlfn.XLOOKUP(1,(DESC_PROV[LINEA]=$B$2)*(DESC_PROV[LISTA]=$C$2),DESC_PROV[DESCUENTO]),0))
   *(1+VLOOKUP($C$2,LISTAS[],2,FALSE))
   *(1+VLOOKUP($C$2,LISTAS[],3,FALSE))
)
/5,0)*5,0)</f>
        <v>238685</v>
      </c>
      <c r="R37" s="126">
        <f t="array" ref="R37">IFERROR(
ROUND(
IF($A$2="COSTO",
   ((B37*(1+IFERROR(VLOOKUP($D$2,COLORES[],2,FALSE),0)))+(D37+I37+D37))
   *(1-IFERROR(_xlfn.XLOOKUP(1,(DESC_PROV[LINEA]=$B$2)*(DESC_PROV[LISTA]=$C$2),DESC_PROV[DESCUENTO]),0)),
   ((B37*(1+IFERROR(VLOOKUP($D$2,COLORES[],2,FALSE),0)))+(D37+I37+D37))
   *(1-IFERROR(_xlfn.XLOOKUP(1,(DESC_PROV[LINEA]=$B$2)*(DESC_PROV[LISTA]=$C$2),DESC_PROV[DESCUENTO]),0))
   *(1+VLOOKUP($C$2,LISTAS[],2,FALSE))
   *(1+VLOOKUP($C$2,LISTAS[],3,FALSE))
)
/5,0)*5,0)</f>
        <v>258100</v>
      </c>
    </row>
    <row r="38" spans="1:18">
      <c r="A38" s="133" t="s">
        <v>173</v>
      </c>
      <c r="B38" s="125">
        <v>132403</v>
      </c>
      <c r="C38" s="125">
        <v>13334</v>
      </c>
      <c r="D38" s="125">
        <v>16099</v>
      </c>
      <c r="E38" s="125">
        <v>21418</v>
      </c>
      <c r="F38" s="125">
        <v>46320</v>
      </c>
      <c r="G38" s="125">
        <v>17702</v>
      </c>
      <c r="H38" s="125">
        <v>68774</v>
      </c>
      <c r="I38" s="125">
        <v>49613</v>
      </c>
      <c r="J38" s="124"/>
      <c r="K38" s="133" t="s">
        <v>173</v>
      </c>
      <c r="L38" s="125">
        <f t="array" ref="L38">IFERROR(
ROUND(
IF($A$2="COSTO",
   ((B38*(1+IFERROR(VLOOKUP($D$2,COLORES[],2,FALSE),0)))+C38)
   *(1-IFERROR(_xlfn.XLOOKUP(1,(DESC_PROV[LINEA]=$B$2)*(DESC_PROV[LISTA]=$C$2),DESC_PROV[DESCUENTO]),0)),
   ((B38*(1+IFERROR(VLOOKUP($D$2,COLORES[],2,FALSE),0)))+C38)
   *(1-IFERROR(_xlfn.XLOOKUP(1,(DESC_PROV[LINEA]=$B$2)*(DESC_PROV[LISTA]=$C$2),DESC_PROV[DESCUENTO]),0))
   *(1+VLOOKUP($C$2,LISTAS[],2,FALSE))
   *(1+VLOOKUP($C$2,LISTAS[],3,FALSE))
)
/5,0)*5,0)</f>
        <v>186770</v>
      </c>
      <c r="M38" s="125">
        <f t="array" ref="M38">IFERROR(
ROUND(
IF($A$2="COSTO",
   ((B38*(1+IFERROR(VLOOKUP($D$2,COLORES[],2,FALSE),0)))+D38)
   *(1-IFERROR(_xlfn.XLOOKUP(1,(DESC_PROV[LINEA]=$B$2)*(DESC_PROV[LISTA]=$C$2),DESC_PROV[DESCUENTO]),0)),
   ((B38*(1+IFERROR(VLOOKUP($D$2,COLORES[],2,FALSE),0)))+D38)
   *(1-IFERROR(_xlfn.XLOOKUP(1,(DESC_PROV[LINEA]=$B$2)*(DESC_PROV[LISTA]=$C$2),DESC_PROV[DESCUENTO]),0))
   *(1+VLOOKUP($C$2,LISTAS[],2,FALSE))
   *(1+VLOOKUP($C$2,LISTAS[],3,FALSE))
)
/5,0)*5,0)</f>
        <v>190310</v>
      </c>
      <c r="N38" s="125">
        <f t="array" ref="N38">IFERROR(
ROUND(
IF($A$2="COSTO",
   ((B38*(1+IFERROR(VLOOKUP($D$2,COLORES[],2,FALSE),0)))+E38)
   *(1-IFERROR(_xlfn.XLOOKUP(1,(DESC_PROV[LINEA]=$B$2)*(DESC_PROV[LISTA]=$C$2),DESC_PROV[DESCUENTO]),0)),
   ((B38*(1+IFERROR(VLOOKUP($D$2,COLORES[],2,FALSE),0)))+E38)
   *(1-IFERROR(_xlfn.XLOOKUP(1,(DESC_PROV[LINEA]=$B$2)*(DESC_PROV[LISTA]=$C$2),DESC_PROV[DESCUENTO]),0))
   *(1+VLOOKUP($C$2,LISTAS[],2,FALSE))
   *(1+VLOOKUP($C$2,LISTAS[],3,FALSE))
)
/5,0)*5,0)</f>
        <v>197130</v>
      </c>
      <c r="O38" s="125">
        <f t="array" ref="O38">IFERROR(
ROUND(
IF($A$2="COSTO",
   ((B38*(1+IFERROR(VLOOKUP($D$2,COLORES[],2,FALSE),0)))+F38)
   *(1-IFERROR(_xlfn.XLOOKUP(1,(DESC_PROV[LINEA]=$B$2)*(DESC_PROV[LISTA]=$C$2),DESC_PROV[DESCUENTO]),0)),
   ((B38*(1+IFERROR(VLOOKUP($D$2,COLORES[],2,FALSE),0)))+F38)
   *(1-IFERROR(_xlfn.XLOOKUP(1,(DESC_PROV[LINEA]=$B$2)*(DESC_PROV[LISTA]=$C$2),DESC_PROV[DESCUENTO]),0))
   *(1+VLOOKUP($C$2,LISTAS[],2,FALSE))
   *(1+VLOOKUP($C$2,LISTAS[],3,FALSE))
)
/5,0)*5,0)</f>
        <v>229040</v>
      </c>
      <c r="P38" s="125">
        <f t="array" ref="P38">IFERROR(
ROUND(
IF($A$2="COSTO",
   ((B38*(1+IFERROR(VLOOKUP($D$2,COLORES[],2,FALSE),0)))+G38)
   *(1-IFERROR(_xlfn.XLOOKUP(1,(DESC_PROV[LINEA]=$B$2)*(DESC_PROV[LISTA]=$C$2),DESC_PROV[DESCUENTO]),0)),
   ((B38*(1+IFERROR(VLOOKUP($D$2,COLORES[],2,FALSE),0)))+G38)
   *(1-IFERROR(_xlfn.XLOOKUP(1,(DESC_PROV[LINEA]=$B$2)*(DESC_PROV[LISTA]=$C$2),DESC_PROV[DESCUENTO]),0))
   *(1+VLOOKUP($C$2,LISTAS[],2,FALSE))
   *(1+VLOOKUP($C$2,LISTAS[],3,FALSE))
)
/5,0)*5,0)</f>
        <v>192365</v>
      </c>
      <c r="Q38" s="125">
        <f t="array" ref="Q38">IFERROR(
ROUND(
IF($A$2="COSTO",
   ((B38*(1+IFERROR(VLOOKUP($D$2,COLORES[],2,FALSE),0)))+H38)
   *(1-IFERROR(_xlfn.XLOOKUP(1,(DESC_PROV[LINEA]=$B$2)*(DESC_PROV[LISTA]=$C$2),DESC_PROV[DESCUENTO]),0)),
   ((B38*(1+IFERROR(VLOOKUP($D$2,COLORES[],2,FALSE),0)))+H38)
   *(1-IFERROR(_xlfn.XLOOKUP(1,(DESC_PROV[LINEA]=$B$2)*(DESC_PROV[LISTA]=$C$2),DESC_PROV[DESCUENTO]),0))
   *(1+VLOOKUP($C$2,LISTAS[],2,FALSE))
   *(1+VLOOKUP($C$2,LISTAS[],3,FALSE))
)
/5,0)*5,0)</f>
        <v>257815</v>
      </c>
      <c r="R38" s="126">
        <f t="array" ref="R38">IFERROR(
ROUND(
IF($A$2="COSTO",
   ((B38*(1+IFERROR(VLOOKUP($D$2,COLORES[],2,FALSE),0)))+(D38+I38+D38))
   *(1-IFERROR(_xlfn.XLOOKUP(1,(DESC_PROV[LINEA]=$B$2)*(DESC_PROV[LISTA]=$C$2),DESC_PROV[DESCUENTO]),0)),
   ((B38*(1+IFERROR(VLOOKUP($D$2,COLORES[],2,FALSE),0)))+(D38+I38+D38))
   *(1-IFERROR(_xlfn.XLOOKUP(1,(DESC_PROV[LINEA]=$B$2)*(DESC_PROV[LISTA]=$C$2),DESC_PROV[DESCUENTO]),0))
   *(1+VLOOKUP($C$2,LISTAS[],2,FALSE))
   *(1+VLOOKUP($C$2,LISTAS[],3,FALSE))
)
/5,0)*5,0)</f>
        <v>274525</v>
      </c>
    </row>
    <row r="39" spans="1:18">
      <c r="A39" s="133" t="s">
        <v>174</v>
      </c>
      <c r="B39" s="125">
        <v>137537</v>
      </c>
      <c r="C39" s="125">
        <v>15235</v>
      </c>
      <c r="D39" s="125">
        <v>18394</v>
      </c>
      <c r="E39" s="125">
        <v>24490</v>
      </c>
      <c r="F39" s="125">
        <v>52963</v>
      </c>
      <c r="G39" s="125">
        <v>20218</v>
      </c>
      <c r="H39" s="125">
        <v>78578</v>
      </c>
      <c r="I39" s="125">
        <v>52714</v>
      </c>
      <c r="J39" s="124"/>
      <c r="K39" s="133" t="s">
        <v>174</v>
      </c>
      <c r="L39" s="125">
        <f t="array" ref="L39">IFERROR(
ROUND(
IF($A$2="COSTO",
   ((B39*(1+IFERROR(VLOOKUP($D$2,COLORES[],2,FALSE),0)))+C39)
   *(1-IFERROR(_xlfn.XLOOKUP(1,(DESC_PROV[LINEA]=$B$2)*(DESC_PROV[LISTA]=$C$2),DESC_PROV[DESCUENTO]),0)),
   ((B39*(1+IFERROR(VLOOKUP($D$2,COLORES[],2,FALSE),0)))+C39)
   *(1-IFERROR(_xlfn.XLOOKUP(1,(DESC_PROV[LINEA]=$B$2)*(DESC_PROV[LISTA]=$C$2),DESC_PROV[DESCUENTO]),0))
   *(1+VLOOKUP($C$2,LISTAS[],2,FALSE))
   *(1+VLOOKUP($C$2,LISTAS[],3,FALSE))
)
/5,0)*5,0)</f>
        <v>195785</v>
      </c>
      <c r="M39" s="125">
        <f t="array" ref="M39">IFERROR(
ROUND(
IF($A$2="COSTO",
   ((B39*(1+IFERROR(VLOOKUP($D$2,COLORES[],2,FALSE),0)))+D39)
   *(1-IFERROR(_xlfn.XLOOKUP(1,(DESC_PROV[LINEA]=$B$2)*(DESC_PROV[LISTA]=$C$2),DESC_PROV[DESCUENTO]),0)),
   ((B39*(1+IFERROR(VLOOKUP($D$2,COLORES[],2,FALSE),0)))+D39)
   *(1-IFERROR(_xlfn.XLOOKUP(1,(DESC_PROV[LINEA]=$B$2)*(DESC_PROV[LISTA]=$C$2),DESC_PROV[DESCUENTO]),0))
   *(1+VLOOKUP($C$2,LISTAS[],2,FALSE))
   *(1+VLOOKUP($C$2,LISTAS[],3,FALSE))
)
/5,0)*5,0)</f>
        <v>199830</v>
      </c>
      <c r="N39" s="125">
        <f t="array" ref="N39">IFERROR(
ROUND(
IF($A$2="COSTO",
   ((B39*(1+IFERROR(VLOOKUP($D$2,COLORES[],2,FALSE),0)))+E39)
   *(1-IFERROR(_xlfn.XLOOKUP(1,(DESC_PROV[LINEA]=$B$2)*(DESC_PROV[LISTA]=$C$2),DESC_PROV[DESCUENTO]),0)),
   ((B39*(1+IFERROR(VLOOKUP($D$2,COLORES[],2,FALSE),0)))+E39)
   *(1-IFERROR(_xlfn.XLOOKUP(1,(DESC_PROV[LINEA]=$B$2)*(DESC_PROV[LISTA]=$C$2),DESC_PROV[DESCUENTO]),0))
   *(1+VLOOKUP($C$2,LISTAS[],2,FALSE))
   *(1+VLOOKUP($C$2,LISTAS[],3,FALSE))
)
/5,0)*5,0)</f>
        <v>207645</v>
      </c>
      <c r="O39" s="125">
        <f t="array" ref="O39">IFERROR(
ROUND(
IF($A$2="COSTO",
   ((B39*(1+IFERROR(VLOOKUP($D$2,COLORES[],2,FALSE),0)))+F39)
   *(1-IFERROR(_xlfn.XLOOKUP(1,(DESC_PROV[LINEA]=$B$2)*(DESC_PROV[LISTA]=$C$2),DESC_PROV[DESCUENTO]),0)),
   ((B39*(1+IFERROR(VLOOKUP($D$2,COLORES[],2,FALSE),0)))+F39)
   *(1-IFERROR(_xlfn.XLOOKUP(1,(DESC_PROV[LINEA]=$B$2)*(DESC_PROV[LISTA]=$C$2),DESC_PROV[DESCUENTO]),0))
   *(1+VLOOKUP($C$2,LISTAS[],2,FALSE))
   *(1+VLOOKUP($C$2,LISTAS[],3,FALSE))
)
/5,0)*5,0)</f>
        <v>244135</v>
      </c>
      <c r="P39" s="125">
        <f t="array" ref="P39">IFERROR(
ROUND(
IF($A$2="COSTO",
   ((B39*(1+IFERROR(VLOOKUP($D$2,COLORES[],2,FALSE),0)))+G39)
   *(1-IFERROR(_xlfn.XLOOKUP(1,(DESC_PROV[LINEA]=$B$2)*(DESC_PROV[LISTA]=$C$2),DESC_PROV[DESCUENTO]),0)),
   ((B39*(1+IFERROR(VLOOKUP($D$2,COLORES[],2,FALSE),0)))+G39)
   *(1-IFERROR(_xlfn.XLOOKUP(1,(DESC_PROV[LINEA]=$B$2)*(DESC_PROV[LISTA]=$C$2),DESC_PROV[DESCUENTO]),0))
   *(1+VLOOKUP($C$2,LISTAS[],2,FALSE))
   *(1+VLOOKUP($C$2,LISTAS[],3,FALSE))
)
/5,0)*5,0)</f>
        <v>202170</v>
      </c>
      <c r="Q39" s="125">
        <f t="array" ref="Q39">IFERROR(
ROUND(
IF($A$2="COSTO",
   ((B39*(1+IFERROR(VLOOKUP($D$2,COLORES[],2,FALSE),0)))+H39)
   *(1-IFERROR(_xlfn.XLOOKUP(1,(DESC_PROV[LINEA]=$B$2)*(DESC_PROV[LISTA]=$C$2),DESC_PROV[DESCUENTO]),0)),
   ((B39*(1+IFERROR(VLOOKUP($D$2,COLORES[],2,FALSE),0)))+H39)
   *(1-IFERROR(_xlfn.XLOOKUP(1,(DESC_PROV[LINEA]=$B$2)*(DESC_PROV[LISTA]=$C$2),DESC_PROV[DESCUENTO]),0))
   *(1+VLOOKUP($C$2,LISTAS[],2,FALSE))
   *(1+VLOOKUP($C$2,LISTAS[],3,FALSE))
)
/5,0)*5,0)</f>
        <v>276960</v>
      </c>
      <c r="R39" s="126">
        <f t="array" ref="R39">IFERROR(
ROUND(
IF($A$2="COSTO",
   ((B39*(1+IFERROR(VLOOKUP($D$2,COLORES[],2,FALSE),0)))+(D39+I39+D39))
   *(1-IFERROR(_xlfn.XLOOKUP(1,(DESC_PROV[LINEA]=$B$2)*(DESC_PROV[LISTA]=$C$2),DESC_PROV[DESCUENTO]),0)),
   ((B39*(1+IFERROR(VLOOKUP($D$2,COLORES[],2,FALSE),0)))+(D39+I39+D39))
   *(1-IFERROR(_xlfn.XLOOKUP(1,(DESC_PROV[LINEA]=$B$2)*(DESC_PROV[LISTA]=$C$2),DESC_PROV[DESCUENTO]),0))
   *(1+VLOOKUP($C$2,LISTAS[],2,FALSE))
   *(1+VLOOKUP($C$2,LISTAS[],3,FALSE))
)
/5,0)*5,0)</f>
        <v>290960</v>
      </c>
    </row>
    <row r="40" spans="1:18">
      <c r="A40" s="133" t="s">
        <v>175</v>
      </c>
      <c r="B40" s="125">
        <v>142657</v>
      </c>
      <c r="C40" s="125">
        <v>17136</v>
      </c>
      <c r="D40" s="125">
        <v>20688</v>
      </c>
      <c r="E40" s="125">
        <v>27562</v>
      </c>
      <c r="F40" s="125">
        <v>59606</v>
      </c>
      <c r="G40" s="125">
        <v>22733</v>
      </c>
      <c r="H40" s="125">
        <v>88381</v>
      </c>
      <c r="I40" s="125">
        <v>55814</v>
      </c>
      <c r="J40" s="124"/>
      <c r="K40" s="133" t="s">
        <v>175</v>
      </c>
      <c r="L40" s="125">
        <f t="array" ref="L40">IFERROR(
ROUND(
IF($A$2="COSTO",
   ((B40*(1+IFERROR(VLOOKUP($D$2,COLORES[],2,FALSE),0)))+C40)
   *(1-IFERROR(_xlfn.XLOOKUP(1,(DESC_PROV[LINEA]=$B$2)*(DESC_PROV[LISTA]=$C$2),DESC_PROV[DESCUENTO]),0)),
   ((B40*(1+IFERROR(VLOOKUP($D$2,COLORES[],2,FALSE),0)))+C40)
   *(1-IFERROR(_xlfn.XLOOKUP(1,(DESC_PROV[LINEA]=$B$2)*(DESC_PROV[LISTA]=$C$2),DESC_PROV[DESCUENTO]),0))
   *(1+VLOOKUP($C$2,LISTAS[],2,FALSE))
   *(1+VLOOKUP($C$2,LISTAS[],3,FALSE))
)
/5,0)*5,0)</f>
        <v>204780</v>
      </c>
      <c r="M40" s="125">
        <f t="array" ref="M40">IFERROR(
ROUND(
IF($A$2="COSTO",
   ((B40*(1+IFERROR(VLOOKUP($D$2,COLORES[],2,FALSE),0)))+D40)
   *(1-IFERROR(_xlfn.XLOOKUP(1,(DESC_PROV[LINEA]=$B$2)*(DESC_PROV[LISTA]=$C$2),DESC_PROV[DESCUENTO]),0)),
   ((B40*(1+IFERROR(VLOOKUP($D$2,COLORES[],2,FALSE),0)))+D40)
   *(1-IFERROR(_xlfn.XLOOKUP(1,(DESC_PROV[LINEA]=$B$2)*(DESC_PROV[LISTA]=$C$2),DESC_PROV[DESCUENTO]),0))
   *(1+VLOOKUP($C$2,LISTAS[],2,FALSE))
   *(1+VLOOKUP($C$2,LISTAS[],3,FALSE))
)
/5,0)*5,0)</f>
        <v>209335</v>
      </c>
      <c r="N40" s="125">
        <f t="array" ref="N40">IFERROR(
ROUND(
IF($A$2="COSTO",
   ((B40*(1+IFERROR(VLOOKUP($D$2,COLORES[],2,FALSE),0)))+E40)
   *(1-IFERROR(_xlfn.XLOOKUP(1,(DESC_PROV[LINEA]=$B$2)*(DESC_PROV[LISTA]=$C$2),DESC_PROV[DESCUENTO]),0)),
   ((B40*(1+IFERROR(VLOOKUP($D$2,COLORES[],2,FALSE),0)))+E40)
   *(1-IFERROR(_xlfn.XLOOKUP(1,(DESC_PROV[LINEA]=$B$2)*(DESC_PROV[LISTA]=$C$2),DESC_PROV[DESCUENTO]),0))
   *(1+VLOOKUP($C$2,LISTAS[],2,FALSE))
   *(1+VLOOKUP($C$2,LISTAS[],3,FALSE))
)
/5,0)*5,0)</f>
        <v>218140</v>
      </c>
      <c r="O40" s="125">
        <f t="array" ref="O40">IFERROR(
ROUND(
IF($A$2="COSTO",
   ((B40*(1+IFERROR(VLOOKUP($D$2,COLORES[],2,FALSE),0)))+F40)
   *(1-IFERROR(_xlfn.XLOOKUP(1,(DESC_PROV[LINEA]=$B$2)*(DESC_PROV[LISTA]=$C$2),DESC_PROV[DESCUENTO]),0)),
   ((B40*(1+IFERROR(VLOOKUP($D$2,COLORES[],2,FALSE),0)))+F40)
   *(1-IFERROR(_xlfn.XLOOKUP(1,(DESC_PROV[LINEA]=$B$2)*(DESC_PROV[LISTA]=$C$2),DESC_PROV[DESCUENTO]),0))
   *(1+VLOOKUP($C$2,LISTAS[],2,FALSE))
   *(1+VLOOKUP($C$2,LISTAS[],3,FALSE))
)
/5,0)*5,0)</f>
        <v>259210</v>
      </c>
      <c r="P40" s="125">
        <f t="array" ref="P40">IFERROR(
ROUND(
IF($A$2="COSTO",
   ((B40*(1+IFERROR(VLOOKUP($D$2,COLORES[],2,FALSE),0)))+G40)
   *(1-IFERROR(_xlfn.XLOOKUP(1,(DESC_PROV[LINEA]=$B$2)*(DESC_PROV[LISTA]=$C$2),DESC_PROV[DESCUENTO]),0)),
   ((B40*(1+IFERROR(VLOOKUP($D$2,COLORES[],2,FALSE),0)))+G40)
   *(1-IFERROR(_xlfn.XLOOKUP(1,(DESC_PROV[LINEA]=$B$2)*(DESC_PROV[LISTA]=$C$2),DESC_PROV[DESCUENTO]),0))
   *(1+VLOOKUP($C$2,LISTAS[],2,FALSE))
   *(1+VLOOKUP($C$2,LISTAS[],3,FALSE))
)
/5,0)*5,0)</f>
        <v>211955</v>
      </c>
      <c r="Q40" s="125">
        <f t="array" ref="Q40">IFERROR(
ROUND(
IF($A$2="COSTO",
   ((B40*(1+IFERROR(VLOOKUP($D$2,COLORES[],2,FALSE),0)))+H40)
   *(1-IFERROR(_xlfn.XLOOKUP(1,(DESC_PROV[LINEA]=$B$2)*(DESC_PROV[LISTA]=$C$2),DESC_PROV[DESCUENTO]),0)),
   ((B40*(1+IFERROR(VLOOKUP($D$2,COLORES[],2,FALSE),0)))+H40)
   *(1-IFERROR(_xlfn.XLOOKUP(1,(DESC_PROV[LINEA]=$B$2)*(DESC_PROV[LISTA]=$C$2),DESC_PROV[DESCUENTO]),0))
   *(1+VLOOKUP($C$2,LISTAS[],2,FALSE))
   *(1+VLOOKUP($C$2,LISTAS[],3,FALSE))
)
/5,0)*5,0)</f>
        <v>296085</v>
      </c>
      <c r="R40" s="126">
        <f t="array" ref="R40">IFERROR(
ROUND(
IF($A$2="COSTO",
   ((B40*(1+IFERROR(VLOOKUP($D$2,COLORES[],2,FALSE),0)))+(D40+I40+D40))
   *(1-IFERROR(_xlfn.XLOOKUP(1,(DESC_PROV[LINEA]=$B$2)*(DESC_PROV[LISTA]=$C$2),DESC_PROV[DESCUENTO]),0)),
   ((B40*(1+IFERROR(VLOOKUP($D$2,COLORES[],2,FALSE),0)))+(D40+I40+D40))
   *(1-IFERROR(_xlfn.XLOOKUP(1,(DESC_PROV[LINEA]=$B$2)*(DESC_PROV[LISTA]=$C$2),DESC_PROV[DESCUENTO]),0))
   *(1+VLOOKUP($C$2,LISTAS[],2,FALSE))
   *(1+VLOOKUP($C$2,LISTAS[],3,FALSE))
)
/5,0)*5,0)</f>
        <v>307375</v>
      </c>
    </row>
    <row r="41" spans="1:18">
      <c r="A41" s="133" t="s">
        <v>176</v>
      </c>
      <c r="B41" s="125">
        <v>117035</v>
      </c>
      <c r="C41" s="125">
        <v>6528</v>
      </c>
      <c r="D41" s="125">
        <v>7910</v>
      </c>
      <c r="E41" s="125">
        <v>10435</v>
      </c>
      <c r="F41" s="125">
        <v>22570</v>
      </c>
      <c r="G41" s="125">
        <v>8736</v>
      </c>
      <c r="H41" s="125">
        <v>33788</v>
      </c>
      <c r="I41" s="125">
        <v>40310</v>
      </c>
      <c r="J41" s="124"/>
      <c r="K41" s="133" t="s">
        <v>176</v>
      </c>
      <c r="L41" s="125">
        <f t="array" ref="L41">IFERROR(
ROUND(
IF($A$2="COSTO",
   ((B41*(1+IFERROR(VLOOKUP($D$2,COLORES[],2,FALSE),0)))+C41)
   *(1-IFERROR(_xlfn.XLOOKUP(1,(DESC_PROV[LINEA]=$B$2)*(DESC_PROV[LISTA]=$C$2),DESC_PROV[DESCUENTO]),0)),
   ((B41*(1+IFERROR(VLOOKUP($D$2,COLORES[],2,FALSE),0)))+C41)
   *(1-IFERROR(_xlfn.XLOOKUP(1,(DESC_PROV[LINEA]=$B$2)*(DESC_PROV[LISTA]=$C$2),DESC_PROV[DESCUENTO]),0))
   *(1+VLOOKUP($C$2,LISTAS[],2,FALSE))
   *(1+VLOOKUP($C$2,LISTAS[],3,FALSE))
)
/5,0)*5,0)</f>
        <v>158350</v>
      </c>
      <c r="M41" s="125">
        <f t="array" ref="M41">IFERROR(
ROUND(
IF($A$2="COSTO",
   ((B41*(1+IFERROR(VLOOKUP($D$2,COLORES[],2,FALSE),0)))+D41)
   *(1-IFERROR(_xlfn.XLOOKUP(1,(DESC_PROV[LINEA]=$B$2)*(DESC_PROV[LISTA]=$C$2),DESC_PROV[DESCUENTO]),0)),
   ((B41*(1+IFERROR(VLOOKUP($D$2,COLORES[],2,FALSE),0)))+D41)
   *(1-IFERROR(_xlfn.XLOOKUP(1,(DESC_PROV[LINEA]=$B$2)*(DESC_PROV[LISTA]=$C$2),DESC_PROV[DESCUENTO]),0))
   *(1+VLOOKUP($C$2,LISTAS[],2,FALSE))
   *(1+VLOOKUP($C$2,LISTAS[],3,FALSE))
)
/5,0)*5,0)</f>
        <v>160120</v>
      </c>
      <c r="N41" s="125">
        <f t="array" ref="N41">IFERROR(
ROUND(
IF($A$2="COSTO",
   ((B41*(1+IFERROR(VLOOKUP($D$2,COLORES[],2,FALSE),0)))+E41)
   *(1-IFERROR(_xlfn.XLOOKUP(1,(DESC_PROV[LINEA]=$B$2)*(DESC_PROV[LISTA]=$C$2),DESC_PROV[DESCUENTO]),0)),
   ((B41*(1+IFERROR(VLOOKUP($D$2,COLORES[],2,FALSE),0)))+E41)
   *(1-IFERROR(_xlfn.XLOOKUP(1,(DESC_PROV[LINEA]=$B$2)*(DESC_PROV[LISTA]=$C$2),DESC_PROV[DESCUENTO]),0))
   *(1+VLOOKUP($C$2,LISTAS[],2,FALSE))
   *(1+VLOOKUP($C$2,LISTAS[],3,FALSE))
)
/5,0)*5,0)</f>
        <v>163360</v>
      </c>
      <c r="O41" s="125">
        <f t="array" ref="O41">IFERROR(
ROUND(
IF($A$2="COSTO",
   ((B41*(1+IFERROR(VLOOKUP($D$2,COLORES[],2,FALSE),0)))+F41)
   *(1-IFERROR(_xlfn.XLOOKUP(1,(DESC_PROV[LINEA]=$B$2)*(DESC_PROV[LISTA]=$C$2),DESC_PROV[DESCUENTO]),0)),
   ((B41*(1+IFERROR(VLOOKUP($D$2,COLORES[],2,FALSE),0)))+F41)
   *(1-IFERROR(_xlfn.XLOOKUP(1,(DESC_PROV[LINEA]=$B$2)*(DESC_PROV[LISTA]=$C$2),DESC_PROV[DESCUENTO]),0))
   *(1+VLOOKUP($C$2,LISTAS[],2,FALSE))
   *(1+VLOOKUP($C$2,LISTAS[],3,FALSE))
)
/5,0)*5,0)</f>
        <v>178910</v>
      </c>
      <c r="P41" s="125">
        <f t="array" ref="P41">IFERROR(
ROUND(
IF($A$2="COSTO",
   ((B41*(1+IFERROR(VLOOKUP($D$2,COLORES[],2,FALSE),0)))+G41)
   *(1-IFERROR(_xlfn.XLOOKUP(1,(DESC_PROV[LINEA]=$B$2)*(DESC_PROV[LISTA]=$C$2),DESC_PROV[DESCUENTO]),0)),
   ((B41*(1+IFERROR(VLOOKUP($D$2,COLORES[],2,FALSE),0)))+G41)
   *(1-IFERROR(_xlfn.XLOOKUP(1,(DESC_PROV[LINEA]=$B$2)*(DESC_PROV[LISTA]=$C$2),DESC_PROV[DESCUENTO]),0))
   *(1+VLOOKUP($C$2,LISTAS[],2,FALSE))
   *(1+VLOOKUP($C$2,LISTAS[],3,FALSE))
)
/5,0)*5,0)</f>
        <v>161180</v>
      </c>
      <c r="Q41" s="125">
        <f t="array" ref="Q41">IFERROR(
ROUND(
IF($A$2="COSTO",
   ((B41*(1+IFERROR(VLOOKUP($D$2,COLORES[],2,FALSE),0)))+H41)
   *(1-IFERROR(_xlfn.XLOOKUP(1,(DESC_PROV[LINEA]=$B$2)*(DESC_PROV[LISTA]=$C$2),DESC_PROV[DESCUENTO]),0)),
   ((B41*(1+IFERROR(VLOOKUP($D$2,COLORES[],2,FALSE),0)))+H41)
   *(1-IFERROR(_xlfn.XLOOKUP(1,(DESC_PROV[LINEA]=$B$2)*(DESC_PROV[LISTA]=$C$2),DESC_PROV[DESCUENTO]),0))
   *(1+VLOOKUP($C$2,LISTAS[],2,FALSE))
   *(1+VLOOKUP($C$2,LISTAS[],3,FALSE))
)
/5,0)*5,0)</f>
        <v>193285</v>
      </c>
      <c r="R41" s="126">
        <f t="array" ref="R41">IFERROR(
ROUND(
IF($A$2="COSTO",
   ((B41*(1+IFERROR(VLOOKUP($D$2,COLORES[],2,FALSE),0)))+(D41+I41+D41))
   *(1-IFERROR(_xlfn.XLOOKUP(1,(DESC_PROV[LINEA]=$B$2)*(DESC_PROV[LISTA]=$C$2),DESC_PROV[DESCUENTO]),0)),
   ((B41*(1+IFERROR(VLOOKUP($D$2,COLORES[],2,FALSE),0)))+(D41+I41+D41))
   *(1-IFERROR(_xlfn.XLOOKUP(1,(DESC_PROV[LINEA]=$B$2)*(DESC_PROV[LISTA]=$C$2),DESC_PROV[DESCUENTO]),0))
   *(1+VLOOKUP($C$2,LISTAS[],2,FALSE))
   *(1+VLOOKUP($C$2,LISTAS[],3,FALSE))
)
/5,0)*5,0)</f>
        <v>221920</v>
      </c>
    </row>
    <row r="42" spans="1:18">
      <c r="A42" s="133" t="s">
        <v>177</v>
      </c>
      <c r="B42" s="125">
        <v>122155</v>
      </c>
      <c r="C42" s="125">
        <v>8707</v>
      </c>
      <c r="D42" s="125">
        <v>10531</v>
      </c>
      <c r="E42" s="125">
        <v>13949</v>
      </c>
      <c r="F42" s="125">
        <v>30048</v>
      </c>
      <c r="G42" s="125">
        <v>11606</v>
      </c>
      <c r="H42" s="125">
        <v>44986</v>
      </c>
      <c r="I42" s="125">
        <v>43411</v>
      </c>
      <c r="J42" s="124"/>
      <c r="K42" s="133" t="s">
        <v>177</v>
      </c>
      <c r="L42" s="125">
        <f t="array" ref="L42">IFERROR(
ROUND(
IF($A$2="COSTO",
   ((B42*(1+IFERROR(VLOOKUP($D$2,COLORES[],2,FALSE),0)))+C42)
   *(1-IFERROR(_xlfn.XLOOKUP(1,(DESC_PROV[LINEA]=$B$2)*(DESC_PROV[LISTA]=$C$2),DESC_PROV[DESCUENTO]),0)),
   ((B42*(1+IFERROR(VLOOKUP($D$2,COLORES[],2,FALSE),0)))+C42)
   *(1-IFERROR(_xlfn.XLOOKUP(1,(DESC_PROV[LINEA]=$B$2)*(DESC_PROV[LISTA]=$C$2),DESC_PROV[DESCUENTO]),0))
   *(1+VLOOKUP($C$2,LISTAS[],2,FALSE))
   *(1+VLOOKUP($C$2,LISTAS[],3,FALSE))
)
/5,0)*5,0)</f>
        <v>167705</v>
      </c>
      <c r="M42" s="125">
        <f t="array" ref="M42">IFERROR(
ROUND(
IF($A$2="COSTO",
   ((B42*(1+IFERROR(VLOOKUP($D$2,COLORES[],2,FALSE),0)))+D42)
   *(1-IFERROR(_xlfn.XLOOKUP(1,(DESC_PROV[LINEA]=$B$2)*(DESC_PROV[LISTA]=$C$2),DESC_PROV[DESCUENTO]),0)),
   ((B42*(1+IFERROR(VLOOKUP($D$2,COLORES[],2,FALSE),0)))+D42)
   *(1-IFERROR(_xlfn.XLOOKUP(1,(DESC_PROV[LINEA]=$B$2)*(DESC_PROV[LISTA]=$C$2),DESC_PROV[DESCUENTO]),0))
   *(1+VLOOKUP($C$2,LISTAS[],2,FALSE))
   *(1+VLOOKUP($C$2,LISTAS[],3,FALSE))
)
/5,0)*5,0)</f>
        <v>170040</v>
      </c>
      <c r="N42" s="125">
        <f t="array" ref="N42">IFERROR(
ROUND(
IF($A$2="COSTO",
   ((B42*(1+IFERROR(VLOOKUP($D$2,COLORES[],2,FALSE),0)))+E42)
   *(1-IFERROR(_xlfn.XLOOKUP(1,(DESC_PROV[LINEA]=$B$2)*(DESC_PROV[LISTA]=$C$2),DESC_PROV[DESCUENTO]),0)),
   ((B42*(1+IFERROR(VLOOKUP($D$2,COLORES[],2,FALSE),0)))+E42)
   *(1-IFERROR(_xlfn.XLOOKUP(1,(DESC_PROV[LINEA]=$B$2)*(DESC_PROV[LISTA]=$C$2),DESC_PROV[DESCUENTO]),0))
   *(1+VLOOKUP($C$2,LISTAS[],2,FALSE))
   *(1+VLOOKUP($C$2,LISTAS[],3,FALSE))
)
/5,0)*5,0)</f>
        <v>174425</v>
      </c>
      <c r="O42" s="125">
        <f t="array" ref="O42">IFERROR(
ROUND(
IF($A$2="COSTO",
   ((B42*(1+IFERROR(VLOOKUP($D$2,COLORES[],2,FALSE),0)))+F42)
   *(1-IFERROR(_xlfn.XLOOKUP(1,(DESC_PROV[LINEA]=$B$2)*(DESC_PROV[LISTA]=$C$2),DESC_PROV[DESCUENTO]),0)),
   ((B42*(1+IFERROR(VLOOKUP($D$2,COLORES[],2,FALSE),0)))+F42)
   *(1-IFERROR(_xlfn.XLOOKUP(1,(DESC_PROV[LINEA]=$B$2)*(DESC_PROV[LISTA]=$C$2),DESC_PROV[DESCUENTO]),0))
   *(1+VLOOKUP($C$2,LISTAS[],2,FALSE))
   *(1+VLOOKUP($C$2,LISTAS[],3,FALSE))
)
/5,0)*5,0)</f>
        <v>195055</v>
      </c>
      <c r="P42" s="125">
        <f t="array" ref="P42">IFERROR(
ROUND(
IF($A$2="COSTO",
   ((B42*(1+IFERROR(VLOOKUP($D$2,COLORES[],2,FALSE),0)))+G42)
   *(1-IFERROR(_xlfn.XLOOKUP(1,(DESC_PROV[LINEA]=$B$2)*(DESC_PROV[LISTA]=$C$2),DESC_PROV[DESCUENTO]),0)),
   ((B42*(1+IFERROR(VLOOKUP($D$2,COLORES[],2,FALSE),0)))+G42)
   *(1-IFERROR(_xlfn.XLOOKUP(1,(DESC_PROV[LINEA]=$B$2)*(DESC_PROV[LISTA]=$C$2),DESC_PROV[DESCUENTO]),0))
   *(1+VLOOKUP($C$2,LISTAS[],2,FALSE))
   *(1+VLOOKUP($C$2,LISTAS[],3,FALSE))
)
/5,0)*5,0)</f>
        <v>171420</v>
      </c>
      <c r="Q42" s="125">
        <f t="array" ref="Q42">IFERROR(
ROUND(
IF($A$2="COSTO",
   ((B42*(1+IFERROR(VLOOKUP($D$2,COLORES[],2,FALSE),0)))+H42)
   *(1-IFERROR(_xlfn.XLOOKUP(1,(DESC_PROV[LINEA]=$B$2)*(DESC_PROV[LISTA]=$C$2),DESC_PROV[DESCUENTO]),0)),
   ((B42*(1+IFERROR(VLOOKUP($D$2,COLORES[],2,FALSE),0)))+H42)
   *(1-IFERROR(_xlfn.XLOOKUP(1,(DESC_PROV[LINEA]=$B$2)*(DESC_PROV[LISTA]=$C$2),DESC_PROV[DESCUENTO]),0))
   *(1+VLOOKUP($C$2,LISTAS[],2,FALSE))
   *(1+VLOOKUP($C$2,LISTAS[],3,FALSE))
)
/5,0)*5,0)</f>
        <v>214200</v>
      </c>
      <c r="R42" s="126">
        <f t="array" ref="R42">IFERROR(
ROUND(
IF($A$2="COSTO",
   ((B42*(1+IFERROR(VLOOKUP($D$2,COLORES[],2,FALSE),0)))+(D42+I42+D42))
   *(1-IFERROR(_xlfn.XLOOKUP(1,(DESC_PROV[LINEA]=$B$2)*(DESC_PROV[LISTA]=$C$2),DESC_PROV[DESCUENTO]),0)),
   ((B42*(1+IFERROR(VLOOKUP($D$2,COLORES[],2,FALSE),0)))+(D42+I42+D42))
   *(1-IFERROR(_xlfn.XLOOKUP(1,(DESC_PROV[LINEA]=$B$2)*(DESC_PROV[LISTA]=$C$2),DESC_PROV[DESCUENTO]),0))
   *(1+VLOOKUP($C$2,LISTAS[],2,FALSE))
   *(1+VLOOKUP($C$2,LISTAS[],3,FALSE))
)
/5,0)*5,0)</f>
        <v>239170</v>
      </c>
    </row>
    <row r="43" spans="1:18">
      <c r="A43" s="133" t="s">
        <v>178</v>
      </c>
      <c r="B43" s="125">
        <v>127276</v>
      </c>
      <c r="C43" s="125">
        <v>10886</v>
      </c>
      <c r="D43" s="125">
        <v>13152</v>
      </c>
      <c r="E43" s="125">
        <v>17462</v>
      </c>
      <c r="F43" s="125">
        <v>37814</v>
      </c>
      <c r="G43" s="125">
        <v>14477</v>
      </c>
      <c r="H43" s="125">
        <v>56183</v>
      </c>
      <c r="I43" s="125">
        <v>46512</v>
      </c>
      <c r="J43" s="124"/>
      <c r="K43" s="133" t="s">
        <v>178</v>
      </c>
      <c r="L43" s="125">
        <f t="array" ref="L43">IFERROR(
ROUND(
IF($A$2="COSTO",
   ((B43*(1+IFERROR(VLOOKUP($D$2,COLORES[],2,FALSE),0)))+C43)
   *(1-IFERROR(_xlfn.XLOOKUP(1,(DESC_PROV[LINEA]=$B$2)*(DESC_PROV[LISTA]=$C$2),DESC_PROV[DESCUENTO]),0)),
   ((B43*(1+IFERROR(VLOOKUP($D$2,COLORES[],2,FALSE),0)))+C43)
   *(1-IFERROR(_xlfn.XLOOKUP(1,(DESC_PROV[LINEA]=$B$2)*(DESC_PROV[LISTA]=$C$2),DESC_PROV[DESCUENTO]),0))
   *(1+VLOOKUP($C$2,LISTAS[],2,FALSE))
   *(1+VLOOKUP($C$2,LISTAS[],3,FALSE))
)
/5,0)*5,0)</f>
        <v>177060</v>
      </c>
      <c r="M43" s="125">
        <f t="array" ref="M43">IFERROR(
ROUND(
IF($A$2="COSTO",
   ((B43*(1+IFERROR(VLOOKUP($D$2,COLORES[],2,FALSE),0)))+D43)
   *(1-IFERROR(_xlfn.XLOOKUP(1,(DESC_PROV[LINEA]=$B$2)*(DESC_PROV[LISTA]=$C$2),DESC_PROV[DESCUENTO]),0)),
   ((B43*(1+IFERROR(VLOOKUP($D$2,COLORES[],2,FALSE),0)))+D43)
   *(1-IFERROR(_xlfn.XLOOKUP(1,(DESC_PROV[LINEA]=$B$2)*(DESC_PROV[LISTA]=$C$2),DESC_PROV[DESCUENTO]),0))
   *(1+VLOOKUP($C$2,LISTAS[],2,FALSE))
   *(1+VLOOKUP($C$2,LISTAS[],3,FALSE))
)
/5,0)*5,0)</f>
        <v>179965</v>
      </c>
      <c r="N43" s="125">
        <f t="array" ref="N43">IFERROR(
ROUND(
IF($A$2="COSTO",
   ((B43*(1+IFERROR(VLOOKUP($D$2,COLORES[],2,FALSE),0)))+E43)
   *(1-IFERROR(_xlfn.XLOOKUP(1,(DESC_PROV[LINEA]=$B$2)*(DESC_PROV[LISTA]=$C$2),DESC_PROV[DESCUENTO]),0)),
   ((B43*(1+IFERROR(VLOOKUP($D$2,COLORES[],2,FALSE),0)))+E43)
   *(1-IFERROR(_xlfn.XLOOKUP(1,(DESC_PROV[LINEA]=$B$2)*(DESC_PROV[LISTA]=$C$2),DESC_PROV[DESCUENTO]),0))
   *(1+VLOOKUP($C$2,LISTAS[],2,FALSE))
   *(1+VLOOKUP($C$2,LISTAS[],3,FALSE))
)
/5,0)*5,0)</f>
        <v>185490</v>
      </c>
      <c r="O43" s="125">
        <f t="array" ref="O43">IFERROR(
ROUND(
IF($A$2="COSTO",
   ((B43*(1+IFERROR(VLOOKUP($D$2,COLORES[],2,FALSE),0)))+F43)
   *(1-IFERROR(_xlfn.XLOOKUP(1,(DESC_PROV[LINEA]=$B$2)*(DESC_PROV[LISTA]=$C$2),DESC_PROV[DESCUENTO]),0)),
   ((B43*(1+IFERROR(VLOOKUP($D$2,COLORES[],2,FALSE),0)))+F43)
   *(1-IFERROR(_xlfn.XLOOKUP(1,(DESC_PROV[LINEA]=$B$2)*(DESC_PROV[LISTA]=$C$2),DESC_PROV[DESCUENTO]),0))
   *(1+VLOOKUP($C$2,LISTAS[],2,FALSE))
   *(1+VLOOKUP($C$2,LISTAS[],3,FALSE))
)
/5,0)*5,0)</f>
        <v>211570</v>
      </c>
      <c r="P43" s="125">
        <f t="array" ref="P43">IFERROR(
ROUND(
IF($A$2="COSTO",
   ((B43*(1+IFERROR(VLOOKUP($D$2,COLORES[],2,FALSE),0)))+G43)
   *(1-IFERROR(_xlfn.XLOOKUP(1,(DESC_PROV[LINEA]=$B$2)*(DESC_PROV[LISTA]=$C$2),DESC_PROV[DESCUENTO]),0)),
   ((B43*(1+IFERROR(VLOOKUP($D$2,COLORES[],2,FALSE),0)))+G43)
   *(1-IFERROR(_xlfn.XLOOKUP(1,(DESC_PROV[LINEA]=$B$2)*(DESC_PROV[LISTA]=$C$2),DESC_PROV[DESCUENTO]),0))
   *(1+VLOOKUP($C$2,LISTAS[],2,FALSE))
   *(1+VLOOKUP($C$2,LISTAS[],3,FALSE))
)
/5,0)*5,0)</f>
        <v>181660</v>
      </c>
      <c r="Q43" s="125">
        <f t="array" ref="Q43">IFERROR(
ROUND(
IF($A$2="COSTO",
   ((B43*(1+IFERROR(VLOOKUP($D$2,COLORES[],2,FALSE),0)))+H43)
   *(1-IFERROR(_xlfn.XLOOKUP(1,(DESC_PROV[LINEA]=$B$2)*(DESC_PROV[LISTA]=$C$2),DESC_PROV[DESCUENTO]),0)),
   ((B43*(1+IFERROR(VLOOKUP($D$2,COLORES[],2,FALSE),0)))+H43)
   *(1-IFERROR(_xlfn.XLOOKUP(1,(DESC_PROV[LINEA]=$B$2)*(DESC_PROV[LISTA]=$C$2),DESC_PROV[DESCUENTO]),0))
   *(1+VLOOKUP($C$2,LISTAS[],2,FALSE))
   *(1+VLOOKUP($C$2,LISTAS[],3,FALSE))
)
/5,0)*5,0)</f>
        <v>235110</v>
      </c>
      <c r="R43" s="126">
        <f t="array" ref="R43">IFERROR(
ROUND(
IF($A$2="COSTO",
   ((B43*(1+IFERROR(VLOOKUP($D$2,COLORES[],2,FALSE),0)))+(D43+I43+D43))
   *(1-IFERROR(_xlfn.XLOOKUP(1,(DESC_PROV[LINEA]=$B$2)*(DESC_PROV[LISTA]=$C$2),DESC_PROV[DESCUENTO]),0)),
   ((B43*(1+IFERROR(VLOOKUP($D$2,COLORES[],2,FALSE),0)))+(D43+I43+D43))
   *(1-IFERROR(_xlfn.XLOOKUP(1,(DESC_PROV[LINEA]=$B$2)*(DESC_PROV[LISTA]=$C$2),DESC_PROV[DESCUENTO]),0))
   *(1+VLOOKUP($C$2,LISTAS[],2,FALSE))
   *(1+VLOOKUP($C$2,LISTAS[],3,FALSE))
)
/5,0)*5,0)</f>
        <v>256425</v>
      </c>
    </row>
    <row r="44" spans="1:18">
      <c r="A44" s="133" t="s">
        <v>179</v>
      </c>
      <c r="B44" s="125">
        <v>132403</v>
      </c>
      <c r="C44" s="125">
        <v>13066</v>
      </c>
      <c r="D44" s="125">
        <v>15773</v>
      </c>
      <c r="E44" s="125">
        <v>20976</v>
      </c>
      <c r="F44" s="125">
        <v>45389</v>
      </c>
      <c r="G44" s="125">
        <v>17347</v>
      </c>
      <c r="H44" s="125">
        <v>67380</v>
      </c>
      <c r="I44" s="125">
        <v>49613</v>
      </c>
      <c r="J44" s="124"/>
      <c r="K44" s="133" t="s">
        <v>179</v>
      </c>
      <c r="L44" s="125">
        <f t="array" ref="L44">IFERROR(
ROUND(
IF($A$2="COSTO",
   ((B44*(1+IFERROR(VLOOKUP($D$2,COLORES[],2,FALSE),0)))+C44)
   *(1-IFERROR(_xlfn.XLOOKUP(1,(DESC_PROV[LINEA]=$B$2)*(DESC_PROV[LISTA]=$C$2),DESC_PROV[DESCUENTO]),0)),
   ((B44*(1+IFERROR(VLOOKUP($D$2,COLORES[],2,FALSE),0)))+C44)
   *(1-IFERROR(_xlfn.XLOOKUP(1,(DESC_PROV[LINEA]=$B$2)*(DESC_PROV[LISTA]=$C$2),DESC_PROV[DESCUENTO]),0))
   *(1+VLOOKUP($C$2,LISTAS[],2,FALSE))
   *(1+VLOOKUP($C$2,LISTAS[],3,FALSE))
)
/5,0)*5,0)</f>
        <v>186425</v>
      </c>
      <c r="M44" s="125">
        <f t="array" ref="M44">IFERROR(
ROUND(
IF($A$2="COSTO",
   ((B44*(1+IFERROR(VLOOKUP($D$2,COLORES[],2,FALSE),0)))+D44)
   *(1-IFERROR(_xlfn.XLOOKUP(1,(DESC_PROV[LINEA]=$B$2)*(DESC_PROV[LISTA]=$C$2),DESC_PROV[DESCUENTO]),0)),
   ((B44*(1+IFERROR(VLOOKUP($D$2,COLORES[],2,FALSE),0)))+D44)
   *(1-IFERROR(_xlfn.XLOOKUP(1,(DESC_PROV[LINEA]=$B$2)*(DESC_PROV[LISTA]=$C$2),DESC_PROV[DESCUENTO]),0))
   *(1+VLOOKUP($C$2,LISTAS[],2,FALSE))
   *(1+VLOOKUP($C$2,LISTAS[],3,FALSE))
)
/5,0)*5,0)</f>
        <v>189895</v>
      </c>
      <c r="N44" s="125">
        <f t="array" ref="N44">IFERROR(
ROUND(
IF($A$2="COSTO",
   ((B44*(1+IFERROR(VLOOKUP($D$2,COLORES[],2,FALSE),0)))+E44)
   *(1-IFERROR(_xlfn.XLOOKUP(1,(DESC_PROV[LINEA]=$B$2)*(DESC_PROV[LISTA]=$C$2),DESC_PROV[DESCUENTO]),0)),
   ((B44*(1+IFERROR(VLOOKUP($D$2,COLORES[],2,FALSE),0)))+E44)
   *(1-IFERROR(_xlfn.XLOOKUP(1,(DESC_PROV[LINEA]=$B$2)*(DESC_PROV[LISTA]=$C$2),DESC_PROV[DESCUENTO]),0))
   *(1+VLOOKUP($C$2,LISTAS[],2,FALSE))
   *(1+VLOOKUP($C$2,LISTAS[],3,FALSE))
)
/5,0)*5,0)</f>
        <v>196560</v>
      </c>
      <c r="O44" s="125">
        <f t="array" ref="O44">IFERROR(
ROUND(
IF($A$2="COSTO",
   ((B44*(1+IFERROR(VLOOKUP($D$2,COLORES[],2,FALSE),0)))+F44)
   *(1-IFERROR(_xlfn.XLOOKUP(1,(DESC_PROV[LINEA]=$B$2)*(DESC_PROV[LISTA]=$C$2),DESC_PROV[DESCUENTO]),0)),
   ((B44*(1+IFERROR(VLOOKUP($D$2,COLORES[],2,FALSE),0)))+F44)
   *(1-IFERROR(_xlfn.XLOOKUP(1,(DESC_PROV[LINEA]=$B$2)*(DESC_PROV[LISTA]=$C$2),DESC_PROV[DESCUENTO]),0))
   *(1+VLOOKUP($C$2,LISTAS[],2,FALSE))
   *(1+VLOOKUP($C$2,LISTAS[],3,FALSE))
)
/5,0)*5,0)</f>
        <v>227850</v>
      </c>
      <c r="P44" s="125">
        <f t="array" ref="P44">IFERROR(
ROUND(
IF($A$2="COSTO",
   ((B44*(1+IFERROR(VLOOKUP($D$2,COLORES[],2,FALSE),0)))+G44)
   *(1-IFERROR(_xlfn.XLOOKUP(1,(DESC_PROV[LINEA]=$B$2)*(DESC_PROV[LISTA]=$C$2),DESC_PROV[DESCUENTO]),0)),
   ((B44*(1+IFERROR(VLOOKUP($D$2,COLORES[],2,FALSE),0)))+G44)
   *(1-IFERROR(_xlfn.XLOOKUP(1,(DESC_PROV[LINEA]=$B$2)*(DESC_PROV[LISTA]=$C$2),DESC_PROV[DESCUENTO]),0))
   *(1+VLOOKUP($C$2,LISTAS[],2,FALSE))
   *(1+VLOOKUP($C$2,LISTAS[],3,FALSE))
)
/5,0)*5,0)</f>
        <v>191910</v>
      </c>
      <c r="Q44" s="125">
        <f t="array" ref="Q44">IFERROR(
ROUND(
IF($A$2="COSTO",
   ((B44*(1+IFERROR(VLOOKUP($D$2,COLORES[],2,FALSE),0)))+H44)
   *(1-IFERROR(_xlfn.XLOOKUP(1,(DESC_PROV[LINEA]=$B$2)*(DESC_PROV[LISTA]=$C$2),DESC_PROV[DESCUENTO]),0)),
   ((B44*(1+IFERROR(VLOOKUP($D$2,COLORES[],2,FALSE),0)))+H44)
   *(1-IFERROR(_xlfn.XLOOKUP(1,(DESC_PROV[LINEA]=$B$2)*(DESC_PROV[LISTA]=$C$2),DESC_PROV[DESCUENTO]),0))
   *(1+VLOOKUP($C$2,LISTAS[],2,FALSE))
   *(1+VLOOKUP($C$2,LISTAS[],3,FALSE))
)
/5,0)*5,0)</f>
        <v>256030</v>
      </c>
      <c r="R44" s="126">
        <f t="array" ref="R44">IFERROR(
ROUND(
IF($A$2="COSTO",
   ((B44*(1+IFERROR(VLOOKUP($D$2,COLORES[],2,FALSE),0)))+(D44+I44+D44))
   *(1-IFERROR(_xlfn.XLOOKUP(1,(DESC_PROV[LINEA]=$B$2)*(DESC_PROV[LISTA]=$C$2),DESC_PROV[DESCUENTO]),0)),
   ((B44*(1+IFERROR(VLOOKUP($D$2,COLORES[],2,FALSE),0)))+(D44+I44+D44))
   *(1-IFERROR(_xlfn.XLOOKUP(1,(DESC_PROV[LINEA]=$B$2)*(DESC_PROV[LISTA]=$C$2),DESC_PROV[DESCUENTO]),0))
   *(1+VLOOKUP($C$2,LISTAS[],2,FALSE))
   *(1+VLOOKUP($C$2,LISTAS[],3,FALSE))
)
/5,0)*5,0)</f>
        <v>273690</v>
      </c>
    </row>
    <row r="45" spans="1:18">
      <c r="A45" s="133" t="s">
        <v>180</v>
      </c>
      <c r="B45" s="125">
        <v>137537</v>
      </c>
      <c r="C45" s="125">
        <v>15235</v>
      </c>
      <c r="D45" s="125">
        <v>18394</v>
      </c>
      <c r="E45" s="125">
        <v>24490</v>
      </c>
      <c r="F45" s="125">
        <v>52963</v>
      </c>
      <c r="G45" s="125">
        <v>20218</v>
      </c>
      <c r="H45" s="125">
        <v>78578</v>
      </c>
      <c r="I45" s="125">
        <v>52714</v>
      </c>
      <c r="J45" s="124"/>
      <c r="K45" s="133" t="s">
        <v>180</v>
      </c>
      <c r="L45" s="125">
        <f t="array" ref="L45">IFERROR(
ROUND(
IF($A$2="COSTO",
   ((B45*(1+IFERROR(VLOOKUP($D$2,COLORES[],2,FALSE),0)))+C45)
   *(1-IFERROR(_xlfn.XLOOKUP(1,(DESC_PROV[LINEA]=$B$2)*(DESC_PROV[LISTA]=$C$2),DESC_PROV[DESCUENTO]),0)),
   ((B45*(1+IFERROR(VLOOKUP($D$2,COLORES[],2,FALSE),0)))+C45)
   *(1-IFERROR(_xlfn.XLOOKUP(1,(DESC_PROV[LINEA]=$B$2)*(DESC_PROV[LISTA]=$C$2),DESC_PROV[DESCUENTO]),0))
   *(1+VLOOKUP($C$2,LISTAS[],2,FALSE))
   *(1+VLOOKUP($C$2,LISTAS[],3,FALSE))
)
/5,0)*5,0)</f>
        <v>195785</v>
      </c>
      <c r="M45" s="125">
        <f t="array" ref="M45">IFERROR(
ROUND(
IF($A$2="COSTO",
   ((B45*(1+IFERROR(VLOOKUP($D$2,COLORES[],2,FALSE),0)))+D45)
   *(1-IFERROR(_xlfn.XLOOKUP(1,(DESC_PROV[LINEA]=$B$2)*(DESC_PROV[LISTA]=$C$2),DESC_PROV[DESCUENTO]),0)),
   ((B45*(1+IFERROR(VLOOKUP($D$2,COLORES[],2,FALSE),0)))+D45)
   *(1-IFERROR(_xlfn.XLOOKUP(1,(DESC_PROV[LINEA]=$B$2)*(DESC_PROV[LISTA]=$C$2),DESC_PROV[DESCUENTO]),0))
   *(1+VLOOKUP($C$2,LISTAS[],2,FALSE))
   *(1+VLOOKUP($C$2,LISTAS[],3,FALSE))
)
/5,0)*5,0)</f>
        <v>199830</v>
      </c>
      <c r="N45" s="125">
        <f t="array" ref="N45">IFERROR(
ROUND(
IF($A$2="COSTO",
   ((B45*(1+IFERROR(VLOOKUP($D$2,COLORES[],2,FALSE),0)))+E45)
   *(1-IFERROR(_xlfn.XLOOKUP(1,(DESC_PROV[LINEA]=$B$2)*(DESC_PROV[LISTA]=$C$2),DESC_PROV[DESCUENTO]),0)),
   ((B45*(1+IFERROR(VLOOKUP($D$2,COLORES[],2,FALSE),0)))+E45)
   *(1-IFERROR(_xlfn.XLOOKUP(1,(DESC_PROV[LINEA]=$B$2)*(DESC_PROV[LISTA]=$C$2),DESC_PROV[DESCUENTO]),0))
   *(1+VLOOKUP($C$2,LISTAS[],2,FALSE))
   *(1+VLOOKUP($C$2,LISTAS[],3,FALSE))
)
/5,0)*5,0)</f>
        <v>207645</v>
      </c>
      <c r="O45" s="125">
        <f t="array" ref="O45">IFERROR(
ROUND(
IF($A$2="COSTO",
   ((B45*(1+IFERROR(VLOOKUP($D$2,COLORES[],2,FALSE),0)))+F45)
   *(1-IFERROR(_xlfn.XLOOKUP(1,(DESC_PROV[LINEA]=$B$2)*(DESC_PROV[LISTA]=$C$2),DESC_PROV[DESCUENTO]),0)),
   ((B45*(1+IFERROR(VLOOKUP($D$2,COLORES[],2,FALSE),0)))+F45)
   *(1-IFERROR(_xlfn.XLOOKUP(1,(DESC_PROV[LINEA]=$B$2)*(DESC_PROV[LISTA]=$C$2),DESC_PROV[DESCUENTO]),0))
   *(1+VLOOKUP($C$2,LISTAS[],2,FALSE))
   *(1+VLOOKUP($C$2,LISTAS[],3,FALSE))
)
/5,0)*5,0)</f>
        <v>244135</v>
      </c>
      <c r="P45" s="125">
        <f t="array" ref="P45">IFERROR(
ROUND(
IF($A$2="COSTO",
   ((B45*(1+IFERROR(VLOOKUP($D$2,COLORES[],2,FALSE),0)))+G45)
   *(1-IFERROR(_xlfn.XLOOKUP(1,(DESC_PROV[LINEA]=$B$2)*(DESC_PROV[LISTA]=$C$2),DESC_PROV[DESCUENTO]),0)),
   ((B45*(1+IFERROR(VLOOKUP($D$2,COLORES[],2,FALSE),0)))+G45)
   *(1-IFERROR(_xlfn.XLOOKUP(1,(DESC_PROV[LINEA]=$B$2)*(DESC_PROV[LISTA]=$C$2),DESC_PROV[DESCUENTO]),0))
   *(1+VLOOKUP($C$2,LISTAS[],2,FALSE))
   *(1+VLOOKUP($C$2,LISTAS[],3,FALSE))
)
/5,0)*5,0)</f>
        <v>202170</v>
      </c>
      <c r="Q45" s="125">
        <f t="array" ref="Q45">IFERROR(
ROUND(
IF($A$2="COSTO",
   ((B45*(1+IFERROR(VLOOKUP($D$2,COLORES[],2,FALSE),0)))+H45)
   *(1-IFERROR(_xlfn.XLOOKUP(1,(DESC_PROV[LINEA]=$B$2)*(DESC_PROV[LISTA]=$C$2),DESC_PROV[DESCUENTO]),0)),
   ((B45*(1+IFERROR(VLOOKUP($D$2,COLORES[],2,FALSE),0)))+H45)
   *(1-IFERROR(_xlfn.XLOOKUP(1,(DESC_PROV[LINEA]=$B$2)*(DESC_PROV[LISTA]=$C$2),DESC_PROV[DESCUENTO]),0))
   *(1+VLOOKUP($C$2,LISTAS[],2,FALSE))
   *(1+VLOOKUP($C$2,LISTAS[],3,FALSE))
)
/5,0)*5,0)</f>
        <v>276960</v>
      </c>
      <c r="R45" s="126">
        <f t="array" ref="R45">IFERROR(
ROUND(
IF($A$2="COSTO",
   ((B45*(1+IFERROR(VLOOKUP($D$2,COLORES[],2,FALSE),0)))+(D45+I45+D45))
   *(1-IFERROR(_xlfn.XLOOKUP(1,(DESC_PROV[LINEA]=$B$2)*(DESC_PROV[LISTA]=$C$2),DESC_PROV[DESCUENTO]),0)),
   ((B45*(1+IFERROR(VLOOKUP($D$2,COLORES[],2,FALSE),0)))+(D45+I45+D45))
   *(1-IFERROR(_xlfn.XLOOKUP(1,(DESC_PROV[LINEA]=$B$2)*(DESC_PROV[LISTA]=$C$2),DESC_PROV[DESCUENTO]),0))
   *(1+VLOOKUP($C$2,LISTAS[],2,FALSE))
   *(1+VLOOKUP($C$2,LISTAS[],3,FALSE))
)
/5,0)*5,0)</f>
        <v>290960</v>
      </c>
    </row>
    <row r="46" spans="1:18">
      <c r="A46" s="133" t="s">
        <v>181</v>
      </c>
      <c r="B46" s="125">
        <v>142657</v>
      </c>
      <c r="C46" s="125">
        <v>17414</v>
      </c>
      <c r="D46" s="125">
        <v>21014</v>
      </c>
      <c r="E46" s="125">
        <v>28003</v>
      </c>
      <c r="F46" s="125">
        <v>60538</v>
      </c>
      <c r="G46" s="125">
        <v>23088</v>
      </c>
      <c r="H46" s="125">
        <v>89775</v>
      </c>
      <c r="I46" s="125">
        <v>55814</v>
      </c>
      <c r="J46" s="124"/>
      <c r="K46" s="133" t="s">
        <v>181</v>
      </c>
      <c r="L46" s="125">
        <f t="array" ref="L46">IFERROR(
ROUND(
IF($A$2="COSTO",
   ((B46*(1+IFERROR(VLOOKUP($D$2,COLORES[],2,FALSE),0)))+C46)
   *(1-IFERROR(_xlfn.XLOOKUP(1,(DESC_PROV[LINEA]=$B$2)*(DESC_PROV[LISTA]=$C$2),DESC_PROV[DESCUENTO]),0)),
   ((B46*(1+IFERROR(VLOOKUP($D$2,COLORES[],2,FALSE),0)))+C46)
   *(1-IFERROR(_xlfn.XLOOKUP(1,(DESC_PROV[LINEA]=$B$2)*(DESC_PROV[LISTA]=$C$2),DESC_PROV[DESCUENTO]),0))
   *(1+VLOOKUP($C$2,LISTAS[],2,FALSE))
   *(1+VLOOKUP($C$2,LISTAS[],3,FALSE))
)
/5,0)*5,0)</f>
        <v>205135</v>
      </c>
      <c r="M46" s="125">
        <f t="array" ref="M46">IFERROR(
ROUND(
IF($A$2="COSTO",
   ((B46*(1+IFERROR(VLOOKUP($D$2,COLORES[],2,FALSE),0)))+D46)
   *(1-IFERROR(_xlfn.XLOOKUP(1,(DESC_PROV[LINEA]=$B$2)*(DESC_PROV[LISTA]=$C$2),DESC_PROV[DESCUENTO]),0)),
   ((B46*(1+IFERROR(VLOOKUP($D$2,COLORES[],2,FALSE),0)))+D46)
   *(1-IFERROR(_xlfn.XLOOKUP(1,(DESC_PROV[LINEA]=$B$2)*(DESC_PROV[LISTA]=$C$2),DESC_PROV[DESCUENTO]),0))
   *(1+VLOOKUP($C$2,LISTAS[],2,FALSE))
   *(1+VLOOKUP($C$2,LISTAS[],3,FALSE))
)
/5,0)*5,0)</f>
        <v>209750</v>
      </c>
      <c r="N46" s="125">
        <f t="array" ref="N46">IFERROR(
ROUND(
IF($A$2="COSTO",
   ((B46*(1+IFERROR(VLOOKUP($D$2,COLORES[],2,FALSE),0)))+E46)
   *(1-IFERROR(_xlfn.XLOOKUP(1,(DESC_PROV[LINEA]=$B$2)*(DESC_PROV[LISTA]=$C$2),DESC_PROV[DESCUENTO]),0)),
   ((B46*(1+IFERROR(VLOOKUP($D$2,COLORES[],2,FALSE),0)))+E46)
   *(1-IFERROR(_xlfn.XLOOKUP(1,(DESC_PROV[LINEA]=$B$2)*(DESC_PROV[LISTA]=$C$2),DESC_PROV[DESCUENTO]),0))
   *(1+VLOOKUP($C$2,LISTAS[],2,FALSE))
   *(1+VLOOKUP($C$2,LISTAS[],3,FALSE))
)
/5,0)*5,0)</f>
        <v>218710</v>
      </c>
      <c r="O46" s="125">
        <f t="array" ref="O46">IFERROR(
ROUND(
IF($A$2="COSTO",
   ((B46*(1+IFERROR(VLOOKUP($D$2,COLORES[],2,FALSE),0)))+F46)
   *(1-IFERROR(_xlfn.XLOOKUP(1,(DESC_PROV[LINEA]=$B$2)*(DESC_PROV[LISTA]=$C$2),DESC_PROV[DESCUENTO]),0)),
   ((B46*(1+IFERROR(VLOOKUP($D$2,COLORES[],2,FALSE),0)))+F46)
   *(1-IFERROR(_xlfn.XLOOKUP(1,(DESC_PROV[LINEA]=$B$2)*(DESC_PROV[LISTA]=$C$2),DESC_PROV[DESCUENTO]),0))
   *(1+VLOOKUP($C$2,LISTAS[],2,FALSE))
   *(1+VLOOKUP($C$2,LISTAS[],3,FALSE))
)
/5,0)*5,0)</f>
        <v>260405</v>
      </c>
      <c r="P46" s="125">
        <f t="array" ref="P46">IFERROR(
ROUND(
IF($A$2="COSTO",
   ((B46*(1+IFERROR(VLOOKUP($D$2,COLORES[],2,FALSE),0)))+G46)
   *(1-IFERROR(_xlfn.XLOOKUP(1,(DESC_PROV[LINEA]=$B$2)*(DESC_PROV[LISTA]=$C$2),DESC_PROV[DESCUENTO]),0)),
   ((B46*(1+IFERROR(VLOOKUP($D$2,COLORES[],2,FALSE),0)))+G46)
   *(1-IFERROR(_xlfn.XLOOKUP(1,(DESC_PROV[LINEA]=$B$2)*(DESC_PROV[LISTA]=$C$2),DESC_PROV[DESCUENTO]),0))
   *(1+VLOOKUP($C$2,LISTAS[],2,FALSE))
   *(1+VLOOKUP($C$2,LISTAS[],3,FALSE))
)
/5,0)*5,0)</f>
        <v>212410</v>
      </c>
      <c r="Q46" s="125">
        <f t="array" ref="Q46">IFERROR(
ROUND(
IF($A$2="COSTO",
   ((B46*(1+IFERROR(VLOOKUP($D$2,COLORES[],2,FALSE),0)))+H46)
   *(1-IFERROR(_xlfn.XLOOKUP(1,(DESC_PROV[LINEA]=$B$2)*(DESC_PROV[LISTA]=$C$2),DESC_PROV[DESCUENTO]),0)),
   ((B46*(1+IFERROR(VLOOKUP($D$2,COLORES[],2,FALSE),0)))+H46)
   *(1-IFERROR(_xlfn.XLOOKUP(1,(DESC_PROV[LINEA]=$B$2)*(DESC_PROV[LISTA]=$C$2),DESC_PROV[DESCUENTO]),0))
   *(1+VLOOKUP($C$2,LISTAS[],2,FALSE))
   *(1+VLOOKUP($C$2,LISTAS[],3,FALSE))
)
/5,0)*5,0)</f>
        <v>297870</v>
      </c>
      <c r="R46" s="126">
        <f t="array" ref="R46">IFERROR(
ROUND(
IF($A$2="COSTO",
   ((B46*(1+IFERROR(VLOOKUP($D$2,COLORES[],2,FALSE),0)))+(D46+I46+D46))
   *(1-IFERROR(_xlfn.XLOOKUP(1,(DESC_PROV[LINEA]=$B$2)*(DESC_PROV[LISTA]=$C$2),DESC_PROV[DESCUENTO]),0)),
   ((B46*(1+IFERROR(VLOOKUP($D$2,COLORES[],2,FALSE),0)))+(D46+I46+D46))
   *(1-IFERROR(_xlfn.XLOOKUP(1,(DESC_PROV[LINEA]=$B$2)*(DESC_PROV[LISTA]=$C$2),DESC_PROV[DESCUENTO]),0))
   *(1+VLOOKUP($C$2,LISTAS[],2,FALSE))
   *(1+VLOOKUP($C$2,LISTAS[],3,FALSE))
)
/5,0)*5,0)</f>
        <v>308210</v>
      </c>
    </row>
    <row r="47" spans="1:18">
      <c r="A47" s="133" t="s">
        <v>182</v>
      </c>
      <c r="B47" s="125">
        <v>147784</v>
      </c>
      <c r="C47" s="125">
        <v>19594</v>
      </c>
      <c r="D47" s="125">
        <v>23635</v>
      </c>
      <c r="E47" s="125">
        <v>31507</v>
      </c>
      <c r="F47" s="125">
        <v>68112</v>
      </c>
      <c r="G47" s="125">
        <v>25958</v>
      </c>
      <c r="H47" s="125">
        <v>100973</v>
      </c>
      <c r="I47" s="125">
        <v>58915</v>
      </c>
      <c r="J47" s="124"/>
      <c r="K47" s="133" t="s">
        <v>182</v>
      </c>
      <c r="L47" s="125">
        <f t="array" ref="L47">IFERROR(
ROUND(
IF($A$2="COSTO",
   ((B47*(1+IFERROR(VLOOKUP($D$2,COLORES[],2,FALSE),0)))+C47)
   *(1-IFERROR(_xlfn.XLOOKUP(1,(DESC_PROV[LINEA]=$B$2)*(DESC_PROV[LISTA]=$C$2),DESC_PROV[DESCUENTO]),0)),
   ((B47*(1+IFERROR(VLOOKUP($D$2,COLORES[],2,FALSE),0)))+C47)
   *(1-IFERROR(_xlfn.XLOOKUP(1,(DESC_PROV[LINEA]=$B$2)*(DESC_PROV[LISTA]=$C$2),DESC_PROV[DESCUENTO]),0))
   *(1+VLOOKUP($C$2,LISTAS[],2,FALSE))
   *(1+VLOOKUP($C$2,LISTAS[],3,FALSE))
)
/5,0)*5,0)</f>
        <v>214500</v>
      </c>
      <c r="M47" s="125">
        <f t="array" ref="M47">IFERROR(
ROUND(
IF($A$2="COSTO",
   ((B47*(1+IFERROR(VLOOKUP($D$2,COLORES[],2,FALSE),0)))+D47)
   *(1-IFERROR(_xlfn.XLOOKUP(1,(DESC_PROV[LINEA]=$B$2)*(DESC_PROV[LISTA]=$C$2),DESC_PROV[DESCUENTO]),0)),
   ((B47*(1+IFERROR(VLOOKUP($D$2,COLORES[],2,FALSE),0)))+D47)
   *(1-IFERROR(_xlfn.XLOOKUP(1,(DESC_PROV[LINEA]=$B$2)*(DESC_PROV[LISTA]=$C$2),DESC_PROV[DESCUENTO]),0))
   *(1+VLOOKUP($C$2,LISTAS[],2,FALSE))
   *(1+VLOOKUP($C$2,LISTAS[],3,FALSE))
)
/5,0)*5,0)</f>
        <v>219680</v>
      </c>
      <c r="N47" s="125">
        <f t="array" ref="N47">IFERROR(
ROUND(
IF($A$2="COSTO",
   ((B47*(1+IFERROR(VLOOKUP($D$2,COLORES[],2,FALSE),0)))+E47)
   *(1-IFERROR(_xlfn.XLOOKUP(1,(DESC_PROV[LINEA]=$B$2)*(DESC_PROV[LISTA]=$C$2),DESC_PROV[DESCUENTO]),0)),
   ((B47*(1+IFERROR(VLOOKUP($D$2,COLORES[],2,FALSE),0)))+E47)
   *(1-IFERROR(_xlfn.XLOOKUP(1,(DESC_PROV[LINEA]=$B$2)*(DESC_PROV[LISTA]=$C$2),DESC_PROV[DESCUENTO]),0))
   *(1+VLOOKUP($C$2,LISTAS[],2,FALSE))
   *(1+VLOOKUP($C$2,LISTAS[],3,FALSE))
)
/5,0)*5,0)</f>
        <v>229770</v>
      </c>
      <c r="O47" s="125">
        <f t="array" ref="O47">IFERROR(
ROUND(
IF($A$2="COSTO",
   ((B47*(1+IFERROR(VLOOKUP($D$2,COLORES[],2,FALSE),0)))+F47)
   *(1-IFERROR(_xlfn.XLOOKUP(1,(DESC_PROV[LINEA]=$B$2)*(DESC_PROV[LISTA]=$C$2),DESC_PROV[DESCUENTO]),0)),
   ((B47*(1+IFERROR(VLOOKUP($D$2,COLORES[],2,FALSE),0)))+F47)
   *(1-IFERROR(_xlfn.XLOOKUP(1,(DESC_PROV[LINEA]=$B$2)*(DESC_PROV[LISTA]=$C$2),DESC_PROV[DESCUENTO]),0))
   *(1+VLOOKUP($C$2,LISTAS[],2,FALSE))
   *(1+VLOOKUP($C$2,LISTAS[],3,FALSE))
)
/5,0)*5,0)</f>
        <v>276680</v>
      </c>
      <c r="P47" s="125">
        <f t="array" ref="P47">IFERROR(
ROUND(
IF($A$2="COSTO",
   ((B47*(1+IFERROR(VLOOKUP($D$2,COLORES[],2,FALSE),0)))+G47)
   *(1-IFERROR(_xlfn.XLOOKUP(1,(DESC_PROV[LINEA]=$B$2)*(DESC_PROV[LISTA]=$C$2),DESC_PROV[DESCUENTO]),0)),
   ((B47*(1+IFERROR(VLOOKUP($D$2,COLORES[],2,FALSE),0)))+G47)
   *(1-IFERROR(_xlfn.XLOOKUP(1,(DESC_PROV[LINEA]=$B$2)*(DESC_PROV[LISTA]=$C$2),DESC_PROV[DESCUENTO]),0))
   *(1+VLOOKUP($C$2,LISTAS[],2,FALSE))
   *(1+VLOOKUP($C$2,LISTAS[],3,FALSE))
)
/5,0)*5,0)</f>
        <v>222655</v>
      </c>
      <c r="Q47" s="125">
        <f t="array" ref="Q47">IFERROR(
ROUND(
IF($A$2="COSTO",
   ((B47*(1+IFERROR(VLOOKUP($D$2,COLORES[],2,FALSE),0)))+H47)
   *(1-IFERROR(_xlfn.XLOOKUP(1,(DESC_PROV[LINEA]=$B$2)*(DESC_PROV[LISTA]=$C$2),DESC_PROV[DESCUENTO]),0)),
   ((B47*(1+IFERROR(VLOOKUP($D$2,COLORES[],2,FALSE),0)))+H47)
   *(1-IFERROR(_xlfn.XLOOKUP(1,(DESC_PROV[LINEA]=$B$2)*(DESC_PROV[LISTA]=$C$2),DESC_PROV[DESCUENTO]),0))
   *(1+VLOOKUP($C$2,LISTAS[],2,FALSE))
   *(1+VLOOKUP($C$2,LISTAS[],3,FALSE))
)
/5,0)*5,0)</f>
        <v>318790</v>
      </c>
      <c r="R47" s="126">
        <f t="array" ref="R47">IFERROR(
ROUND(
IF($A$2="COSTO",
   ((B47*(1+IFERROR(VLOOKUP($D$2,COLORES[],2,FALSE),0)))+(D47+I47+D47))
   *(1-IFERROR(_xlfn.XLOOKUP(1,(DESC_PROV[LINEA]=$B$2)*(DESC_PROV[LISTA]=$C$2),DESC_PROV[DESCUENTO]),0)),
   ((B47*(1+IFERROR(VLOOKUP($D$2,COLORES[],2,FALSE),0)))+(D47+I47+D47))
   *(1-IFERROR(_xlfn.XLOOKUP(1,(DESC_PROV[LINEA]=$B$2)*(DESC_PROV[LISTA]=$C$2),DESC_PROV[DESCUENTO]),0))
   *(1+VLOOKUP($C$2,LISTAS[],2,FALSE))
   *(1+VLOOKUP($C$2,LISTAS[],3,FALSE))
)
/5,0)*5,0)</f>
        <v>325470</v>
      </c>
    </row>
    <row r="48" spans="1:18">
      <c r="A48" s="133" t="s">
        <v>183</v>
      </c>
      <c r="B48" s="125">
        <v>122155</v>
      </c>
      <c r="C48" s="125">
        <v>7344</v>
      </c>
      <c r="D48" s="125">
        <v>8899</v>
      </c>
      <c r="E48" s="125">
        <v>11741</v>
      </c>
      <c r="F48" s="125">
        <v>25392</v>
      </c>
      <c r="G48" s="125">
        <v>9830</v>
      </c>
      <c r="H48" s="125">
        <v>38016</v>
      </c>
      <c r="I48" s="125">
        <v>43411</v>
      </c>
      <c r="J48" s="124"/>
      <c r="K48" s="133" t="s">
        <v>183</v>
      </c>
      <c r="L48" s="125">
        <f t="array" ref="L48">IFERROR(
ROUND(
IF($A$2="COSTO",
   ((B48*(1+IFERROR(VLOOKUP($D$2,COLORES[],2,FALSE),0)))+C48)
   *(1-IFERROR(_xlfn.XLOOKUP(1,(DESC_PROV[LINEA]=$B$2)*(DESC_PROV[LISTA]=$C$2),DESC_PROV[DESCUENTO]),0)),
   ((B48*(1+IFERROR(VLOOKUP($D$2,COLORES[],2,FALSE),0)))+C48)
   *(1-IFERROR(_xlfn.XLOOKUP(1,(DESC_PROV[LINEA]=$B$2)*(DESC_PROV[LISTA]=$C$2),DESC_PROV[DESCUENTO]),0))
   *(1+VLOOKUP($C$2,LISTAS[],2,FALSE))
   *(1+VLOOKUP($C$2,LISTAS[],3,FALSE))
)
/5,0)*5,0)</f>
        <v>165960</v>
      </c>
      <c r="M48" s="125">
        <f t="array" ref="M48">IFERROR(
ROUND(
IF($A$2="COSTO",
   ((B48*(1+IFERROR(VLOOKUP($D$2,COLORES[],2,FALSE),0)))+D48)
   *(1-IFERROR(_xlfn.XLOOKUP(1,(DESC_PROV[LINEA]=$B$2)*(DESC_PROV[LISTA]=$C$2),DESC_PROV[DESCUENTO]),0)),
   ((B48*(1+IFERROR(VLOOKUP($D$2,COLORES[],2,FALSE),0)))+D48)
   *(1-IFERROR(_xlfn.XLOOKUP(1,(DESC_PROV[LINEA]=$B$2)*(DESC_PROV[LISTA]=$C$2),DESC_PROV[DESCUENTO]),0))
   *(1+VLOOKUP($C$2,LISTAS[],2,FALSE))
   *(1+VLOOKUP($C$2,LISTAS[],3,FALSE))
)
/5,0)*5,0)</f>
        <v>167950</v>
      </c>
      <c r="N48" s="125">
        <f t="array" ref="N48">IFERROR(
ROUND(
IF($A$2="COSTO",
   ((B48*(1+IFERROR(VLOOKUP($D$2,COLORES[],2,FALSE),0)))+E48)
   *(1-IFERROR(_xlfn.XLOOKUP(1,(DESC_PROV[LINEA]=$B$2)*(DESC_PROV[LISTA]=$C$2),DESC_PROV[DESCUENTO]),0)),
   ((B48*(1+IFERROR(VLOOKUP($D$2,COLORES[],2,FALSE),0)))+E48)
   *(1-IFERROR(_xlfn.XLOOKUP(1,(DESC_PROV[LINEA]=$B$2)*(DESC_PROV[LISTA]=$C$2),DESC_PROV[DESCUENTO]),0))
   *(1+VLOOKUP($C$2,LISTAS[],2,FALSE))
   *(1+VLOOKUP($C$2,LISTAS[],3,FALSE))
)
/5,0)*5,0)</f>
        <v>171595</v>
      </c>
      <c r="O48" s="125">
        <f t="array" ref="O48">IFERROR(
ROUND(
IF($A$2="COSTO",
   ((B48*(1+IFERROR(VLOOKUP($D$2,COLORES[],2,FALSE),0)))+F48)
   *(1-IFERROR(_xlfn.XLOOKUP(1,(DESC_PROV[LINEA]=$B$2)*(DESC_PROV[LISTA]=$C$2),DESC_PROV[DESCUENTO]),0)),
   ((B48*(1+IFERROR(VLOOKUP($D$2,COLORES[],2,FALSE),0)))+F48)
   *(1-IFERROR(_xlfn.XLOOKUP(1,(DESC_PROV[LINEA]=$B$2)*(DESC_PROV[LISTA]=$C$2),DESC_PROV[DESCUENTO]),0))
   *(1+VLOOKUP($C$2,LISTAS[],2,FALSE))
   *(1+VLOOKUP($C$2,LISTAS[],3,FALSE))
)
/5,0)*5,0)</f>
        <v>189085</v>
      </c>
      <c r="P48" s="125">
        <f t="array" ref="P48">IFERROR(
ROUND(
IF($A$2="COSTO",
   ((B48*(1+IFERROR(VLOOKUP($D$2,COLORES[],2,FALSE),0)))+G48)
   *(1-IFERROR(_xlfn.XLOOKUP(1,(DESC_PROV[LINEA]=$B$2)*(DESC_PROV[LISTA]=$C$2),DESC_PROV[DESCUENTO]),0)),
   ((B48*(1+IFERROR(VLOOKUP($D$2,COLORES[],2,FALSE),0)))+G48)
   *(1-IFERROR(_xlfn.XLOOKUP(1,(DESC_PROV[LINEA]=$B$2)*(DESC_PROV[LISTA]=$C$2),DESC_PROV[DESCUENTO]),0))
   *(1+VLOOKUP($C$2,LISTAS[],2,FALSE))
   *(1+VLOOKUP($C$2,LISTAS[],3,FALSE))
)
/5,0)*5,0)</f>
        <v>169145</v>
      </c>
      <c r="Q48" s="125">
        <f t="array" ref="Q48">IFERROR(
ROUND(
IF($A$2="COSTO",
   ((B48*(1+IFERROR(VLOOKUP($D$2,COLORES[],2,FALSE),0)))+H48)
   *(1-IFERROR(_xlfn.XLOOKUP(1,(DESC_PROV[LINEA]=$B$2)*(DESC_PROV[LISTA]=$C$2),DESC_PROV[DESCUENTO]),0)),
   ((B48*(1+IFERROR(VLOOKUP($D$2,COLORES[],2,FALSE),0)))+H48)
   *(1-IFERROR(_xlfn.XLOOKUP(1,(DESC_PROV[LINEA]=$B$2)*(DESC_PROV[LISTA]=$C$2),DESC_PROV[DESCUENTO]),0))
   *(1+VLOOKUP($C$2,LISTAS[],2,FALSE))
   *(1+VLOOKUP($C$2,LISTAS[],3,FALSE))
)
/5,0)*5,0)</f>
        <v>205265</v>
      </c>
      <c r="R48" s="126">
        <f t="array" ref="R48">IFERROR(
ROUND(
IF($A$2="COSTO",
   ((B48*(1+IFERROR(VLOOKUP($D$2,COLORES[],2,FALSE),0)))+(D48+I48+D48))
   *(1-IFERROR(_xlfn.XLOOKUP(1,(DESC_PROV[LINEA]=$B$2)*(DESC_PROV[LISTA]=$C$2),DESC_PROV[DESCUENTO]),0)),
   ((B48*(1+IFERROR(VLOOKUP($D$2,COLORES[],2,FALSE),0)))+(D48+I48+D48))
   *(1-IFERROR(_xlfn.XLOOKUP(1,(DESC_PROV[LINEA]=$B$2)*(DESC_PROV[LISTA]=$C$2),DESC_PROV[DESCUENTO]),0))
   *(1+VLOOKUP($C$2,LISTAS[],2,FALSE))
   *(1+VLOOKUP($C$2,LISTAS[],3,FALSE))
)
/5,0)*5,0)</f>
        <v>234990</v>
      </c>
    </row>
    <row r="49" spans="1:18">
      <c r="A49" s="133" t="s">
        <v>184</v>
      </c>
      <c r="B49" s="125">
        <v>127276</v>
      </c>
      <c r="C49" s="125">
        <v>9792</v>
      </c>
      <c r="D49" s="125">
        <v>11846</v>
      </c>
      <c r="E49" s="125">
        <v>15696</v>
      </c>
      <c r="F49" s="125">
        <v>33802</v>
      </c>
      <c r="G49" s="125">
        <v>13056</v>
      </c>
      <c r="H49" s="125">
        <v>50607</v>
      </c>
      <c r="I49" s="125">
        <v>46512</v>
      </c>
      <c r="J49" s="124"/>
      <c r="K49" s="133" t="s">
        <v>184</v>
      </c>
      <c r="L49" s="125">
        <f t="array" ref="L49">IFERROR(
ROUND(
IF($A$2="COSTO",
   ((B49*(1+IFERROR(VLOOKUP($D$2,COLORES[],2,FALSE),0)))+C49)
   *(1-IFERROR(_xlfn.XLOOKUP(1,(DESC_PROV[LINEA]=$B$2)*(DESC_PROV[LISTA]=$C$2),DESC_PROV[DESCUENTO]),0)),
   ((B49*(1+IFERROR(VLOOKUP($D$2,COLORES[],2,FALSE),0)))+C49)
   *(1-IFERROR(_xlfn.XLOOKUP(1,(DESC_PROV[LINEA]=$B$2)*(DESC_PROV[LISTA]=$C$2),DESC_PROV[DESCUENTO]),0))
   *(1+VLOOKUP($C$2,LISTAS[],2,FALSE))
   *(1+VLOOKUP($C$2,LISTAS[],3,FALSE))
)
/5,0)*5,0)</f>
        <v>175660</v>
      </c>
      <c r="M49" s="125">
        <f t="array" ref="M49">IFERROR(
ROUND(
IF($A$2="COSTO",
   ((B49*(1+IFERROR(VLOOKUP($D$2,COLORES[],2,FALSE),0)))+D49)
   *(1-IFERROR(_xlfn.XLOOKUP(1,(DESC_PROV[LINEA]=$B$2)*(DESC_PROV[LISTA]=$C$2),DESC_PROV[DESCUENTO]),0)),
   ((B49*(1+IFERROR(VLOOKUP($D$2,COLORES[],2,FALSE),0)))+D49)
   *(1-IFERROR(_xlfn.XLOOKUP(1,(DESC_PROV[LINEA]=$B$2)*(DESC_PROV[LISTA]=$C$2),DESC_PROV[DESCUENTO]),0))
   *(1+VLOOKUP($C$2,LISTAS[],2,FALSE))
   *(1+VLOOKUP($C$2,LISTAS[],3,FALSE))
)
/5,0)*5,0)</f>
        <v>178290</v>
      </c>
      <c r="N49" s="125">
        <f t="array" ref="N49">IFERROR(
ROUND(
IF($A$2="COSTO",
   ((B49*(1+IFERROR(VLOOKUP($D$2,COLORES[],2,FALSE),0)))+E49)
   *(1-IFERROR(_xlfn.XLOOKUP(1,(DESC_PROV[LINEA]=$B$2)*(DESC_PROV[LISTA]=$C$2),DESC_PROV[DESCUENTO]),0)),
   ((B49*(1+IFERROR(VLOOKUP($D$2,COLORES[],2,FALSE),0)))+E49)
   *(1-IFERROR(_xlfn.XLOOKUP(1,(DESC_PROV[LINEA]=$B$2)*(DESC_PROV[LISTA]=$C$2),DESC_PROV[DESCUENTO]),0))
   *(1+VLOOKUP($C$2,LISTAS[],2,FALSE))
   *(1+VLOOKUP($C$2,LISTAS[],3,FALSE))
)
/5,0)*5,0)</f>
        <v>183225</v>
      </c>
      <c r="O49" s="125">
        <f t="array" ref="O49">IFERROR(
ROUND(
IF($A$2="COSTO",
   ((B49*(1+IFERROR(VLOOKUP($D$2,COLORES[],2,FALSE),0)))+F49)
   *(1-IFERROR(_xlfn.XLOOKUP(1,(DESC_PROV[LINEA]=$B$2)*(DESC_PROV[LISTA]=$C$2),DESC_PROV[DESCUENTO]),0)),
   ((B49*(1+IFERROR(VLOOKUP($D$2,COLORES[],2,FALSE),0)))+F49)
   *(1-IFERROR(_xlfn.XLOOKUP(1,(DESC_PROV[LINEA]=$B$2)*(DESC_PROV[LISTA]=$C$2),DESC_PROV[DESCUENTO]),0))
   *(1+VLOOKUP($C$2,LISTAS[],2,FALSE))
   *(1+VLOOKUP($C$2,LISTAS[],3,FALSE))
)
/5,0)*5,0)</f>
        <v>206430</v>
      </c>
      <c r="P49" s="125">
        <f t="array" ref="P49">IFERROR(
ROUND(
IF($A$2="COSTO",
   ((B49*(1+IFERROR(VLOOKUP($D$2,COLORES[],2,FALSE),0)))+G49)
   *(1-IFERROR(_xlfn.XLOOKUP(1,(DESC_PROV[LINEA]=$B$2)*(DESC_PROV[LISTA]=$C$2),DESC_PROV[DESCUENTO]),0)),
   ((B49*(1+IFERROR(VLOOKUP($D$2,COLORES[],2,FALSE),0)))+G49)
   *(1-IFERROR(_xlfn.XLOOKUP(1,(DESC_PROV[LINEA]=$B$2)*(DESC_PROV[LISTA]=$C$2),DESC_PROV[DESCUENTO]),0))
   *(1+VLOOKUP($C$2,LISTAS[],2,FALSE))
   *(1+VLOOKUP($C$2,LISTAS[],3,FALSE))
)
/5,0)*5,0)</f>
        <v>179840</v>
      </c>
      <c r="Q49" s="125">
        <f t="array" ref="Q49">IFERROR(
ROUND(
IF($A$2="COSTO",
   ((B49*(1+IFERROR(VLOOKUP($D$2,COLORES[],2,FALSE),0)))+H49)
   *(1-IFERROR(_xlfn.XLOOKUP(1,(DESC_PROV[LINEA]=$B$2)*(DESC_PROV[LISTA]=$C$2),DESC_PROV[DESCUENTO]),0)),
   ((B49*(1+IFERROR(VLOOKUP($D$2,COLORES[],2,FALSE),0)))+H49)
   *(1-IFERROR(_xlfn.XLOOKUP(1,(DESC_PROV[LINEA]=$B$2)*(DESC_PROV[LISTA]=$C$2),DESC_PROV[DESCUENTO]),0))
   *(1+VLOOKUP($C$2,LISTAS[],2,FALSE))
   *(1+VLOOKUP($C$2,LISTAS[],3,FALSE))
)
/5,0)*5,0)</f>
        <v>227965</v>
      </c>
      <c r="R49" s="126">
        <f t="array" ref="R49">IFERROR(
ROUND(
IF($A$2="COSTO",
   ((B49*(1+IFERROR(VLOOKUP($D$2,COLORES[],2,FALSE),0)))+(D49+I49+D49))
   *(1-IFERROR(_xlfn.XLOOKUP(1,(DESC_PROV[LINEA]=$B$2)*(DESC_PROV[LISTA]=$C$2),DESC_PROV[DESCUENTO]),0)),
   ((B49*(1+IFERROR(VLOOKUP($D$2,COLORES[],2,FALSE),0)))+(D49+I49+D49))
   *(1-IFERROR(_xlfn.XLOOKUP(1,(DESC_PROV[LINEA]=$B$2)*(DESC_PROV[LISTA]=$C$2),DESC_PROV[DESCUENTO]),0))
   *(1+VLOOKUP($C$2,LISTAS[],2,FALSE))
   *(1+VLOOKUP($C$2,LISTAS[],3,FALSE))
)
/5,0)*5,0)</f>
        <v>253080</v>
      </c>
    </row>
    <row r="50" spans="1:18">
      <c r="A50" s="133" t="s">
        <v>185</v>
      </c>
      <c r="B50" s="125">
        <v>132403</v>
      </c>
      <c r="C50" s="125">
        <v>12250</v>
      </c>
      <c r="D50" s="125">
        <v>14794</v>
      </c>
      <c r="E50" s="125">
        <v>19651</v>
      </c>
      <c r="F50" s="125">
        <v>42595</v>
      </c>
      <c r="G50" s="125">
        <v>16282</v>
      </c>
      <c r="H50" s="125">
        <v>63199</v>
      </c>
      <c r="I50" s="125">
        <v>49613</v>
      </c>
      <c r="J50" s="124"/>
      <c r="K50" s="133" t="s">
        <v>185</v>
      </c>
      <c r="L50" s="125">
        <f t="array" ref="L50">IFERROR(
ROUND(
IF($A$2="COSTO",
   ((B50*(1+IFERROR(VLOOKUP($D$2,COLORES[],2,FALSE),0)))+C50)
   *(1-IFERROR(_xlfn.XLOOKUP(1,(DESC_PROV[LINEA]=$B$2)*(DESC_PROV[LISTA]=$C$2),DESC_PROV[DESCUENTO]),0)),
   ((B50*(1+IFERROR(VLOOKUP($D$2,COLORES[],2,FALSE),0)))+C50)
   *(1-IFERROR(_xlfn.XLOOKUP(1,(DESC_PROV[LINEA]=$B$2)*(DESC_PROV[LISTA]=$C$2),DESC_PROV[DESCUENTO]),0))
   *(1+VLOOKUP($C$2,LISTAS[],2,FALSE))
   *(1+VLOOKUP($C$2,LISTAS[],3,FALSE))
)
/5,0)*5,0)</f>
        <v>185380</v>
      </c>
      <c r="M50" s="125">
        <f t="array" ref="M50">IFERROR(
ROUND(
IF($A$2="COSTO",
   ((B50*(1+IFERROR(VLOOKUP($D$2,COLORES[],2,FALSE),0)))+D50)
   *(1-IFERROR(_xlfn.XLOOKUP(1,(DESC_PROV[LINEA]=$B$2)*(DESC_PROV[LISTA]=$C$2),DESC_PROV[DESCUENTO]),0)),
   ((B50*(1+IFERROR(VLOOKUP($D$2,COLORES[],2,FALSE),0)))+D50)
   *(1-IFERROR(_xlfn.XLOOKUP(1,(DESC_PROV[LINEA]=$B$2)*(DESC_PROV[LISTA]=$C$2),DESC_PROV[DESCUENTO]),0))
   *(1+VLOOKUP($C$2,LISTAS[],2,FALSE))
   *(1+VLOOKUP($C$2,LISTAS[],3,FALSE))
)
/5,0)*5,0)</f>
        <v>188640</v>
      </c>
      <c r="N50" s="125">
        <f t="array" ref="N50">IFERROR(
ROUND(
IF($A$2="COSTO",
   ((B50*(1+IFERROR(VLOOKUP($D$2,COLORES[],2,FALSE),0)))+E50)
   *(1-IFERROR(_xlfn.XLOOKUP(1,(DESC_PROV[LINEA]=$B$2)*(DESC_PROV[LISTA]=$C$2),DESC_PROV[DESCUENTO]),0)),
   ((B50*(1+IFERROR(VLOOKUP($D$2,COLORES[],2,FALSE),0)))+E50)
   *(1-IFERROR(_xlfn.XLOOKUP(1,(DESC_PROV[LINEA]=$B$2)*(DESC_PROV[LISTA]=$C$2),DESC_PROV[DESCUENTO]),0))
   *(1+VLOOKUP($C$2,LISTAS[],2,FALSE))
   *(1+VLOOKUP($C$2,LISTAS[],3,FALSE))
)
/5,0)*5,0)</f>
        <v>194865</v>
      </c>
      <c r="O50" s="125">
        <f t="array" ref="O50">IFERROR(
ROUND(
IF($A$2="COSTO",
   ((B50*(1+IFERROR(VLOOKUP($D$2,COLORES[],2,FALSE),0)))+F50)
   *(1-IFERROR(_xlfn.XLOOKUP(1,(DESC_PROV[LINEA]=$B$2)*(DESC_PROV[LISTA]=$C$2),DESC_PROV[DESCUENTO]),0)),
   ((B50*(1+IFERROR(VLOOKUP($D$2,COLORES[],2,FALSE),0)))+F50)
   *(1-IFERROR(_xlfn.XLOOKUP(1,(DESC_PROV[LINEA]=$B$2)*(DESC_PROV[LISTA]=$C$2),DESC_PROV[DESCUENTO]),0))
   *(1+VLOOKUP($C$2,LISTAS[],2,FALSE))
   *(1+VLOOKUP($C$2,LISTAS[],3,FALSE))
)
/5,0)*5,0)</f>
        <v>224265</v>
      </c>
      <c r="P50" s="125">
        <f t="array" ref="P50">IFERROR(
ROUND(
IF($A$2="COSTO",
   ((B50*(1+IFERROR(VLOOKUP($D$2,COLORES[],2,FALSE),0)))+G50)
   *(1-IFERROR(_xlfn.XLOOKUP(1,(DESC_PROV[LINEA]=$B$2)*(DESC_PROV[LISTA]=$C$2),DESC_PROV[DESCUENTO]),0)),
   ((B50*(1+IFERROR(VLOOKUP($D$2,COLORES[],2,FALSE),0)))+G50)
   *(1-IFERROR(_xlfn.XLOOKUP(1,(DESC_PROV[LINEA]=$B$2)*(DESC_PROV[LISTA]=$C$2),DESC_PROV[DESCUENTO]),0))
   *(1+VLOOKUP($C$2,LISTAS[],2,FALSE))
   *(1+VLOOKUP($C$2,LISTAS[],3,FALSE))
)
/5,0)*5,0)</f>
        <v>190545</v>
      </c>
      <c r="Q50" s="125">
        <f t="array" ref="Q50">IFERROR(
ROUND(
IF($A$2="COSTO",
   ((B50*(1+IFERROR(VLOOKUP($D$2,COLORES[],2,FALSE),0)))+H50)
   *(1-IFERROR(_xlfn.XLOOKUP(1,(DESC_PROV[LINEA]=$B$2)*(DESC_PROV[LISTA]=$C$2),DESC_PROV[DESCUENTO]),0)),
   ((B50*(1+IFERROR(VLOOKUP($D$2,COLORES[],2,FALSE),0)))+H50)
   *(1-IFERROR(_xlfn.XLOOKUP(1,(DESC_PROV[LINEA]=$B$2)*(DESC_PROV[LISTA]=$C$2),DESC_PROV[DESCUENTO]),0))
   *(1+VLOOKUP($C$2,LISTAS[],2,FALSE))
   *(1+VLOOKUP($C$2,LISTAS[],3,FALSE))
)
/5,0)*5,0)</f>
        <v>250670</v>
      </c>
      <c r="R50" s="126">
        <f t="array" ref="R50">IFERROR(
ROUND(
IF($A$2="COSTO",
   ((B50*(1+IFERROR(VLOOKUP($D$2,COLORES[],2,FALSE),0)))+(D50+I50+D50))
   *(1-IFERROR(_xlfn.XLOOKUP(1,(DESC_PROV[LINEA]=$B$2)*(DESC_PROV[LISTA]=$C$2),DESC_PROV[DESCUENTO]),0)),
   ((B50*(1+IFERROR(VLOOKUP($D$2,COLORES[],2,FALSE),0)))+(D50+I50+D50))
   *(1-IFERROR(_xlfn.XLOOKUP(1,(DESC_PROV[LINEA]=$B$2)*(DESC_PROV[LISTA]=$C$2),DESC_PROV[DESCUENTO]),0))
   *(1+VLOOKUP($C$2,LISTAS[],2,FALSE))
   *(1+VLOOKUP($C$2,LISTAS[],3,FALSE))
)
/5,0)*5,0)</f>
        <v>271180</v>
      </c>
    </row>
    <row r="51" spans="1:18">
      <c r="A51" s="133" t="s">
        <v>186</v>
      </c>
      <c r="B51" s="125">
        <v>137537</v>
      </c>
      <c r="C51" s="125">
        <v>14698</v>
      </c>
      <c r="D51" s="125">
        <v>17741</v>
      </c>
      <c r="E51" s="125">
        <v>23606</v>
      </c>
      <c r="F51" s="125">
        <v>51101</v>
      </c>
      <c r="G51" s="125">
        <v>19507</v>
      </c>
      <c r="H51" s="125">
        <v>75790</v>
      </c>
      <c r="I51" s="125">
        <v>52714</v>
      </c>
      <c r="J51" s="124"/>
      <c r="K51" s="133" t="s">
        <v>186</v>
      </c>
      <c r="L51" s="125">
        <f t="array" ref="L51">IFERROR(
ROUND(
IF($A$2="COSTO",
   ((B51*(1+IFERROR(VLOOKUP($D$2,COLORES[],2,FALSE),0)))+C51)
   *(1-IFERROR(_xlfn.XLOOKUP(1,(DESC_PROV[LINEA]=$B$2)*(DESC_PROV[LISTA]=$C$2),DESC_PROV[DESCUENTO]),0)),
   ((B51*(1+IFERROR(VLOOKUP($D$2,COLORES[],2,FALSE),0)))+C51)
   *(1-IFERROR(_xlfn.XLOOKUP(1,(DESC_PROV[LINEA]=$B$2)*(DESC_PROV[LISTA]=$C$2),DESC_PROV[DESCUENTO]),0))
   *(1+VLOOKUP($C$2,LISTAS[],2,FALSE))
   *(1+VLOOKUP($C$2,LISTAS[],3,FALSE))
)
/5,0)*5,0)</f>
        <v>195095</v>
      </c>
      <c r="M51" s="125">
        <f t="array" ref="M51">IFERROR(
ROUND(
IF($A$2="COSTO",
   ((B51*(1+IFERROR(VLOOKUP($D$2,COLORES[],2,FALSE),0)))+D51)
   *(1-IFERROR(_xlfn.XLOOKUP(1,(DESC_PROV[LINEA]=$B$2)*(DESC_PROV[LISTA]=$C$2),DESC_PROV[DESCUENTO]),0)),
   ((B51*(1+IFERROR(VLOOKUP($D$2,COLORES[],2,FALSE),0)))+D51)
   *(1-IFERROR(_xlfn.XLOOKUP(1,(DESC_PROV[LINEA]=$B$2)*(DESC_PROV[LISTA]=$C$2),DESC_PROV[DESCUENTO]),0))
   *(1+VLOOKUP($C$2,LISTAS[],2,FALSE))
   *(1+VLOOKUP($C$2,LISTAS[],3,FALSE))
)
/5,0)*5,0)</f>
        <v>198995</v>
      </c>
      <c r="N51" s="125">
        <f t="array" ref="N51">IFERROR(
ROUND(
IF($A$2="COSTO",
   ((B51*(1+IFERROR(VLOOKUP($D$2,COLORES[],2,FALSE),0)))+E51)
   *(1-IFERROR(_xlfn.XLOOKUP(1,(DESC_PROV[LINEA]=$B$2)*(DESC_PROV[LISTA]=$C$2),DESC_PROV[DESCUENTO]),0)),
   ((B51*(1+IFERROR(VLOOKUP($D$2,COLORES[],2,FALSE),0)))+E51)
   *(1-IFERROR(_xlfn.XLOOKUP(1,(DESC_PROV[LINEA]=$B$2)*(DESC_PROV[LISTA]=$C$2),DESC_PROV[DESCUENTO]),0))
   *(1+VLOOKUP($C$2,LISTAS[],2,FALSE))
   *(1+VLOOKUP($C$2,LISTAS[],3,FALSE))
)
/5,0)*5,0)</f>
        <v>206510</v>
      </c>
      <c r="O51" s="125">
        <f t="array" ref="O51">IFERROR(
ROUND(
IF($A$2="COSTO",
   ((B51*(1+IFERROR(VLOOKUP($D$2,COLORES[],2,FALSE),0)))+F51)
   *(1-IFERROR(_xlfn.XLOOKUP(1,(DESC_PROV[LINEA]=$B$2)*(DESC_PROV[LISTA]=$C$2),DESC_PROV[DESCUENTO]),0)),
   ((B51*(1+IFERROR(VLOOKUP($D$2,COLORES[],2,FALSE),0)))+F51)
   *(1-IFERROR(_xlfn.XLOOKUP(1,(DESC_PROV[LINEA]=$B$2)*(DESC_PROV[LISTA]=$C$2),DESC_PROV[DESCUENTO]),0))
   *(1+VLOOKUP($C$2,LISTAS[],2,FALSE))
   *(1+VLOOKUP($C$2,LISTAS[],3,FALSE))
)
/5,0)*5,0)</f>
        <v>241745</v>
      </c>
      <c r="P51" s="125">
        <f t="array" ref="P51">IFERROR(
ROUND(
IF($A$2="COSTO",
   ((B51*(1+IFERROR(VLOOKUP($D$2,COLORES[],2,FALSE),0)))+G51)
   *(1-IFERROR(_xlfn.XLOOKUP(1,(DESC_PROV[LINEA]=$B$2)*(DESC_PROV[LISTA]=$C$2),DESC_PROV[DESCUENTO]),0)),
   ((B51*(1+IFERROR(VLOOKUP($D$2,COLORES[],2,FALSE),0)))+G51)
   *(1-IFERROR(_xlfn.XLOOKUP(1,(DESC_PROV[LINEA]=$B$2)*(DESC_PROV[LISTA]=$C$2),DESC_PROV[DESCUENTO]),0))
   *(1+VLOOKUP($C$2,LISTAS[],2,FALSE))
   *(1+VLOOKUP($C$2,LISTAS[],3,FALSE))
)
/5,0)*5,0)</f>
        <v>201260</v>
      </c>
      <c r="Q51" s="125">
        <f t="array" ref="Q51">IFERROR(
ROUND(
IF($A$2="COSTO",
   ((B51*(1+IFERROR(VLOOKUP($D$2,COLORES[],2,FALSE),0)))+H51)
   *(1-IFERROR(_xlfn.XLOOKUP(1,(DESC_PROV[LINEA]=$B$2)*(DESC_PROV[LISTA]=$C$2),DESC_PROV[DESCUENTO]),0)),
   ((B51*(1+IFERROR(VLOOKUP($D$2,COLORES[],2,FALSE),0)))+H51)
   *(1-IFERROR(_xlfn.XLOOKUP(1,(DESC_PROV[LINEA]=$B$2)*(DESC_PROV[LISTA]=$C$2),DESC_PROV[DESCUENTO]),0))
   *(1+VLOOKUP($C$2,LISTAS[],2,FALSE))
   *(1+VLOOKUP($C$2,LISTAS[],3,FALSE))
)
/5,0)*5,0)</f>
        <v>273385</v>
      </c>
      <c r="R51" s="126">
        <f t="array" ref="R51">IFERROR(
ROUND(
IF($A$2="COSTO",
   ((B51*(1+IFERROR(VLOOKUP($D$2,COLORES[],2,FALSE),0)))+(D51+I51+D51))
   *(1-IFERROR(_xlfn.XLOOKUP(1,(DESC_PROV[LINEA]=$B$2)*(DESC_PROV[LISTA]=$C$2),DESC_PROV[DESCUENTO]),0)),
   ((B51*(1+IFERROR(VLOOKUP($D$2,COLORES[],2,FALSE),0)))+(D51+I51+D51))
   *(1-IFERROR(_xlfn.XLOOKUP(1,(DESC_PROV[LINEA]=$B$2)*(DESC_PROV[LISTA]=$C$2),DESC_PROV[DESCUENTO]),0))
   *(1+VLOOKUP($C$2,LISTAS[],2,FALSE))
   *(1+VLOOKUP($C$2,LISTAS[],3,FALSE))
)
/5,0)*5,0)</f>
        <v>289285</v>
      </c>
    </row>
    <row r="52" spans="1:18">
      <c r="A52" s="133" t="s">
        <v>187</v>
      </c>
      <c r="B52" s="125">
        <v>142657</v>
      </c>
      <c r="C52" s="125">
        <v>17136</v>
      </c>
      <c r="D52" s="125">
        <v>20688</v>
      </c>
      <c r="E52" s="125">
        <v>27562</v>
      </c>
      <c r="F52" s="125">
        <v>59606</v>
      </c>
      <c r="G52" s="125">
        <v>22733</v>
      </c>
      <c r="H52" s="125">
        <v>88381</v>
      </c>
      <c r="I52" s="125">
        <v>55814</v>
      </c>
      <c r="J52" s="124"/>
      <c r="K52" s="133" t="s">
        <v>187</v>
      </c>
      <c r="L52" s="125">
        <f t="array" ref="L52">IFERROR(
ROUND(
IF($A$2="COSTO",
   ((B52*(1+IFERROR(VLOOKUP($D$2,COLORES[],2,FALSE),0)))+C52)
   *(1-IFERROR(_xlfn.XLOOKUP(1,(DESC_PROV[LINEA]=$B$2)*(DESC_PROV[LISTA]=$C$2),DESC_PROV[DESCUENTO]),0)),
   ((B52*(1+IFERROR(VLOOKUP($D$2,COLORES[],2,FALSE),0)))+C52)
   *(1-IFERROR(_xlfn.XLOOKUP(1,(DESC_PROV[LINEA]=$B$2)*(DESC_PROV[LISTA]=$C$2),DESC_PROV[DESCUENTO]),0))
   *(1+VLOOKUP($C$2,LISTAS[],2,FALSE))
   *(1+VLOOKUP($C$2,LISTAS[],3,FALSE))
)
/5,0)*5,0)</f>
        <v>204780</v>
      </c>
      <c r="M52" s="125">
        <f t="array" ref="M52">IFERROR(
ROUND(
IF($A$2="COSTO",
   ((B52*(1+IFERROR(VLOOKUP($D$2,COLORES[],2,FALSE),0)))+D52)
   *(1-IFERROR(_xlfn.XLOOKUP(1,(DESC_PROV[LINEA]=$B$2)*(DESC_PROV[LISTA]=$C$2),DESC_PROV[DESCUENTO]),0)),
   ((B52*(1+IFERROR(VLOOKUP($D$2,COLORES[],2,FALSE),0)))+D52)
   *(1-IFERROR(_xlfn.XLOOKUP(1,(DESC_PROV[LINEA]=$B$2)*(DESC_PROV[LISTA]=$C$2),DESC_PROV[DESCUENTO]),0))
   *(1+VLOOKUP($C$2,LISTAS[],2,FALSE))
   *(1+VLOOKUP($C$2,LISTAS[],3,FALSE))
)
/5,0)*5,0)</f>
        <v>209335</v>
      </c>
      <c r="N52" s="125">
        <f t="array" ref="N52">IFERROR(
ROUND(
IF($A$2="COSTO",
   ((B52*(1+IFERROR(VLOOKUP($D$2,COLORES[],2,FALSE),0)))+E52)
   *(1-IFERROR(_xlfn.XLOOKUP(1,(DESC_PROV[LINEA]=$B$2)*(DESC_PROV[LISTA]=$C$2),DESC_PROV[DESCUENTO]),0)),
   ((B52*(1+IFERROR(VLOOKUP($D$2,COLORES[],2,FALSE),0)))+E52)
   *(1-IFERROR(_xlfn.XLOOKUP(1,(DESC_PROV[LINEA]=$B$2)*(DESC_PROV[LISTA]=$C$2),DESC_PROV[DESCUENTO]),0))
   *(1+VLOOKUP($C$2,LISTAS[],2,FALSE))
   *(1+VLOOKUP($C$2,LISTAS[],3,FALSE))
)
/5,0)*5,0)</f>
        <v>218140</v>
      </c>
      <c r="O52" s="125">
        <f t="array" ref="O52">IFERROR(
ROUND(
IF($A$2="COSTO",
   ((B52*(1+IFERROR(VLOOKUP($D$2,COLORES[],2,FALSE),0)))+F52)
   *(1-IFERROR(_xlfn.XLOOKUP(1,(DESC_PROV[LINEA]=$B$2)*(DESC_PROV[LISTA]=$C$2),DESC_PROV[DESCUENTO]),0)),
   ((B52*(1+IFERROR(VLOOKUP($D$2,COLORES[],2,FALSE),0)))+F52)
   *(1-IFERROR(_xlfn.XLOOKUP(1,(DESC_PROV[LINEA]=$B$2)*(DESC_PROV[LISTA]=$C$2),DESC_PROV[DESCUENTO]),0))
   *(1+VLOOKUP($C$2,LISTAS[],2,FALSE))
   *(1+VLOOKUP($C$2,LISTAS[],3,FALSE))
)
/5,0)*5,0)</f>
        <v>259210</v>
      </c>
      <c r="P52" s="125">
        <f t="array" ref="P52">IFERROR(
ROUND(
IF($A$2="COSTO",
   ((B52*(1+IFERROR(VLOOKUP($D$2,COLORES[],2,FALSE),0)))+G52)
   *(1-IFERROR(_xlfn.XLOOKUP(1,(DESC_PROV[LINEA]=$B$2)*(DESC_PROV[LISTA]=$C$2),DESC_PROV[DESCUENTO]),0)),
   ((B52*(1+IFERROR(VLOOKUP($D$2,COLORES[],2,FALSE),0)))+G52)
   *(1-IFERROR(_xlfn.XLOOKUP(1,(DESC_PROV[LINEA]=$B$2)*(DESC_PROV[LISTA]=$C$2),DESC_PROV[DESCUENTO]),0))
   *(1+VLOOKUP($C$2,LISTAS[],2,FALSE))
   *(1+VLOOKUP($C$2,LISTAS[],3,FALSE))
)
/5,0)*5,0)</f>
        <v>211955</v>
      </c>
      <c r="Q52" s="125">
        <f t="array" ref="Q52">IFERROR(
ROUND(
IF($A$2="COSTO",
   ((B52*(1+IFERROR(VLOOKUP($D$2,COLORES[],2,FALSE),0)))+H52)
   *(1-IFERROR(_xlfn.XLOOKUP(1,(DESC_PROV[LINEA]=$B$2)*(DESC_PROV[LISTA]=$C$2),DESC_PROV[DESCUENTO]),0)),
   ((B52*(1+IFERROR(VLOOKUP($D$2,COLORES[],2,FALSE),0)))+H52)
   *(1-IFERROR(_xlfn.XLOOKUP(1,(DESC_PROV[LINEA]=$B$2)*(DESC_PROV[LISTA]=$C$2),DESC_PROV[DESCUENTO]),0))
   *(1+VLOOKUP($C$2,LISTAS[],2,FALSE))
   *(1+VLOOKUP($C$2,LISTAS[],3,FALSE))
)
/5,0)*5,0)</f>
        <v>296085</v>
      </c>
      <c r="R52" s="126">
        <f t="array" ref="R52">IFERROR(
ROUND(
IF($A$2="COSTO",
   ((B52*(1+IFERROR(VLOOKUP($D$2,COLORES[],2,FALSE),0)))+(D52+I52+D52))
   *(1-IFERROR(_xlfn.XLOOKUP(1,(DESC_PROV[LINEA]=$B$2)*(DESC_PROV[LISTA]=$C$2),DESC_PROV[DESCUENTO]),0)),
   ((B52*(1+IFERROR(VLOOKUP($D$2,COLORES[],2,FALSE),0)))+(D52+I52+D52))
   *(1-IFERROR(_xlfn.XLOOKUP(1,(DESC_PROV[LINEA]=$B$2)*(DESC_PROV[LISTA]=$C$2),DESC_PROV[DESCUENTO]),0))
   *(1+VLOOKUP($C$2,LISTAS[],2,FALSE))
   *(1+VLOOKUP($C$2,LISTAS[],3,FALSE))
)
/5,0)*5,0)</f>
        <v>307375</v>
      </c>
    </row>
    <row r="53" spans="1:18">
      <c r="A53" s="133" t="s">
        <v>188</v>
      </c>
      <c r="B53" s="125">
        <v>147784</v>
      </c>
      <c r="C53" s="125">
        <v>19594</v>
      </c>
      <c r="D53" s="125">
        <v>23635</v>
      </c>
      <c r="E53" s="125">
        <v>31507</v>
      </c>
      <c r="F53" s="125">
        <v>68112</v>
      </c>
      <c r="G53" s="125">
        <v>25958</v>
      </c>
      <c r="H53" s="125">
        <v>100973</v>
      </c>
      <c r="I53" s="125">
        <v>58915</v>
      </c>
      <c r="J53" s="124"/>
      <c r="K53" s="133" t="s">
        <v>188</v>
      </c>
      <c r="L53" s="125">
        <f t="array" ref="L53">IFERROR(
ROUND(
IF($A$2="COSTO",
   ((B53*(1+IFERROR(VLOOKUP($D$2,COLORES[],2,FALSE),0)))+C53)
   *(1-IFERROR(_xlfn.XLOOKUP(1,(DESC_PROV[LINEA]=$B$2)*(DESC_PROV[LISTA]=$C$2),DESC_PROV[DESCUENTO]),0)),
   ((B53*(1+IFERROR(VLOOKUP($D$2,COLORES[],2,FALSE),0)))+C53)
   *(1-IFERROR(_xlfn.XLOOKUP(1,(DESC_PROV[LINEA]=$B$2)*(DESC_PROV[LISTA]=$C$2),DESC_PROV[DESCUENTO]),0))
   *(1+VLOOKUP($C$2,LISTAS[],2,FALSE))
   *(1+VLOOKUP($C$2,LISTAS[],3,FALSE))
)
/5,0)*5,0)</f>
        <v>214500</v>
      </c>
      <c r="M53" s="125">
        <f t="array" ref="M53">IFERROR(
ROUND(
IF($A$2="COSTO",
   ((B53*(1+IFERROR(VLOOKUP($D$2,COLORES[],2,FALSE),0)))+D53)
   *(1-IFERROR(_xlfn.XLOOKUP(1,(DESC_PROV[LINEA]=$B$2)*(DESC_PROV[LISTA]=$C$2),DESC_PROV[DESCUENTO]),0)),
   ((B53*(1+IFERROR(VLOOKUP($D$2,COLORES[],2,FALSE),0)))+D53)
   *(1-IFERROR(_xlfn.XLOOKUP(1,(DESC_PROV[LINEA]=$B$2)*(DESC_PROV[LISTA]=$C$2),DESC_PROV[DESCUENTO]),0))
   *(1+VLOOKUP($C$2,LISTAS[],2,FALSE))
   *(1+VLOOKUP($C$2,LISTAS[],3,FALSE))
)
/5,0)*5,0)</f>
        <v>219680</v>
      </c>
      <c r="N53" s="125">
        <f t="array" ref="N53">IFERROR(
ROUND(
IF($A$2="COSTO",
   ((B53*(1+IFERROR(VLOOKUP($D$2,COLORES[],2,FALSE),0)))+E53)
   *(1-IFERROR(_xlfn.XLOOKUP(1,(DESC_PROV[LINEA]=$B$2)*(DESC_PROV[LISTA]=$C$2),DESC_PROV[DESCUENTO]),0)),
   ((B53*(1+IFERROR(VLOOKUP($D$2,COLORES[],2,FALSE),0)))+E53)
   *(1-IFERROR(_xlfn.XLOOKUP(1,(DESC_PROV[LINEA]=$B$2)*(DESC_PROV[LISTA]=$C$2),DESC_PROV[DESCUENTO]),0))
   *(1+VLOOKUP($C$2,LISTAS[],2,FALSE))
   *(1+VLOOKUP($C$2,LISTAS[],3,FALSE))
)
/5,0)*5,0)</f>
        <v>229770</v>
      </c>
      <c r="O53" s="125">
        <f t="array" ref="O53">IFERROR(
ROUND(
IF($A$2="COSTO",
   ((B53*(1+IFERROR(VLOOKUP($D$2,COLORES[],2,FALSE),0)))+F53)
   *(1-IFERROR(_xlfn.XLOOKUP(1,(DESC_PROV[LINEA]=$B$2)*(DESC_PROV[LISTA]=$C$2),DESC_PROV[DESCUENTO]),0)),
   ((B53*(1+IFERROR(VLOOKUP($D$2,COLORES[],2,FALSE),0)))+F53)
   *(1-IFERROR(_xlfn.XLOOKUP(1,(DESC_PROV[LINEA]=$B$2)*(DESC_PROV[LISTA]=$C$2),DESC_PROV[DESCUENTO]),0))
   *(1+VLOOKUP($C$2,LISTAS[],2,FALSE))
   *(1+VLOOKUP($C$2,LISTAS[],3,FALSE))
)
/5,0)*5,0)</f>
        <v>276680</v>
      </c>
      <c r="P53" s="125">
        <f t="array" ref="P53">IFERROR(
ROUND(
IF($A$2="COSTO",
   ((B53*(1+IFERROR(VLOOKUP($D$2,COLORES[],2,FALSE),0)))+G53)
   *(1-IFERROR(_xlfn.XLOOKUP(1,(DESC_PROV[LINEA]=$B$2)*(DESC_PROV[LISTA]=$C$2),DESC_PROV[DESCUENTO]),0)),
   ((B53*(1+IFERROR(VLOOKUP($D$2,COLORES[],2,FALSE),0)))+G53)
   *(1-IFERROR(_xlfn.XLOOKUP(1,(DESC_PROV[LINEA]=$B$2)*(DESC_PROV[LISTA]=$C$2),DESC_PROV[DESCUENTO]),0))
   *(1+VLOOKUP($C$2,LISTAS[],2,FALSE))
   *(1+VLOOKUP($C$2,LISTAS[],3,FALSE))
)
/5,0)*5,0)</f>
        <v>222655</v>
      </c>
      <c r="Q53" s="125">
        <f t="array" ref="Q53">IFERROR(
ROUND(
IF($A$2="COSTO",
   ((B53*(1+IFERROR(VLOOKUP($D$2,COLORES[],2,FALSE),0)))+H53)
   *(1-IFERROR(_xlfn.XLOOKUP(1,(DESC_PROV[LINEA]=$B$2)*(DESC_PROV[LISTA]=$C$2),DESC_PROV[DESCUENTO]),0)),
   ((B53*(1+IFERROR(VLOOKUP($D$2,COLORES[],2,FALSE),0)))+H53)
   *(1-IFERROR(_xlfn.XLOOKUP(1,(DESC_PROV[LINEA]=$B$2)*(DESC_PROV[LISTA]=$C$2),DESC_PROV[DESCUENTO]),0))
   *(1+VLOOKUP($C$2,LISTAS[],2,FALSE))
   *(1+VLOOKUP($C$2,LISTAS[],3,FALSE))
)
/5,0)*5,0)</f>
        <v>318790</v>
      </c>
      <c r="R53" s="126">
        <f t="array" ref="R53">IFERROR(
ROUND(
IF($A$2="COSTO",
   ((B53*(1+IFERROR(VLOOKUP($D$2,COLORES[],2,FALSE),0)))+(D53+I53+D53))
   *(1-IFERROR(_xlfn.XLOOKUP(1,(DESC_PROV[LINEA]=$B$2)*(DESC_PROV[LISTA]=$C$2),DESC_PROV[DESCUENTO]),0)),
   ((B53*(1+IFERROR(VLOOKUP($D$2,COLORES[],2,FALSE),0)))+(D53+I53+D53))
   *(1-IFERROR(_xlfn.XLOOKUP(1,(DESC_PROV[LINEA]=$B$2)*(DESC_PROV[LISTA]=$C$2),DESC_PROV[DESCUENTO]),0))
   *(1+VLOOKUP($C$2,LISTAS[],2,FALSE))
   *(1+VLOOKUP($C$2,LISTAS[],3,FALSE))
)
/5,0)*5,0)</f>
        <v>325470</v>
      </c>
    </row>
    <row r="54" spans="1:18">
      <c r="A54" s="133" t="s">
        <v>15</v>
      </c>
      <c r="B54" s="125">
        <v>152905</v>
      </c>
      <c r="C54" s="125">
        <v>22051</v>
      </c>
      <c r="D54" s="125">
        <v>26083</v>
      </c>
      <c r="E54" s="125">
        <v>35453</v>
      </c>
      <c r="F54" s="125">
        <v>76109</v>
      </c>
      <c r="G54" s="125">
        <v>29184</v>
      </c>
      <c r="H54" s="125">
        <v>113564</v>
      </c>
      <c r="I54" s="125">
        <v>62016</v>
      </c>
      <c r="J54" s="124"/>
      <c r="K54" s="133" t="s">
        <v>15</v>
      </c>
      <c r="L54" s="125">
        <f t="array" ref="L54">IFERROR(
ROUND(
IF($A$2="COSTO",
   ((B54*(1+IFERROR(VLOOKUP($D$2,COLORES[],2,FALSE),0)))+C54)
   *(1-IFERROR(_xlfn.XLOOKUP(1,(DESC_PROV[LINEA]=$B$2)*(DESC_PROV[LISTA]=$C$2),DESC_PROV[DESCUENTO]),0)),
   ((B54*(1+IFERROR(VLOOKUP($D$2,COLORES[],2,FALSE),0)))+C54)
   *(1-IFERROR(_xlfn.XLOOKUP(1,(DESC_PROV[LINEA]=$B$2)*(DESC_PROV[LISTA]=$C$2),DESC_PROV[DESCUENTO]),0))
   *(1+VLOOKUP($C$2,LISTAS[],2,FALSE))
   *(1+VLOOKUP($C$2,LISTAS[],3,FALSE))
)
/5,0)*5,0)</f>
        <v>224215</v>
      </c>
      <c r="M54" s="125">
        <f t="array" ref="M54">IFERROR(
ROUND(
IF($A$2="COSTO",
   ((B54*(1+IFERROR(VLOOKUP($D$2,COLORES[],2,FALSE),0)))+D54)
   *(1-IFERROR(_xlfn.XLOOKUP(1,(DESC_PROV[LINEA]=$B$2)*(DESC_PROV[LISTA]=$C$2),DESC_PROV[DESCUENTO]),0)),
   ((B54*(1+IFERROR(VLOOKUP($D$2,COLORES[],2,FALSE),0)))+D54)
   *(1-IFERROR(_xlfn.XLOOKUP(1,(DESC_PROV[LINEA]=$B$2)*(DESC_PROV[LISTA]=$C$2),DESC_PROV[DESCUENTO]),0))
   *(1+VLOOKUP($C$2,LISTAS[],2,FALSE))
   *(1+VLOOKUP($C$2,LISTAS[],3,FALSE))
)
/5,0)*5,0)</f>
        <v>229380</v>
      </c>
      <c r="N54" s="125">
        <f t="array" ref="N54">IFERROR(
ROUND(
IF($A$2="COSTO",
   ((B54*(1+IFERROR(VLOOKUP($D$2,COLORES[],2,FALSE),0)))+E54)
   *(1-IFERROR(_xlfn.XLOOKUP(1,(DESC_PROV[LINEA]=$B$2)*(DESC_PROV[LISTA]=$C$2),DESC_PROV[DESCUENTO]),0)),
   ((B54*(1+IFERROR(VLOOKUP($D$2,COLORES[],2,FALSE),0)))+E54)
   *(1-IFERROR(_xlfn.XLOOKUP(1,(DESC_PROV[LINEA]=$B$2)*(DESC_PROV[LISTA]=$C$2),DESC_PROV[DESCUENTO]),0))
   *(1+VLOOKUP($C$2,LISTAS[],2,FALSE))
   *(1+VLOOKUP($C$2,LISTAS[],3,FALSE))
)
/5,0)*5,0)</f>
        <v>241390</v>
      </c>
      <c r="O54" s="125">
        <f t="array" ref="O54">IFERROR(
ROUND(
IF($A$2="COSTO",
   ((B54*(1+IFERROR(VLOOKUP($D$2,COLORES[],2,FALSE),0)))+F54)
   *(1-IFERROR(_xlfn.XLOOKUP(1,(DESC_PROV[LINEA]=$B$2)*(DESC_PROV[LISTA]=$C$2),DESC_PROV[DESCUENTO]),0)),
   ((B54*(1+IFERROR(VLOOKUP($D$2,COLORES[],2,FALSE),0)))+F54)
   *(1-IFERROR(_xlfn.XLOOKUP(1,(DESC_PROV[LINEA]=$B$2)*(DESC_PROV[LISTA]=$C$2),DESC_PROV[DESCUENTO]),0))
   *(1+VLOOKUP($C$2,LISTAS[],2,FALSE))
   *(1+VLOOKUP($C$2,LISTAS[],3,FALSE))
)
/5,0)*5,0)</f>
        <v>293490</v>
      </c>
      <c r="P54" s="125">
        <f t="array" ref="P54">IFERROR(
ROUND(
IF($A$2="COSTO",
   ((B54*(1+IFERROR(VLOOKUP($D$2,COLORES[],2,FALSE),0)))+G54)
   *(1-IFERROR(_xlfn.XLOOKUP(1,(DESC_PROV[LINEA]=$B$2)*(DESC_PROV[LISTA]=$C$2),DESC_PROV[DESCUENTO]),0)),
   ((B54*(1+IFERROR(VLOOKUP($D$2,COLORES[],2,FALSE),0)))+G54)
   *(1-IFERROR(_xlfn.XLOOKUP(1,(DESC_PROV[LINEA]=$B$2)*(DESC_PROV[LISTA]=$C$2),DESC_PROV[DESCUENTO]),0))
   *(1+VLOOKUP($C$2,LISTAS[],2,FALSE))
   *(1+VLOOKUP($C$2,LISTAS[],3,FALSE))
)
/5,0)*5,0)</f>
        <v>233355</v>
      </c>
      <c r="Q54" s="125">
        <f t="array" ref="Q54">IFERROR(
ROUND(
IF($A$2="COSTO",
   ((B54*(1+IFERROR(VLOOKUP($D$2,COLORES[],2,FALSE),0)))+H54)
   *(1-IFERROR(_xlfn.XLOOKUP(1,(DESC_PROV[LINEA]=$B$2)*(DESC_PROV[LISTA]=$C$2),DESC_PROV[DESCUENTO]),0)),
   ((B54*(1+IFERROR(VLOOKUP($D$2,COLORES[],2,FALSE),0)))+H54)
   *(1-IFERROR(_xlfn.XLOOKUP(1,(DESC_PROV[LINEA]=$B$2)*(DESC_PROV[LISTA]=$C$2),DESC_PROV[DESCUENTO]),0))
   *(1+VLOOKUP($C$2,LISTAS[],2,FALSE))
   *(1+VLOOKUP($C$2,LISTAS[],3,FALSE))
)
/5,0)*5,0)</f>
        <v>341490</v>
      </c>
      <c r="R54" s="126">
        <f t="array" ref="R54">IFERROR(
ROUND(
IF($A$2="COSTO",
   ((B54*(1+IFERROR(VLOOKUP($D$2,COLORES[],2,FALSE),0)))+(D54+I54+D54))
   *(1-IFERROR(_xlfn.XLOOKUP(1,(DESC_PROV[LINEA]=$B$2)*(DESC_PROV[LISTA]=$C$2),DESC_PROV[DESCUENTO]),0)),
   ((B54*(1+IFERROR(VLOOKUP($D$2,COLORES[],2,FALSE),0)))+(D54+I54+D54))
   *(1-IFERROR(_xlfn.XLOOKUP(1,(DESC_PROV[LINEA]=$B$2)*(DESC_PROV[LISTA]=$C$2),DESC_PROV[DESCUENTO]),0))
   *(1+VLOOKUP($C$2,LISTAS[],2,FALSE))
   *(1+VLOOKUP($C$2,LISTAS[],3,FALSE))
)
/5,0)*5,0)</f>
        <v>342285</v>
      </c>
    </row>
    <row r="55" spans="1:18">
      <c r="A55" s="133" t="s">
        <v>189</v>
      </c>
      <c r="B55" s="125">
        <v>127276</v>
      </c>
      <c r="C55" s="125">
        <v>8160</v>
      </c>
      <c r="D55" s="125">
        <v>9888</v>
      </c>
      <c r="E55" s="125">
        <v>13056</v>
      </c>
      <c r="F55" s="125">
        <v>28186</v>
      </c>
      <c r="G55" s="125">
        <v>10886</v>
      </c>
      <c r="H55" s="125">
        <v>42175</v>
      </c>
      <c r="I55" s="125">
        <v>46512</v>
      </c>
      <c r="J55" s="124"/>
      <c r="K55" s="133" t="s">
        <v>189</v>
      </c>
      <c r="L55" s="125">
        <f t="array" ref="L55">IFERROR(
ROUND(
IF($A$2="COSTO",
   ((B55*(1+IFERROR(VLOOKUP($D$2,COLORES[],2,FALSE),0)))+C55)
   *(1-IFERROR(_xlfn.XLOOKUP(1,(DESC_PROV[LINEA]=$B$2)*(DESC_PROV[LISTA]=$C$2),DESC_PROV[DESCUENTO]),0)),
   ((B55*(1+IFERROR(VLOOKUP($D$2,COLORES[],2,FALSE),0)))+C55)
   *(1-IFERROR(_xlfn.XLOOKUP(1,(DESC_PROV[LINEA]=$B$2)*(DESC_PROV[LISTA]=$C$2),DESC_PROV[DESCUENTO]),0))
   *(1+VLOOKUP($C$2,LISTAS[],2,FALSE))
   *(1+VLOOKUP($C$2,LISTAS[],3,FALSE))
)
/5,0)*5,0)</f>
        <v>173565</v>
      </c>
      <c r="M55" s="125">
        <f t="array" ref="M55">IFERROR(
ROUND(
IF($A$2="COSTO",
   ((B55*(1+IFERROR(VLOOKUP($D$2,COLORES[],2,FALSE),0)))+D55)
   *(1-IFERROR(_xlfn.XLOOKUP(1,(DESC_PROV[LINEA]=$B$2)*(DESC_PROV[LISTA]=$C$2),DESC_PROV[DESCUENTO]),0)),
   ((B55*(1+IFERROR(VLOOKUP($D$2,COLORES[],2,FALSE),0)))+D55)
   *(1-IFERROR(_xlfn.XLOOKUP(1,(DESC_PROV[LINEA]=$B$2)*(DESC_PROV[LISTA]=$C$2),DESC_PROV[DESCUENTO]),0))
   *(1+VLOOKUP($C$2,LISTAS[],2,FALSE))
   *(1+VLOOKUP($C$2,LISTAS[],3,FALSE))
)
/5,0)*5,0)</f>
        <v>175780</v>
      </c>
      <c r="N55" s="125">
        <f t="array" ref="N55">IFERROR(
ROUND(
IF($A$2="COSTO",
   ((B55*(1+IFERROR(VLOOKUP($D$2,COLORES[],2,FALSE),0)))+E55)
   *(1-IFERROR(_xlfn.XLOOKUP(1,(DESC_PROV[LINEA]=$B$2)*(DESC_PROV[LISTA]=$C$2),DESC_PROV[DESCUENTO]),0)),
   ((B55*(1+IFERROR(VLOOKUP($D$2,COLORES[],2,FALSE),0)))+E55)
   *(1-IFERROR(_xlfn.XLOOKUP(1,(DESC_PROV[LINEA]=$B$2)*(DESC_PROV[LISTA]=$C$2),DESC_PROV[DESCUENTO]),0))
   *(1+VLOOKUP($C$2,LISTAS[],2,FALSE))
   *(1+VLOOKUP($C$2,LISTAS[],3,FALSE))
)
/5,0)*5,0)</f>
        <v>179840</v>
      </c>
      <c r="O55" s="125">
        <f t="array" ref="O55">IFERROR(
ROUND(
IF($A$2="COSTO",
   ((B55*(1+IFERROR(VLOOKUP($D$2,COLORES[],2,FALSE),0)))+F55)
   *(1-IFERROR(_xlfn.XLOOKUP(1,(DESC_PROV[LINEA]=$B$2)*(DESC_PROV[LISTA]=$C$2),DESC_PROV[DESCUENTO]),0)),
   ((B55*(1+IFERROR(VLOOKUP($D$2,COLORES[],2,FALSE),0)))+F55)
   *(1-IFERROR(_xlfn.XLOOKUP(1,(DESC_PROV[LINEA]=$B$2)*(DESC_PROV[LISTA]=$C$2),DESC_PROV[DESCUENTO]),0))
   *(1+VLOOKUP($C$2,LISTAS[],2,FALSE))
   *(1+VLOOKUP($C$2,LISTAS[],3,FALSE))
)
/5,0)*5,0)</f>
        <v>199230</v>
      </c>
      <c r="P55" s="125">
        <f t="array" ref="P55">IFERROR(
ROUND(
IF($A$2="COSTO",
   ((B55*(1+IFERROR(VLOOKUP($D$2,COLORES[],2,FALSE),0)))+G55)
   *(1-IFERROR(_xlfn.XLOOKUP(1,(DESC_PROV[LINEA]=$B$2)*(DESC_PROV[LISTA]=$C$2),DESC_PROV[DESCUENTO]),0)),
   ((B55*(1+IFERROR(VLOOKUP($D$2,COLORES[],2,FALSE),0)))+G55)
   *(1-IFERROR(_xlfn.XLOOKUP(1,(DESC_PROV[LINEA]=$B$2)*(DESC_PROV[LISTA]=$C$2),DESC_PROV[DESCUENTO]),0))
   *(1+VLOOKUP($C$2,LISTAS[],2,FALSE))
   *(1+VLOOKUP($C$2,LISTAS[],3,FALSE))
)
/5,0)*5,0)</f>
        <v>177060</v>
      </c>
      <c r="Q55" s="125">
        <f t="array" ref="Q55">IFERROR(
ROUND(
IF($A$2="COSTO",
   ((B55*(1+IFERROR(VLOOKUP($D$2,COLORES[],2,FALSE),0)))+H55)
   *(1-IFERROR(_xlfn.XLOOKUP(1,(DESC_PROV[LINEA]=$B$2)*(DESC_PROV[LISTA]=$C$2),DESC_PROV[DESCUENTO]),0)),
   ((B55*(1+IFERROR(VLOOKUP($D$2,COLORES[],2,FALSE),0)))+H55)
   *(1-IFERROR(_xlfn.XLOOKUP(1,(DESC_PROV[LINEA]=$B$2)*(DESC_PROV[LISTA]=$C$2),DESC_PROV[DESCUENTO]),0))
   *(1+VLOOKUP($C$2,LISTAS[],2,FALSE))
   *(1+VLOOKUP($C$2,LISTAS[],3,FALSE))
)
/5,0)*5,0)</f>
        <v>217160</v>
      </c>
      <c r="R55" s="126">
        <f t="array" ref="R55">IFERROR(
ROUND(
IF($A$2="COSTO",
   ((B55*(1+IFERROR(VLOOKUP($D$2,COLORES[],2,FALSE),0)))+(D55+I55+D55))
   *(1-IFERROR(_xlfn.XLOOKUP(1,(DESC_PROV[LINEA]=$B$2)*(DESC_PROV[LISTA]=$C$2),DESC_PROV[DESCUENTO]),0)),
   ((B55*(1+IFERROR(VLOOKUP($D$2,COLORES[],2,FALSE),0)))+(D55+I55+D55))
   *(1-IFERROR(_xlfn.XLOOKUP(1,(DESC_PROV[LINEA]=$B$2)*(DESC_PROV[LISTA]=$C$2),DESC_PROV[DESCUENTO]),0))
   *(1+VLOOKUP($C$2,LISTAS[],2,FALSE))
   *(1+VLOOKUP($C$2,LISTAS[],3,FALSE))
)
/5,0)*5,0)</f>
        <v>248060</v>
      </c>
    </row>
    <row r="56" spans="1:18">
      <c r="A56" s="133" t="s">
        <v>190</v>
      </c>
      <c r="B56" s="125">
        <v>132403</v>
      </c>
      <c r="C56" s="125">
        <v>10886</v>
      </c>
      <c r="D56" s="125">
        <v>13181</v>
      </c>
      <c r="E56" s="125">
        <v>17405</v>
      </c>
      <c r="F56" s="125">
        <v>37584</v>
      </c>
      <c r="G56" s="125">
        <v>14515</v>
      </c>
      <c r="H56" s="125">
        <v>56241</v>
      </c>
      <c r="I56" s="125">
        <v>49613</v>
      </c>
      <c r="J56" s="124"/>
      <c r="K56" s="133" t="s">
        <v>190</v>
      </c>
      <c r="L56" s="125">
        <f t="array" ref="L56">IFERROR(
ROUND(
IF($A$2="COSTO",
   ((B56*(1+IFERROR(VLOOKUP($D$2,COLORES[],2,FALSE),0)))+C56)
   *(1-IFERROR(_xlfn.XLOOKUP(1,(DESC_PROV[LINEA]=$B$2)*(DESC_PROV[LISTA]=$C$2),DESC_PROV[DESCUENTO]),0)),
   ((B56*(1+IFERROR(VLOOKUP($D$2,COLORES[],2,FALSE),0)))+C56)
   *(1-IFERROR(_xlfn.XLOOKUP(1,(DESC_PROV[LINEA]=$B$2)*(DESC_PROV[LISTA]=$C$2),DESC_PROV[DESCUENTO]),0))
   *(1+VLOOKUP($C$2,LISTAS[],2,FALSE))
   *(1+VLOOKUP($C$2,LISTAS[],3,FALSE))
)
/5,0)*5,0)</f>
        <v>183630</v>
      </c>
      <c r="M56" s="125">
        <f t="array" ref="M56">IFERROR(
ROUND(
IF($A$2="COSTO",
   ((B56*(1+IFERROR(VLOOKUP($D$2,COLORES[],2,FALSE),0)))+D56)
   *(1-IFERROR(_xlfn.XLOOKUP(1,(DESC_PROV[LINEA]=$B$2)*(DESC_PROV[LISTA]=$C$2),DESC_PROV[DESCUENTO]),0)),
   ((B56*(1+IFERROR(VLOOKUP($D$2,COLORES[],2,FALSE),0)))+D56)
   *(1-IFERROR(_xlfn.XLOOKUP(1,(DESC_PROV[LINEA]=$B$2)*(DESC_PROV[LISTA]=$C$2),DESC_PROV[DESCUENTO]),0))
   *(1+VLOOKUP($C$2,LISTAS[],2,FALSE))
   *(1+VLOOKUP($C$2,LISTAS[],3,FALSE))
)
/5,0)*5,0)</f>
        <v>186570</v>
      </c>
      <c r="N56" s="125">
        <f t="array" ref="N56">IFERROR(
ROUND(
IF($A$2="COSTO",
   ((B56*(1+IFERROR(VLOOKUP($D$2,COLORES[],2,FALSE),0)))+E56)
   *(1-IFERROR(_xlfn.XLOOKUP(1,(DESC_PROV[LINEA]=$B$2)*(DESC_PROV[LISTA]=$C$2),DESC_PROV[DESCUENTO]),0)),
   ((B56*(1+IFERROR(VLOOKUP($D$2,COLORES[],2,FALSE),0)))+E56)
   *(1-IFERROR(_xlfn.XLOOKUP(1,(DESC_PROV[LINEA]=$B$2)*(DESC_PROV[LISTA]=$C$2),DESC_PROV[DESCUENTO]),0))
   *(1+VLOOKUP($C$2,LISTAS[],2,FALSE))
   *(1+VLOOKUP($C$2,LISTAS[],3,FALSE))
)
/5,0)*5,0)</f>
        <v>191985</v>
      </c>
      <c r="O56" s="125">
        <f t="array" ref="O56">IFERROR(
ROUND(
IF($A$2="COSTO",
   ((B56*(1+IFERROR(VLOOKUP($D$2,COLORES[],2,FALSE),0)))+F56)
   *(1-IFERROR(_xlfn.XLOOKUP(1,(DESC_PROV[LINEA]=$B$2)*(DESC_PROV[LISTA]=$C$2),DESC_PROV[DESCUENTO]),0)),
   ((B56*(1+IFERROR(VLOOKUP($D$2,COLORES[],2,FALSE),0)))+F56)
   *(1-IFERROR(_xlfn.XLOOKUP(1,(DESC_PROV[LINEA]=$B$2)*(DESC_PROV[LISTA]=$C$2),DESC_PROV[DESCUENTO]),0))
   *(1+VLOOKUP($C$2,LISTAS[],2,FALSE))
   *(1+VLOOKUP($C$2,LISTAS[],3,FALSE))
)
/5,0)*5,0)</f>
        <v>217845</v>
      </c>
      <c r="P56" s="125">
        <f t="array" ref="P56">IFERROR(
ROUND(
IF($A$2="COSTO",
   ((B56*(1+IFERROR(VLOOKUP($D$2,COLORES[],2,FALSE),0)))+G56)
   *(1-IFERROR(_xlfn.XLOOKUP(1,(DESC_PROV[LINEA]=$B$2)*(DESC_PROV[LISTA]=$C$2),DESC_PROV[DESCUENTO]),0)),
   ((B56*(1+IFERROR(VLOOKUP($D$2,COLORES[],2,FALSE),0)))+G56)
   *(1-IFERROR(_xlfn.XLOOKUP(1,(DESC_PROV[LINEA]=$B$2)*(DESC_PROV[LISTA]=$C$2),DESC_PROV[DESCUENTO]),0))
   *(1+VLOOKUP($C$2,LISTAS[],2,FALSE))
   *(1+VLOOKUP($C$2,LISTAS[],3,FALSE))
)
/5,0)*5,0)</f>
        <v>188280</v>
      </c>
      <c r="Q56" s="125">
        <f t="array" ref="Q56">IFERROR(
ROUND(
IF($A$2="COSTO",
   ((B56*(1+IFERROR(VLOOKUP($D$2,COLORES[],2,FALSE),0)))+H56)
   *(1-IFERROR(_xlfn.XLOOKUP(1,(DESC_PROV[LINEA]=$B$2)*(DESC_PROV[LISTA]=$C$2),DESC_PROV[DESCUENTO]),0)),
   ((B56*(1+IFERROR(VLOOKUP($D$2,COLORES[],2,FALSE),0)))+H56)
   *(1-IFERROR(_xlfn.XLOOKUP(1,(DESC_PROV[LINEA]=$B$2)*(DESC_PROV[LISTA]=$C$2),DESC_PROV[DESCUENTO]),0))
   *(1+VLOOKUP($C$2,LISTAS[],2,FALSE))
   *(1+VLOOKUP($C$2,LISTAS[],3,FALSE))
)
/5,0)*5,0)</f>
        <v>241755</v>
      </c>
      <c r="R56" s="126">
        <f t="array" ref="R56">IFERROR(
ROUND(
IF($A$2="COSTO",
   ((B56*(1+IFERROR(VLOOKUP($D$2,COLORES[],2,FALSE),0)))+(D56+I56+D56))
   *(1-IFERROR(_xlfn.XLOOKUP(1,(DESC_PROV[LINEA]=$B$2)*(DESC_PROV[LISTA]=$C$2),DESC_PROV[DESCUENTO]),0)),
   ((B56*(1+IFERROR(VLOOKUP($D$2,COLORES[],2,FALSE),0)))+(D56+I56+D56))
   *(1-IFERROR(_xlfn.XLOOKUP(1,(DESC_PROV[LINEA]=$B$2)*(DESC_PROV[LISTA]=$C$2),DESC_PROV[DESCUENTO]),0))
   *(1+VLOOKUP($C$2,LISTAS[],2,FALSE))
   *(1+VLOOKUP($C$2,LISTAS[],3,FALSE))
)
/5,0)*5,0)</f>
        <v>267045</v>
      </c>
    </row>
    <row r="57" spans="1:18">
      <c r="A57" s="133" t="s">
        <v>191</v>
      </c>
      <c r="B57" s="125">
        <v>137537</v>
      </c>
      <c r="C57" s="125">
        <v>13613</v>
      </c>
      <c r="D57" s="125">
        <v>16483</v>
      </c>
      <c r="E57" s="125">
        <v>21754</v>
      </c>
      <c r="F57" s="125">
        <v>46982</v>
      </c>
      <c r="G57" s="125">
        <v>18144</v>
      </c>
      <c r="H57" s="125">
        <v>70307</v>
      </c>
      <c r="I57" s="125">
        <v>52714</v>
      </c>
      <c r="J57" s="124"/>
      <c r="K57" s="133" t="s">
        <v>191</v>
      </c>
      <c r="L57" s="125">
        <f t="array" ref="L57">IFERROR(
ROUND(
IF($A$2="COSTO",
   ((B57*(1+IFERROR(VLOOKUP($D$2,COLORES[],2,FALSE),0)))+C57)
   *(1-IFERROR(_xlfn.XLOOKUP(1,(DESC_PROV[LINEA]=$B$2)*(DESC_PROV[LISTA]=$C$2),DESC_PROV[DESCUENTO]),0)),
   ((B57*(1+IFERROR(VLOOKUP($D$2,COLORES[],2,FALSE),0)))+C57)
   *(1-IFERROR(_xlfn.XLOOKUP(1,(DESC_PROV[LINEA]=$B$2)*(DESC_PROV[LISTA]=$C$2),DESC_PROV[DESCUENTO]),0))
   *(1+VLOOKUP($C$2,LISTAS[],2,FALSE))
   *(1+VLOOKUP($C$2,LISTAS[],3,FALSE))
)
/5,0)*5,0)</f>
        <v>193705</v>
      </c>
      <c r="M57" s="125">
        <f t="array" ref="M57">IFERROR(
ROUND(
IF($A$2="COSTO",
   ((B57*(1+IFERROR(VLOOKUP($D$2,COLORES[],2,FALSE),0)))+D57)
   *(1-IFERROR(_xlfn.XLOOKUP(1,(DESC_PROV[LINEA]=$B$2)*(DESC_PROV[LISTA]=$C$2),DESC_PROV[DESCUENTO]),0)),
   ((B57*(1+IFERROR(VLOOKUP($D$2,COLORES[],2,FALSE),0)))+D57)
   *(1-IFERROR(_xlfn.XLOOKUP(1,(DESC_PROV[LINEA]=$B$2)*(DESC_PROV[LISTA]=$C$2),DESC_PROV[DESCUENTO]),0))
   *(1+VLOOKUP($C$2,LISTAS[],2,FALSE))
   *(1+VLOOKUP($C$2,LISTAS[],3,FALSE))
)
/5,0)*5,0)</f>
        <v>197385</v>
      </c>
      <c r="N57" s="125">
        <f t="array" ref="N57">IFERROR(
ROUND(
IF($A$2="COSTO",
   ((B57*(1+IFERROR(VLOOKUP($D$2,COLORES[],2,FALSE),0)))+E57)
   *(1-IFERROR(_xlfn.XLOOKUP(1,(DESC_PROV[LINEA]=$B$2)*(DESC_PROV[LISTA]=$C$2),DESC_PROV[DESCUENTO]),0)),
   ((B57*(1+IFERROR(VLOOKUP($D$2,COLORES[],2,FALSE),0)))+E57)
   *(1-IFERROR(_xlfn.XLOOKUP(1,(DESC_PROV[LINEA]=$B$2)*(DESC_PROV[LISTA]=$C$2),DESC_PROV[DESCUENTO]),0))
   *(1+VLOOKUP($C$2,LISTAS[],2,FALSE))
   *(1+VLOOKUP($C$2,LISTAS[],3,FALSE))
)
/5,0)*5,0)</f>
        <v>204140</v>
      </c>
      <c r="O57" s="125">
        <f t="array" ref="O57">IFERROR(
ROUND(
IF($A$2="COSTO",
   ((B57*(1+IFERROR(VLOOKUP($D$2,COLORES[],2,FALSE),0)))+F57)
   *(1-IFERROR(_xlfn.XLOOKUP(1,(DESC_PROV[LINEA]=$B$2)*(DESC_PROV[LISTA]=$C$2),DESC_PROV[DESCUENTO]),0)),
   ((B57*(1+IFERROR(VLOOKUP($D$2,COLORES[],2,FALSE),0)))+F57)
   *(1-IFERROR(_xlfn.XLOOKUP(1,(DESC_PROV[LINEA]=$B$2)*(DESC_PROV[LISTA]=$C$2),DESC_PROV[DESCUENTO]),0))
   *(1+VLOOKUP($C$2,LISTAS[],2,FALSE))
   *(1+VLOOKUP($C$2,LISTAS[],3,FALSE))
)
/5,0)*5,0)</f>
        <v>236470</v>
      </c>
      <c r="P57" s="125">
        <f t="array" ref="P57">IFERROR(
ROUND(
IF($A$2="COSTO",
   ((B57*(1+IFERROR(VLOOKUP($D$2,COLORES[],2,FALSE),0)))+G57)
   *(1-IFERROR(_xlfn.XLOOKUP(1,(DESC_PROV[LINEA]=$B$2)*(DESC_PROV[LISTA]=$C$2),DESC_PROV[DESCUENTO]),0)),
   ((B57*(1+IFERROR(VLOOKUP($D$2,COLORES[],2,FALSE),0)))+G57)
   *(1-IFERROR(_xlfn.XLOOKUP(1,(DESC_PROV[LINEA]=$B$2)*(DESC_PROV[LISTA]=$C$2),DESC_PROV[DESCUENTO]),0))
   *(1+VLOOKUP($C$2,LISTAS[],2,FALSE))
   *(1+VLOOKUP($C$2,LISTAS[],3,FALSE))
)
/5,0)*5,0)</f>
        <v>199510</v>
      </c>
      <c r="Q57" s="125">
        <f t="array" ref="Q57">IFERROR(
ROUND(
IF($A$2="COSTO",
   ((B57*(1+IFERROR(VLOOKUP($D$2,COLORES[],2,FALSE),0)))+H57)
   *(1-IFERROR(_xlfn.XLOOKUP(1,(DESC_PROV[LINEA]=$B$2)*(DESC_PROV[LISTA]=$C$2),DESC_PROV[DESCUENTO]),0)),
   ((B57*(1+IFERROR(VLOOKUP($D$2,COLORES[],2,FALSE),0)))+H57)
   *(1-IFERROR(_xlfn.XLOOKUP(1,(DESC_PROV[LINEA]=$B$2)*(DESC_PROV[LISTA]=$C$2),DESC_PROV[DESCUENTO]),0))
   *(1+VLOOKUP($C$2,LISTAS[],2,FALSE))
   *(1+VLOOKUP($C$2,LISTAS[],3,FALSE))
)
/5,0)*5,0)</f>
        <v>266360</v>
      </c>
      <c r="R57" s="126">
        <f t="array" ref="R57">IFERROR(
ROUND(
IF($A$2="COSTO",
   ((B57*(1+IFERROR(VLOOKUP($D$2,COLORES[],2,FALSE),0)))+(D57+I57+D57))
   *(1-IFERROR(_xlfn.XLOOKUP(1,(DESC_PROV[LINEA]=$B$2)*(DESC_PROV[LISTA]=$C$2),DESC_PROV[DESCUENTO]),0)),
   ((B57*(1+IFERROR(VLOOKUP($D$2,COLORES[],2,FALSE),0)))+(D57+I57+D57))
   *(1-IFERROR(_xlfn.XLOOKUP(1,(DESC_PROV[LINEA]=$B$2)*(DESC_PROV[LISTA]=$C$2),DESC_PROV[DESCUENTO]),0))
   *(1+VLOOKUP($C$2,LISTAS[],2,FALSE))
   *(1+VLOOKUP($C$2,LISTAS[],3,FALSE))
)
/5,0)*5,0)</f>
        <v>286060</v>
      </c>
    </row>
    <row r="58" spans="1:18">
      <c r="A58" s="133" t="s">
        <v>192</v>
      </c>
      <c r="B58" s="125">
        <v>142657</v>
      </c>
      <c r="C58" s="125">
        <v>16339</v>
      </c>
      <c r="D58" s="125">
        <v>19776</v>
      </c>
      <c r="E58" s="125">
        <v>26102</v>
      </c>
      <c r="F58" s="125">
        <v>56381</v>
      </c>
      <c r="G58" s="125">
        <v>21773</v>
      </c>
      <c r="H58" s="125">
        <v>84372</v>
      </c>
      <c r="I58" s="125">
        <v>55814</v>
      </c>
      <c r="J58" s="124"/>
      <c r="K58" s="133" t="s">
        <v>192</v>
      </c>
      <c r="L58" s="125">
        <f t="array" ref="L58">IFERROR(
ROUND(
IF($A$2="COSTO",
   ((B58*(1+IFERROR(VLOOKUP($D$2,COLORES[],2,FALSE),0)))+C58)
   *(1-IFERROR(_xlfn.XLOOKUP(1,(DESC_PROV[LINEA]=$B$2)*(DESC_PROV[LISTA]=$C$2),DESC_PROV[DESCUENTO]),0)),
   ((B58*(1+IFERROR(VLOOKUP($D$2,COLORES[],2,FALSE),0)))+C58)
   *(1-IFERROR(_xlfn.XLOOKUP(1,(DESC_PROV[LINEA]=$B$2)*(DESC_PROV[LISTA]=$C$2),DESC_PROV[DESCUENTO]),0))
   *(1+VLOOKUP($C$2,LISTAS[],2,FALSE))
   *(1+VLOOKUP($C$2,LISTAS[],3,FALSE))
)
/5,0)*5,0)</f>
        <v>203760</v>
      </c>
      <c r="M58" s="125">
        <f t="array" ref="M58">IFERROR(
ROUND(
IF($A$2="COSTO",
   ((B58*(1+IFERROR(VLOOKUP($D$2,COLORES[],2,FALSE),0)))+D58)
   *(1-IFERROR(_xlfn.XLOOKUP(1,(DESC_PROV[LINEA]=$B$2)*(DESC_PROV[LISTA]=$C$2),DESC_PROV[DESCUENTO]),0)),
   ((B58*(1+IFERROR(VLOOKUP($D$2,COLORES[],2,FALSE),0)))+D58)
   *(1-IFERROR(_xlfn.XLOOKUP(1,(DESC_PROV[LINEA]=$B$2)*(DESC_PROV[LISTA]=$C$2),DESC_PROV[DESCUENTO]),0))
   *(1+VLOOKUP($C$2,LISTAS[],2,FALSE))
   *(1+VLOOKUP($C$2,LISTAS[],3,FALSE))
)
/5,0)*5,0)</f>
        <v>208165</v>
      </c>
      <c r="N58" s="125">
        <f t="array" ref="N58">IFERROR(
ROUND(
IF($A$2="COSTO",
   ((B58*(1+IFERROR(VLOOKUP($D$2,COLORES[],2,FALSE),0)))+E58)
   *(1-IFERROR(_xlfn.XLOOKUP(1,(DESC_PROV[LINEA]=$B$2)*(DESC_PROV[LISTA]=$C$2),DESC_PROV[DESCUENTO]),0)),
   ((B58*(1+IFERROR(VLOOKUP($D$2,COLORES[],2,FALSE),0)))+E58)
   *(1-IFERROR(_xlfn.XLOOKUP(1,(DESC_PROV[LINEA]=$B$2)*(DESC_PROV[LISTA]=$C$2),DESC_PROV[DESCUENTO]),0))
   *(1+VLOOKUP($C$2,LISTAS[],2,FALSE))
   *(1+VLOOKUP($C$2,LISTAS[],3,FALSE))
)
/5,0)*5,0)</f>
        <v>216270</v>
      </c>
      <c r="O58" s="125">
        <f t="array" ref="O58">IFERROR(
ROUND(
IF($A$2="COSTO",
   ((B58*(1+IFERROR(VLOOKUP($D$2,COLORES[],2,FALSE),0)))+F58)
   *(1-IFERROR(_xlfn.XLOOKUP(1,(DESC_PROV[LINEA]=$B$2)*(DESC_PROV[LISTA]=$C$2),DESC_PROV[DESCUENTO]),0)),
   ((B58*(1+IFERROR(VLOOKUP($D$2,COLORES[],2,FALSE),0)))+F58)
   *(1-IFERROR(_xlfn.XLOOKUP(1,(DESC_PROV[LINEA]=$B$2)*(DESC_PROV[LISTA]=$C$2),DESC_PROV[DESCUENTO]),0))
   *(1+VLOOKUP($C$2,LISTAS[],2,FALSE))
   *(1+VLOOKUP($C$2,LISTAS[],3,FALSE))
)
/5,0)*5,0)</f>
        <v>255075</v>
      </c>
      <c r="P58" s="125">
        <f t="array" ref="P58">IFERROR(
ROUND(
IF($A$2="COSTO",
   ((B58*(1+IFERROR(VLOOKUP($D$2,COLORES[],2,FALSE),0)))+G58)
   *(1-IFERROR(_xlfn.XLOOKUP(1,(DESC_PROV[LINEA]=$B$2)*(DESC_PROV[LISTA]=$C$2),DESC_PROV[DESCUENTO]),0)),
   ((B58*(1+IFERROR(VLOOKUP($D$2,COLORES[],2,FALSE),0)))+G58)
   *(1-IFERROR(_xlfn.XLOOKUP(1,(DESC_PROV[LINEA]=$B$2)*(DESC_PROV[LISTA]=$C$2),DESC_PROV[DESCUENTO]),0))
   *(1+VLOOKUP($C$2,LISTAS[],2,FALSE))
   *(1+VLOOKUP($C$2,LISTAS[],3,FALSE))
)
/5,0)*5,0)</f>
        <v>210725</v>
      </c>
      <c r="Q58" s="125">
        <f t="array" ref="Q58">IFERROR(
ROUND(
IF($A$2="COSTO",
   ((B58*(1+IFERROR(VLOOKUP($D$2,COLORES[],2,FALSE),0)))+H58)
   *(1-IFERROR(_xlfn.XLOOKUP(1,(DESC_PROV[LINEA]=$B$2)*(DESC_PROV[LISTA]=$C$2),DESC_PROV[DESCUENTO]),0)),
   ((B58*(1+IFERROR(VLOOKUP($D$2,COLORES[],2,FALSE),0)))+H58)
   *(1-IFERROR(_xlfn.XLOOKUP(1,(DESC_PROV[LINEA]=$B$2)*(DESC_PROV[LISTA]=$C$2),DESC_PROV[DESCUENTO]),0))
   *(1+VLOOKUP($C$2,LISTAS[],2,FALSE))
   *(1+VLOOKUP($C$2,LISTAS[],3,FALSE))
)
/5,0)*5,0)</f>
        <v>290945</v>
      </c>
      <c r="R58" s="126">
        <f t="array" ref="R58">IFERROR(
ROUND(
IF($A$2="COSTO",
   ((B58*(1+IFERROR(VLOOKUP($D$2,COLORES[],2,FALSE),0)))+(D58+I58+D58))
   *(1-IFERROR(_xlfn.XLOOKUP(1,(DESC_PROV[LINEA]=$B$2)*(DESC_PROV[LISTA]=$C$2),DESC_PROV[DESCUENTO]),0)),
   ((B58*(1+IFERROR(VLOOKUP($D$2,COLORES[],2,FALSE),0)))+(D58+I58+D58))
   *(1-IFERROR(_xlfn.XLOOKUP(1,(DESC_PROV[LINEA]=$B$2)*(DESC_PROV[LISTA]=$C$2),DESC_PROV[DESCUENTO]),0))
   *(1+VLOOKUP($C$2,LISTAS[],2,FALSE))
   *(1+VLOOKUP($C$2,LISTAS[],3,FALSE))
)
/5,0)*5,0)</f>
        <v>305035</v>
      </c>
    </row>
    <row r="59" spans="1:18">
      <c r="A59" s="133" t="s">
        <v>193</v>
      </c>
      <c r="B59" s="125">
        <v>147784</v>
      </c>
      <c r="C59" s="125">
        <v>19066</v>
      </c>
      <c r="D59" s="125">
        <v>23069</v>
      </c>
      <c r="E59" s="125">
        <v>30451</v>
      </c>
      <c r="F59" s="125">
        <v>65779</v>
      </c>
      <c r="G59" s="125">
        <v>25402</v>
      </c>
      <c r="H59" s="125">
        <v>98438</v>
      </c>
      <c r="I59" s="125">
        <v>58915</v>
      </c>
      <c r="J59" s="124"/>
      <c r="K59" s="133" t="s">
        <v>193</v>
      </c>
      <c r="L59" s="125">
        <f t="array" ref="L59">IFERROR(
ROUND(
IF($A$2="COSTO",
   ((B59*(1+IFERROR(VLOOKUP($D$2,COLORES[],2,FALSE),0)))+C59)
   *(1-IFERROR(_xlfn.XLOOKUP(1,(DESC_PROV[LINEA]=$B$2)*(DESC_PROV[LISTA]=$C$2),DESC_PROV[DESCUENTO]),0)),
   ((B59*(1+IFERROR(VLOOKUP($D$2,COLORES[],2,FALSE),0)))+C59)
   *(1-IFERROR(_xlfn.XLOOKUP(1,(DESC_PROV[LINEA]=$B$2)*(DESC_PROV[LISTA]=$C$2),DESC_PROV[DESCUENTO]),0))
   *(1+VLOOKUP($C$2,LISTAS[],2,FALSE))
   *(1+VLOOKUP($C$2,LISTAS[],3,FALSE))
)
/5,0)*5,0)</f>
        <v>213825</v>
      </c>
      <c r="M59" s="125">
        <f t="array" ref="M59">IFERROR(
ROUND(
IF($A$2="COSTO",
   ((B59*(1+IFERROR(VLOOKUP($D$2,COLORES[],2,FALSE),0)))+D59)
   *(1-IFERROR(_xlfn.XLOOKUP(1,(DESC_PROV[LINEA]=$B$2)*(DESC_PROV[LISTA]=$C$2),DESC_PROV[DESCUENTO]),0)),
   ((B59*(1+IFERROR(VLOOKUP($D$2,COLORES[],2,FALSE),0)))+D59)
   *(1-IFERROR(_xlfn.XLOOKUP(1,(DESC_PROV[LINEA]=$B$2)*(DESC_PROV[LISTA]=$C$2),DESC_PROV[DESCUENTO]),0))
   *(1+VLOOKUP($C$2,LISTAS[],2,FALSE))
   *(1+VLOOKUP($C$2,LISTAS[],3,FALSE))
)
/5,0)*5,0)</f>
        <v>218955</v>
      </c>
      <c r="N59" s="125">
        <f t="array" ref="N59">IFERROR(
ROUND(
IF($A$2="COSTO",
   ((B59*(1+IFERROR(VLOOKUP($D$2,COLORES[],2,FALSE),0)))+E59)
   *(1-IFERROR(_xlfn.XLOOKUP(1,(DESC_PROV[LINEA]=$B$2)*(DESC_PROV[LISTA]=$C$2),DESC_PROV[DESCUENTO]),0)),
   ((B59*(1+IFERROR(VLOOKUP($D$2,COLORES[],2,FALSE),0)))+E59)
   *(1-IFERROR(_xlfn.XLOOKUP(1,(DESC_PROV[LINEA]=$B$2)*(DESC_PROV[LISTA]=$C$2),DESC_PROV[DESCUENTO]),0))
   *(1+VLOOKUP($C$2,LISTAS[],2,FALSE))
   *(1+VLOOKUP($C$2,LISTAS[],3,FALSE))
)
/5,0)*5,0)</f>
        <v>228415</v>
      </c>
      <c r="O59" s="125">
        <f t="array" ref="O59">IFERROR(
ROUND(
IF($A$2="COSTO",
   ((B59*(1+IFERROR(VLOOKUP($D$2,COLORES[],2,FALSE),0)))+F59)
   *(1-IFERROR(_xlfn.XLOOKUP(1,(DESC_PROV[LINEA]=$B$2)*(DESC_PROV[LISTA]=$C$2),DESC_PROV[DESCUENTO]),0)),
   ((B59*(1+IFERROR(VLOOKUP($D$2,COLORES[],2,FALSE),0)))+F59)
   *(1-IFERROR(_xlfn.XLOOKUP(1,(DESC_PROV[LINEA]=$B$2)*(DESC_PROV[LISTA]=$C$2),DESC_PROV[DESCUENTO]),0))
   *(1+VLOOKUP($C$2,LISTAS[],2,FALSE))
   *(1+VLOOKUP($C$2,LISTAS[],3,FALSE))
)
/5,0)*5,0)</f>
        <v>273690</v>
      </c>
      <c r="P59" s="125">
        <f t="array" ref="P59">IFERROR(
ROUND(
IF($A$2="COSTO",
   ((B59*(1+IFERROR(VLOOKUP($D$2,COLORES[],2,FALSE),0)))+G59)
   *(1-IFERROR(_xlfn.XLOOKUP(1,(DESC_PROV[LINEA]=$B$2)*(DESC_PROV[LISTA]=$C$2),DESC_PROV[DESCUENTO]),0)),
   ((B59*(1+IFERROR(VLOOKUP($D$2,COLORES[],2,FALSE),0)))+G59)
   *(1-IFERROR(_xlfn.XLOOKUP(1,(DESC_PROV[LINEA]=$B$2)*(DESC_PROV[LISTA]=$C$2),DESC_PROV[DESCUENTO]),0))
   *(1+VLOOKUP($C$2,LISTAS[],2,FALSE))
   *(1+VLOOKUP($C$2,LISTAS[],3,FALSE))
)
/5,0)*5,0)</f>
        <v>221945</v>
      </c>
      <c r="Q59" s="125">
        <f t="array" ref="Q59">IFERROR(
ROUND(
IF($A$2="COSTO",
   ((B59*(1+IFERROR(VLOOKUP($D$2,COLORES[],2,FALSE),0)))+H59)
   *(1-IFERROR(_xlfn.XLOOKUP(1,(DESC_PROV[LINEA]=$B$2)*(DESC_PROV[LISTA]=$C$2),DESC_PROV[DESCUENTO]),0)),
   ((B59*(1+IFERROR(VLOOKUP($D$2,COLORES[],2,FALSE),0)))+H59)
   *(1-IFERROR(_xlfn.XLOOKUP(1,(DESC_PROV[LINEA]=$B$2)*(DESC_PROV[LISTA]=$C$2),DESC_PROV[DESCUENTO]),0))
   *(1+VLOOKUP($C$2,LISTAS[],2,FALSE))
   *(1+VLOOKUP($C$2,LISTAS[],3,FALSE))
)
/5,0)*5,0)</f>
        <v>315545</v>
      </c>
      <c r="R59" s="126">
        <f t="array" ref="R59">IFERROR(
ROUND(
IF($A$2="COSTO",
   ((B59*(1+IFERROR(VLOOKUP($D$2,COLORES[],2,FALSE),0)))+(D59+I59+D59))
   *(1-IFERROR(_xlfn.XLOOKUP(1,(DESC_PROV[LINEA]=$B$2)*(DESC_PROV[LISTA]=$C$2),DESC_PROV[DESCUENTO]),0)),
   ((B59*(1+IFERROR(VLOOKUP($D$2,COLORES[],2,FALSE),0)))+(D59+I59+D59))
   *(1-IFERROR(_xlfn.XLOOKUP(1,(DESC_PROV[LINEA]=$B$2)*(DESC_PROV[LISTA]=$C$2),DESC_PROV[DESCUENTO]),0))
   *(1+VLOOKUP($C$2,LISTAS[],2,FALSE))
   *(1+VLOOKUP($C$2,LISTAS[],3,FALSE))
)
/5,0)*5,0)</f>
        <v>324020</v>
      </c>
    </row>
    <row r="60" spans="1:18">
      <c r="A60" s="133" t="s">
        <v>194</v>
      </c>
      <c r="B60" s="125">
        <v>152905</v>
      </c>
      <c r="C60" s="125">
        <v>21792</v>
      </c>
      <c r="D60" s="125">
        <v>26362</v>
      </c>
      <c r="E60" s="125">
        <v>34800</v>
      </c>
      <c r="F60" s="125">
        <v>75178</v>
      </c>
      <c r="G60" s="125">
        <v>29030</v>
      </c>
      <c r="H60" s="125">
        <v>112504</v>
      </c>
      <c r="I60" s="125">
        <v>62016</v>
      </c>
      <c r="J60" s="124"/>
      <c r="K60" s="133" t="s">
        <v>194</v>
      </c>
      <c r="L60" s="125">
        <f t="array" ref="L60">IFERROR(
ROUND(
IF($A$2="COSTO",
   ((B60*(1+IFERROR(VLOOKUP($D$2,COLORES[],2,FALSE),0)))+C60)
   *(1-IFERROR(_xlfn.XLOOKUP(1,(DESC_PROV[LINEA]=$B$2)*(DESC_PROV[LISTA]=$C$2),DESC_PROV[DESCUENTO]),0)),
   ((B60*(1+IFERROR(VLOOKUP($D$2,COLORES[],2,FALSE),0)))+C60)
   *(1-IFERROR(_xlfn.XLOOKUP(1,(DESC_PROV[LINEA]=$B$2)*(DESC_PROV[LISTA]=$C$2),DESC_PROV[DESCUENTO]),0))
   *(1+VLOOKUP($C$2,LISTAS[],2,FALSE))
   *(1+VLOOKUP($C$2,LISTAS[],3,FALSE))
)
/5,0)*5,0)</f>
        <v>223880</v>
      </c>
      <c r="M60" s="125">
        <f t="array" ref="M60">IFERROR(
ROUND(
IF($A$2="COSTO",
   ((B60*(1+IFERROR(VLOOKUP($D$2,COLORES[],2,FALSE),0)))+D60)
   *(1-IFERROR(_xlfn.XLOOKUP(1,(DESC_PROV[LINEA]=$B$2)*(DESC_PROV[LISTA]=$C$2),DESC_PROV[DESCUENTO]),0)),
   ((B60*(1+IFERROR(VLOOKUP($D$2,COLORES[],2,FALSE),0)))+D60)
   *(1-IFERROR(_xlfn.XLOOKUP(1,(DESC_PROV[LINEA]=$B$2)*(DESC_PROV[LISTA]=$C$2),DESC_PROV[DESCUENTO]),0))
   *(1+VLOOKUP($C$2,LISTAS[],2,FALSE))
   *(1+VLOOKUP($C$2,LISTAS[],3,FALSE))
)
/5,0)*5,0)</f>
        <v>229740</v>
      </c>
      <c r="N60" s="125">
        <f t="array" ref="N60">IFERROR(
ROUND(
IF($A$2="COSTO",
   ((B60*(1+IFERROR(VLOOKUP($D$2,COLORES[],2,FALSE),0)))+E60)
   *(1-IFERROR(_xlfn.XLOOKUP(1,(DESC_PROV[LINEA]=$B$2)*(DESC_PROV[LISTA]=$C$2),DESC_PROV[DESCUENTO]),0)),
   ((B60*(1+IFERROR(VLOOKUP($D$2,COLORES[],2,FALSE),0)))+E60)
   *(1-IFERROR(_xlfn.XLOOKUP(1,(DESC_PROV[LINEA]=$B$2)*(DESC_PROV[LISTA]=$C$2),DESC_PROV[DESCUENTO]),0))
   *(1+VLOOKUP($C$2,LISTAS[],2,FALSE))
   *(1+VLOOKUP($C$2,LISTAS[],3,FALSE))
)
/5,0)*5,0)</f>
        <v>240550</v>
      </c>
      <c r="O60" s="125">
        <f t="array" ref="O60">IFERROR(
ROUND(
IF($A$2="COSTO",
   ((B60*(1+IFERROR(VLOOKUP($D$2,COLORES[],2,FALSE),0)))+F60)
   *(1-IFERROR(_xlfn.XLOOKUP(1,(DESC_PROV[LINEA]=$B$2)*(DESC_PROV[LISTA]=$C$2),DESC_PROV[DESCUENTO]),0)),
   ((B60*(1+IFERROR(VLOOKUP($D$2,COLORES[],2,FALSE),0)))+F60)
   *(1-IFERROR(_xlfn.XLOOKUP(1,(DESC_PROV[LINEA]=$B$2)*(DESC_PROV[LISTA]=$C$2),DESC_PROV[DESCUENTO]),0))
   *(1+VLOOKUP($C$2,LISTAS[],2,FALSE))
   *(1+VLOOKUP($C$2,LISTAS[],3,FALSE))
)
/5,0)*5,0)</f>
        <v>292295</v>
      </c>
      <c r="P60" s="125">
        <f t="array" ref="P60">IFERROR(
ROUND(
IF($A$2="COSTO",
   ((B60*(1+IFERROR(VLOOKUP($D$2,COLORES[],2,FALSE),0)))+G60)
   *(1-IFERROR(_xlfn.XLOOKUP(1,(DESC_PROV[LINEA]=$B$2)*(DESC_PROV[LISTA]=$C$2),DESC_PROV[DESCUENTO]),0)),
   ((B60*(1+IFERROR(VLOOKUP($D$2,COLORES[],2,FALSE),0)))+G60)
   *(1-IFERROR(_xlfn.XLOOKUP(1,(DESC_PROV[LINEA]=$B$2)*(DESC_PROV[LISTA]=$C$2),DESC_PROV[DESCUENTO]),0))
   *(1+VLOOKUP($C$2,LISTAS[],2,FALSE))
   *(1+VLOOKUP($C$2,LISTAS[],3,FALSE))
)
/5,0)*5,0)</f>
        <v>233155</v>
      </c>
      <c r="Q60" s="125">
        <f t="array" ref="Q60">IFERROR(
ROUND(
IF($A$2="COSTO",
   ((B60*(1+IFERROR(VLOOKUP($D$2,COLORES[],2,FALSE),0)))+H60)
   *(1-IFERROR(_xlfn.XLOOKUP(1,(DESC_PROV[LINEA]=$B$2)*(DESC_PROV[LISTA]=$C$2),DESC_PROV[DESCUENTO]),0)),
   ((B60*(1+IFERROR(VLOOKUP($D$2,COLORES[],2,FALSE),0)))+H60)
   *(1-IFERROR(_xlfn.XLOOKUP(1,(DESC_PROV[LINEA]=$B$2)*(DESC_PROV[LISTA]=$C$2),DESC_PROV[DESCUENTO]),0))
   *(1+VLOOKUP($C$2,LISTAS[],2,FALSE))
   *(1+VLOOKUP($C$2,LISTAS[],3,FALSE))
)
/5,0)*5,0)</f>
        <v>340130</v>
      </c>
      <c r="R60" s="126">
        <f t="array" ref="R60">IFERROR(
ROUND(
IF($A$2="COSTO",
   ((B60*(1+IFERROR(VLOOKUP($D$2,COLORES[],2,FALSE),0)))+(D60+I60+D60))
   *(1-IFERROR(_xlfn.XLOOKUP(1,(DESC_PROV[LINEA]=$B$2)*(DESC_PROV[LISTA]=$C$2),DESC_PROV[DESCUENTO]),0)),
   ((B60*(1+IFERROR(VLOOKUP($D$2,COLORES[],2,FALSE),0)))+(D60+I60+D60))
   *(1-IFERROR(_xlfn.XLOOKUP(1,(DESC_PROV[LINEA]=$B$2)*(DESC_PROV[LISTA]=$C$2),DESC_PROV[DESCUENTO]),0))
   *(1+VLOOKUP($C$2,LISTAS[],2,FALSE))
   *(1+VLOOKUP($C$2,LISTAS[],3,FALSE))
)
/5,0)*5,0)</f>
        <v>343000</v>
      </c>
    </row>
    <row r="61" spans="1:18">
      <c r="A61" s="133" t="s">
        <v>58</v>
      </c>
      <c r="B61" s="125">
        <v>158046</v>
      </c>
      <c r="C61" s="125">
        <v>24518</v>
      </c>
      <c r="D61" s="125">
        <v>29654</v>
      </c>
      <c r="E61" s="125">
        <v>39149</v>
      </c>
      <c r="F61" s="125">
        <v>84576</v>
      </c>
      <c r="G61" s="125">
        <v>32659</v>
      </c>
      <c r="H61" s="125">
        <v>126570</v>
      </c>
      <c r="I61" s="125">
        <v>65117</v>
      </c>
      <c r="J61" s="124"/>
      <c r="K61" s="133" t="s">
        <v>58</v>
      </c>
      <c r="L61" s="125">
        <f t="array" ref="L61">IFERROR(
ROUND(
IF($A$2="COSTO",
   ((B61*(1+IFERROR(VLOOKUP($D$2,COLORES[],2,FALSE),0)))+C61)
   *(1-IFERROR(_xlfn.XLOOKUP(1,(DESC_PROV[LINEA]=$B$2)*(DESC_PROV[LISTA]=$C$2),DESC_PROV[DESCUENTO]),0)),
   ((B61*(1+IFERROR(VLOOKUP($D$2,COLORES[],2,FALSE),0)))+C61)
   *(1-IFERROR(_xlfn.XLOOKUP(1,(DESC_PROV[LINEA]=$B$2)*(DESC_PROV[LISTA]=$C$2),DESC_PROV[DESCUENTO]),0))
   *(1+VLOOKUP($C$2,LISTAS[],2,FALSE))
   *(1+VLOOKUP($C$2,LISTAS[],3,FALSE))
)
/5,0)*5,0)</f>
        <v>233965</v>
      </c>
      <c r="M61" s="125">
        <f t="array" ref="M61">IFERROR(
ROUND(
IF($A$2="COSTO",
   ((B61*(1+IFERROR(VLOOKUP($D$2,COLORES[],2,FALSE),0)))+D61)
   *(1-IFERROR(_xlfn.XLOOKUP(1,(DESC_PROV[LINEA]=$B$2)*(DESC_PROV[LISTA]=$C$2),DESC_PROV[DESCUENTO]),0)),
   ((B61*(1+IFERROR(VLOOKUP($D$2,COLORES[],2,FALSE),0)))+D61)
   *(1-IFERROR(_xlfn.XLOOKUP(1,(DESC_PROV[LINEA]=$B$2)*(DESC_PROV[LISTA]=$C$2),DESC_PROV[DESCUENTO]),0))
   *(1+VLOOKUP($C$2,LISTAS[],2,FALSE))
   *(1+VLOOKUP($C$2,LISTAS[],3,FALSE))
)
/5,0)*5,0)</f>
        <v>240545</v>
      </c>
      <c r="N61" s="125">
        <f t="array" ref="N61">IFERROR(
ROUND(
IF($A$2="COSTO",
   ((B61*(1+IFERROR(VLOOKUP($D$2,COLORES[],2,FALSE),0)))+E61)
   *(1-IFERROR(_xlfn.XLOOKUP(1,(DESC_PROV[LINEA]=$B$2)*(DESC_PROV[LISTA]=$C$2),DESC_PROV[DESCUENTO]),0)),
   ((B61*(1+IFERROR(VLOOKUP($D$2,COLORES[],2,FALSE),0)))+E61)
   *(1-IFERROR(_xlfn.XLOOKUP(1,(DESC_PROV[LINEA]=$B$2)*(DESC_PROV[LISTA]=$C$2),DESC_PROV[DESCUENTO]),0))
   *(1+VLOOKUP($C$2,LISTAS[],2,FALSE))
   *(1+VLOOKUP($C$2,LISTAS[],3,FALSE))
)
/5,0)*5,0)</f>
        <v>252715</v>
      </c>
      <c r="O61" s="125">
        <f t="array" ref="O61">IFERROR(
ROUND(
IF($A$2="COSTO",
   ((B61*(1+IFERROR(VLOOKUP($D$2,COLORES[],2,FALSE),0)))+F61)
   *(1-IFERROR(_xlfn.XLOOKUP(1,(DESC_PROV[LINEA]=$B$2)*(DESC_PROV[LISTA]=$C$2),DESC_PROV[DESCUENTO]),0)),
   ((B61*(1+IFERROR(VLOOKUP($D$2,COLORES[],2,FALSE),0)))+F61)
   *(1-IFERROR(_xlfn.XLOOKUP(1,(DESC_PROV[LINEA]=$B$2)*(DESC_PROV[LISTA]=$C$2),DESC_PROV[DESCUENTO]),0))
   *(1+VLOOKUP($C$2,LISTAS[],2,FALSE))
   *(1+VLOOKUP($C$2,LISTAS[],3,FALSE))
)
/5,0)*5,0)</f>
        <v>310930</v>
      </c>
      <c r="P61" s="125">
        <f t="array" ref="P61">IFERROR(
ROUND(
IF($A$2="COSTO",
   ((B61*(1+IFERROR(VLOOKUP($D$2,COLORES[],2,FALSE),0)))+G61)
   *(1-IFERROR(_xlfn.XLOOKUP(1,(DESC_PROV[LINEA]=$B$2)*(DESC_PROV[LISTA]=$C$2),DESC_PROV[DESCUENTO]),0)),
   ((B61*(1+IFERROR(VLOOKUP($D$2,COLORES[],2,FALSE),0)))+G61)
   *(1-IFERROR(_xlfn.XLOOKUP(1,(DESC_PROV[LINEA]=$B$2)*(DESC_PROV[LISTA]=$C$2),DESC_PROV[DESCUENTO]),0))
   *(1+VLOOKUP($C$2,LISTAS[],2,FALSE))
   *(1+VLOOKUP($C$2,LISTAS[],3,FALSE))
)
/5,0)*5,0)</f>
        <v>244395</v>
      </c>
      <c r="Q61" s="125">
        <f t="array" ref="Q61">IFERROR(
ROUND(
IF($A$2="COSTO",
   ((B61*(1+IFERROR(VLOOKUP($D$2,COLORES[],2,FALSE),0)))+H61)
   *(1-IFERROR(_xlfn.XLOOKUP(1,(DESC_PROV[LINEA]=$B$2)*(DESC_PROV[LISTA]=$C$2),DESC_PROV[DESCUENTO]),0)),
   ((B61*(1+IFERROR(VLOOKUP($D$2,COLORES[],2,FALSE),0)))+H61)
   *(1-IFERROR(_xlfn.XLOOKUP(1,(DESC_PROV[LINEA]=$B$2)*(DESC_PROV[LISTA]=$C$2),DESC_PROV[DESCUENTO]),0))
   *(1+VLOOKUP($C$2,LISTAS[],2,FALSE))
   *(1+VLOOKUP($C$2,LISTAS[],3,FALSE))
)
/5,0)*5,0)</f>
        <v>364745</v>
      </c>
      <c r="R61" s="126">
        <f t="array" ref="R61">IFERROR(
ROUND(
IF($A$2="COSTO",
   ((B61*(1+IFERROR(VLOOKUP($D$2,COLORES[],2,FALSE),0)))+(D61+I61+D61))
   *(1-IFERROR(_xlfn.XLOOKUP(1,(DESC_PROV[LINEA]=$B$2)*(DESC_PROV[LISTA]=$C$2),DESC_PROV[DESCUENTO]),0)),
   ((B61*(1+IFERROR(VLOOKUP($D$2,COLORES[],2,FALSE),0)))+(D61+I61+D61))
   *(1-IFERROR(_xlfn.XLOOKUP(1,(DESC_PROV[LINEA]=$B$2)*(DESC_PROV[LISTA]=$C$2),DESC_PROV[DESCUENTO]),0))
   *(1+VLOOKUP($C$2,LISTAS[],2,FALSE))
   *(1+VLOOKUP($C$2,LISTAS[],3,FALSE))
)
/5,0)*5,0)</f>
        <v>362000</v>
      </c>
    </row>
    <row r="62" spans="1:18">
      <c r="A62" s="133" t="s">
        <v>142</v>
      </c>
      <c r="B62" s="125">
        <v>131546</v>
      </c>
      <c r="C62" s="125">
        <v>8986</v>
      </c>
      <c r="D62" s="125">
        <v>10877</v>
      </c>
      <c r="E62" s="125">
        <v>14362</v>
      </c>
      <c r="F62" s="125">
        <v>31008</v>
      </c>
      <c r="G62" s="125">
        <v>11971</v>
      </c>
      <c r="H62" s="125">
        <v>46391</v>
      </c>
      <c r="I62" s="125">
        <v>49613</v>
      </c>
      <c r="J62" s="124"/>
      <c r="K62" s="133" t="s">
        <v>142</v>
      </c>
      <c r="L62" s="125">
        <f t="array" ref="L62">IFERROR(
ROUND(
IF($A$2="COSTO",
   ((B62*(1+IFERROR(VLOOKUP($D$2,COLORES[],2,FALSE),0)))+C62)
   *(1-IFERROR(_xlfn.XLOOKUP(1,(DESC_PROV[LINEA]=$B$2)*(DESC_PROV[LISTA]=$C$2),DESC_PROV[DESCUENTO]),0)),
   ((B62*(1+IFERROR(VLOOKUP($D$2,COLORES[],2,FALSE),0)))+C62)
   *(1-IFERROR(_xlfn.XLOOKUP(1,(DESC_PROV[LINEA]=$B$2)*(DESC_PROV[LISTA]=$C$2),DESC_PROV[DESCUENTO]),0))
   *(1+VLOOKUP($C$2,LISTAS[],2,FALSE))
   *(1+VLOOKUP($C$2,LISTAS[],3,FALSE))
)
/5,0)*5,0)</f>
        <v>180095</v>
      </c>
      <c r="M62" s="125">
        <f t="array" ref="M62">IFERROR(
ROUND(
IF($A$2="COSTO",
   ((B62*(1+IFERROR(VLOOKUP($D$2,COLORES[],2,FALSE),0)))+D62)
   *(1-IFERROR(_xlfn.XLOOKUP(1,(DESC_PROV[LINEA]=$B$2)*(DESC_PROV[LISTA]=$C$2),DESC_PROV[DESCUENTO]),0)),
   ((B62*(1+IFERROR(VLOOKUP($D$2,COLORES[],2,FALSE),0)))+D62)
   *(1-IFERROR(_xlfn.XLOOKUP(1,(DESC_PROV[LINEA]=$B$2)*(DESC_PROV[LISTA]=$C$2),DESC_PROV[DESCUENTO]),0))
   *(1+VLOOKUP($C$2,LISTAS[],2,FALSE))
   *(1+VLOOKUP($C$2,LISTAS[],3,FALSE))
)
/5,0)*5,0)</f>
        <v>182520</v>
      </c>
      <c r="N62" s="125">
        <f t="array" ref="N62">IFERROR(
ROUND(
IF($A$2="COSTO",
   ((B62*(1+IFERROR(VLOOKUP($D$2,COLORES[],2,FALSE),0)))+E62)
   *(1-IFERROR(_xlfn.XLOOKUP(1,(DESC_PROV[LINEA]=$B$2)*(DESC_PROV[LISTA]=$C$2),DESC_PROV[DESCUENTO]),0)),
   ((B62*(1+IFERROR(VLOOKUP($D$2,COLORES[],2,FALSE),0)))+E62)
   *(1-IFERROR(_xlfn.XLOOKUP(1,(DESC_PROV[LINEA]=$B$2)*(DESC_PROV[LISTA]=$C$2),DESC_PROV[DESCUENTO]),0))
   *(1+VLOOKUP($C$2,LISTAS[],2,FALSE))
   *(1+VLOOKUP($C$2,LISTAS[],3,FALSE))
)
/5,0)*5,0)</f>
        <v>186985</v>
      </c>
      <c r="O62" s="125">
        <f t="array" ref="O62">IFERROR(
ROUND(
IF($A$2="COSTO",
   ((B62*(1+IFERROR(VLOOKUP($D$2,COLORES[],2,FALSE),0)))+F62)
   *(1-IFERROR(_xlfn.XLOOKUP(1,(DESC_PROV[LINEA]=$B$2)*(DESC_PROV[LISTA]=$C$2),DESC_PROV[DESCUENTO]),0)),
   ((B62*(1+IFERROR(VLOOKUP($D$2,COLORES[],2,FALSE),0)))+F62)
   *(1-IFERROR(_xlfn.XLOOKUP(1,(DESC_PROV[LINEA]=$B$2)*(DESC_PROV[LISTA]=$C$2),DESC_PROV[DESCUENTO]),0))
   *(1+VLOOKUP($C$2,LISTAS[],2,FALSE))
   *(1+VLOOKUP($C$2,LISTAS[],3,FALSE))
)
/5,0)*5,0)</f>
        <v>208320</v>
      </c>
      <c r="P62" s="125">
        <f t="array" ref="P62">IFERROR(
ROUND(
IF($A$2="COSTO",
   ((B62*(1+IFERROR(VLOOKUP($D$2,COLORES[],2,FALSE),0)))+G62)
   *(1-IFERROR(_xlfn.XLOOKUP(1,(DESC_PROV[LINEA]=$B$2)*(DESC_PROV[LISTA]=$C$2),DESC_PROV[DESCUENTO]),0)),
   ((B62*(1+IFERROR(VLOOKUP($D$2,COLORES[],2,FALSE),0)))+G62)
   *(1-IFERROR(_xlfn.XLOOKUP(1,(DESC_PROV[LINEA]=$B$2)*(DESC_PROV[LISTA]=$C$2),DESC_PROV[DESCUENTO]),0))
   *(1+VLOOKUP($C$2,LISTAS[],2,FALSE))
   *(1+VLOOKUP($C$2,LISTAS[],3,FALSE))
)
/5,0)*5,0)</f>
        <v>183925</v>
      </c>
      <c r="Q62" s="125">
        <f t="array" ref="Q62">IFERROR(
ROUND(
IF($A$2="COSTO",
   ((B62*(1+IFERROR(VLOOKUP($D$2,COLORES[],2,FALSE),0)))+H62)
   *(1-IFERROR(_xlfn.XLOOKUP(1,(DESC_PROV[LINEA]=$B$2)*(DESC_PROV[LISTA]=$C$2),DESC_PROV[DESCUENTO]),0)),
   ((B62*(1+IFERROR(VLOOKUP($D$2,COLORES[],2,FALSE),0)))+H62)
   *(1-IFERROR(_xlfn.XLOOKUP(1,(DESC_PROV[LINEA]=$B$2)*(DESC_PROV[LISTA]=$C$2),DESC_PROV[DESCUENTO]),0))
   *(1+VLOOKUP($C$2,LISTAS[],2,FALSE))
   *(1+VLOOKUP($C$2,LISTAS[],3,FALSE))
)
/5,0)*5,0)</f>
        <v>228035</v>
      </c>
      <c r="R62" s="126">
        <f t="array" ref="R62">IFERROR(
ROUND(
IF($A$2="COSTO",
   ((B62*(1+IFERROR(VLOOKUP($D$2,COLORES[],2,FALSE),0)))+(D62+I62+D62))
   *(1-IFERROR(_xlfn.XLOOKUP(1,(DESC_PROV[LINEA]=$B$2)*(DESC_PROV[LISTA]=$C$2),DESC_PROV[DESCUENTO]),0)),
   ((B62*(1+IFERROR(VLOOKUP($D$2,COLORES[],2,FALSE),0)))+(D62+I62+D62))
   *(1-IFERROR(_xlfn.XLOOKUP(1,(DESC_PROV[LINEA]=$B$2)*(DESC_PROV[LISTA]=$C$2),DESC_PROV[DESCUENTO]),0))
   *(1+VLOOKUP($C$2,LISTAS[],2,FALSE))
   *(1+VLOOKUP($C$2,LISTAS[],3,FALSE))
)
/5,0)*5,0)</f>
        <v>260040</v>
      </c>
    </row>
    <row r="63" spans="1:18">
      <c r="A63" s="133" t="s">
        <v>143</v>
      </c>
      <c r="B63" s="125">
        <v>136816</v>
      </c>
      <c r="C63" s="125">
        <v>11981</v>
      </c>
      <c r="D63" s="125">
        <v>14506</v>
      </c>
      <c r="E63" s="125">
        <v>19152</v>
      </c>
      <c r="F63" s="125">
        <v>41347</v>
      </c>
      <c r="G63" s="125">
        <v>15965</v>
      </c>
      <c r="H63" s="125">
        <v>61862</v>
      </c>
      <c r="I63" s="125">
        <v>52714</v>
      </c>
      <c r="J63" s="124"/>
      <c r="K63" s="133" t="s">
        <v>143</v>
      </c>
      <c r="L63" s="125">
        <f t="array" ref="L63">IFERROR(
ROUND(
IF($A$2="COSTO",
   ((B63*(1+IFERROR(VLOOKUP($D$2,COLORES[],2,FALSE),0)))+C63)
   *(1-IFERROR(_xlfn.XLOOKUP(1,(DESC_PROV[LINEA]=$B$2)*(DESC_PROV[LISTA]=$C$2),DESC_PROV[DESCUENTO]),0)),
   ((B63*(1+IFERROR(VLOOKUP($D$2,COLORES[],2,FALSE),0)))+C63)
   *(1-IFERROR(_xlfn.XLOOKUP(1,(DESC_PROV[LINEA]=$B$2)*(DESC_PROV[LISTA]=$C$2),DESC_PROV[DESCUENTO]),0))
   *(1+VLOOKUP($C$2,LISTAS[],2,FALSE))
   *(1+VLOOKUP($C$2,LISTAS[],3,FALSE))
)
/5,0)*5,0)</f>
        <v>190690</v>
      </c>
      <c r="M63" s="125">
        <f t="array" ref="M63">IFERROR(
ROUND(
IF($A$2="COSTO",
   ((B63*(1+IFERROR(VLOOKUP($D$2,COLORES[],2,FALSE),0)))+D63)
   *(1-IFERROR(_xlfn.XLOOKUP(1,(DESC_PROV[LINEA]=$B$2)*(DESC_PROV[LISTA]=$C$2),DESC_PROV[DESCUENTO]),0)),
   ((B63*(1+IFERROR(VLOOKUP($D$2,COLORES[],2,FALSE),0)))+D63)
   *(1-IFERROR(_xlfn.XLOOKUP(1,(DESC_PROV[LINEA]=$B$2)*(DESC_PROV[LISTA]=$C$2),DESC_PROV[DESCUENTO]),0))
   *(1+VLOOKUP($C$2,LISTAS[],2,FALSE))
   *(1+VLOOKUP($C$2,LISTAS[],3,FALSE))
)
/5,0)*5,0)</f>
        <v>193925</v>
      </c>
      <c r="N63" s="125">
        <f t="array" ref="N63">IFERROR(
ROUND(
IF($A$2="COSTO",
   ((B63*(1+IFERROR(VLOOKUP($D$2,COLORES[],2,FALSE),0)))+E63)
   *(1-IFERROR(_xlfn.XLOOKUP(1,(DESC_PROV[LINEA]=$B$2)*(DESC_PROV[LISTA]=$C$2),DESC_PROV[DESCUENTO]),0)),
   ((B63*(1+IFERROR(VLOOKUP($D$2,COLORES[],2,FALSE),0)))+E63)
   *(1-IFERROR(_xlfn.XLOOKUP(1,(DESC_PROV[LINEA]=$B$2)*(DESC_PROV[LISTA]=$C$2),DESC_PROV[DESCUENTO]),0))
   *(1+VLOOKUP($C$2,LISTAS[],2,FALSE))
   *(1+VLOOKUP($C$2,LISTAS[],3,FALSE))
)
/5,0)*5,0)</f>
        <v>199880</v>
      </c>
      <c r="O63" s="125">
        <f t="array" ref="O63">IFERROR(
ROUND(
IF($A$2="COSTO",
   ((B63*(1+IFERROR(VLOOKUP($D$2,COLORES[],2,FALSE),0)))+F63)
   *(1-IFERROR(_xlfn.XLOOKUP(1,(DESC_PROV[LINEA]=$B$2)*(DESC_PROV[LISTA]=$C$2),DESC_PROV[DESCUENTO]),0)),
   ((B63*(1+IFERROR(VLOOKUP($D$2,COLORES[],2,FALSE),0)))+F63)
   *(1-IFERROR(_xlfn.XLOOKUP(1,(DESC_PROV[LINEA]=$B$2)*(DESC_PROV[LISTA]=$C$2),DESC_PROV[DESCUENTO]),0))
   *(1+VLOOKUP($C$2,LISTAS[],2,FALSE))
   *(1+VLOOKUP($C$2,LISTAS[],3,FALSE))
)
/5,0)*5,0)</f>
        <v>228325</v>
      </c>
      <c r="P63" s="125">
        <f t="array" ref="P63">IFERROR(
ROUND(
IF($A$2="COSTO",
   ((B63*(1+IFERROR(VLOOKUP($D$2,COLORES[],2,FALSE),0)))+G63)
   *(1-IFERROR(_xlfn.XLOOKUP(1,(DESC_PROV[LINEA]=$B$2)*(DESC_PROV[LISTA]=$C$2),DESC_PROV[DESCUENTO]),0)),
   ((B63*(1+IFERROR(VLOOKUP($D$2,COLORES[],2,FALSE),0)))+G63)
   *(1-IFERROR(_xlfn.XLOOKUP(1,(DESC_PROV[LINEA]=$B$2)*(DESC_PROV[LISTA]=$C$2),DESC_PROV[DESCUENTO]),0))
   *(1+VLOOKUP($C$2,LISTAS[],2,FALSE))
   *(1+VLOOKUP($C$2,LISTAS[],3,FALSE))
)
/5,0)*5,0)</f>
        <v>195795</v>
      </c>
      <c r="Q63" s="125">
        <f t="array" ref="Q63">IFERROR(
ROUND(
IF($A$2="COSTO",
   ((B63*(1+IFERROR(VLOOKUP($D$2,COLORES[],2,FALSE),0)))+H63)
   *(1-IFERROR(_xlfn.XLOOKUP(1,(DESC_PROV[LINEA]=$B$2)*(DESC_PROV[LISTA]=$C$2),DESC_PROV[DESCUENTO]),0)),
   ((B63*(1+IFERROR(VLOOKUP($D$2,COLORES[],2,FALSE),0)))+H63)
   *(1-IFERROR(_xlfn.XLOOKUP(1,(DESC_PROV[LINEA]=$B$2)*(DESC_PROV[LISTA]=$C$2),DESC_PROV[DESCUENTO]),0))
   *(1+VLOOKUP($C$2,LISTAS[],2,FALSE))
   *(1+VLOOKUP($C$2,LISTAS[],3,FALSE))
)
/5,0)*5,0)</f>
        <v>254615</v>
      </c>
      <c r="R63" s="126">
        <f t="array" ref="R63">IFERROR(
ROUND(
IF($A$2="COSTO",
   ((B63*(1+IFERROR(VLOOKUP($D$2,COLORES[],2,FALSE),0)))+(D63+I63+D63))
   *(1-IFERROR(_xlfn.XLOOKUP(1,(DESC_PROV[LINEA]=$B$2)*(DESC_PROV[LISTA]=$C$2),DESC_PROV[DESCUENTO]),0)),
   ((B63*(1+IFERROR(VLOOKUP($D$2,COLORES[],2,FALSE),0)))+(D63+I63+D63))
   *(1-IFERROR(_xlfn.XLOOKUP(1,(DESC_PROV[LINEA]=$B$2)*(DESC_PROV[LISTA]=$C$2),DESC_PROV[DESCUENTO]),0))
   *(1+VLOOKUP($C$2,LISTAS[],2,FALSE))
   *(1+VLOOKUP($C$2,LISTAS[],3,FALSE))
)
/5,0)*5,0)</f>
        <v>280070</v>
      </c>
    </row>
    <row r="64" spans="1:18">
      <c r="A64" s="133" t="s">
        <v>144</v>
      </c>
      <c r="B64" s="125">
        <v>142807</v>
      </c>
      <c r="C64" s="125">
        <v>14976</v>
      </c>
      <c r="D64" s="125">
        <v>18134</v>
      </c>
      <c r="E64" s="125">
        <v>23942</v>
      </c>
      <c r="F64" s="125">
        <v>51686</v>
      </c>
      <c r="G64" s="125">
        <v>19958</v>
      </c>
      <c r="H64" s="125">
        <v>77334</v>
      </c>
      <c r="I64" s="125">
        <v>55814</v>
      </c>
      <c r="J64" s="124"/>
      <c r="K64" s="133" t="s">
        <v>144</v>
      </c>
      <c r="L64" s="125">
        <f t="array" ref="L64">IFERROR(
ROUND(
IF($A$2="COSTO",
   ((B64*(1+IFERROR(VLOOKUP($D$2,COLORES[],2,FALSE),0)))+C64)
   *(1-IFERROR(_xlfn.XLOOKUP(1,(DESC_PROV[LINEA]=$B$2)*(DESC_PROV[LISTA]=$C$2),DESC_PROV[DESCUENTO]),0)),
   ((B64*(1+IFERROR(VLOOKUP($D$2,COLORES[],2,FALSE),0)))+C64)
   *(1-IFERROR(_xlfn.XLOOKUP(1,(DESC_PROV[LINEA]=$B$2)*(DESC_PROV[LISTA]=$C$2),DESC_PROV[DESCUENTO]),0))
   *(1+VLOOKUP($C$2,LISTAS[],2,FALSE))
   *(1+VLOOKUP($C$2,LISTAS[],3,FALSE))
)
/5,0)*5,0)</f>
        <v>202205</v>
      </c>
      <c r="M64" s="125">
        <f t="array" ref="M64">IFERROR(
ROUND(
IF($A$2="COSTO",
   ((B64*(1+IFERROR(VLOOKUP($D$2,COLORES[],2,FALSE),0)))+D64)
   *(1-IFERROR(_xlfn.XLOOKUP(1,(DESC_PROV[LINEA]=$B$2)*(DESC_PROV[LISTA]=$C$2),DESC_PROV[DESCUENTO]),0)),
   ((B64*(1+IFERROR(VLOOKUP($D$2,COLORES[],2,FALSE),0)))+D64)
   *(1-IFERROR(_xlfn.XLOOKUP(1,(DESC_PROV[LINEA]=$B$2)*(DESC_PROV[LISTA]=$C$2),DESC_PROV[DESCUENTO]),0))
   *(1+VLOOKUP($C$2,LISTAS[],2,FALSE))
   *(1+VLOOKUP($C$2,LISTAS[],3,FALSE))
)
/5,0)*5,0)</f>
        <v>206250</v>
      </c>
      <c r="N64" s="125">
        <f t="array" ref="N64">IFERROR(
ROUND(
IF($A$2="COSTO",
   ((B64*(1+IFERROR(VLOOKUP($D$2,COLORES[],2,FALSE),0)))+E64)
   *(1-IFERROR(_xlfn.XLOOKUP(1,(DESC_PROV[LINEA]=$B$2)*(DESC_PROV[LISTA]=$C$2),DESC_PROV[DESCUENTO]),0)),
   ((B64*(1+IFERROR(VLOOKUP($D$2,COLORES[],2,FALSE),0)))+E64)
   *(1-IFERROR(_xlfn.XLOOKUP(1,(DESC_PROV[LINEA]=$B$2)*(DESC_PROV[LISTA]=$C$2),DESC_PROV[DESCUENTO]),0))
   *(1+VLOOKUP($C$2,LISTAS[],2,FALSE))
   *(1+VLOOKUP($C$2,LISTAS[],3,FALSE))
)
/5,0)*5,0)</f>
        <v>213695</v>
      </c>
      <c r="O64" s="125">
        <f t="array" ref="O64">IFERROR(
ROUND(
IF($A$2="COSTO",
   ((B64*(1+IFERROR(VLOOKUP($D$2,COLORES[],2,FALSE),0)))+F64)
   *(1-IFERROR(_xlfn.XLOOKUP(1,(DESC_PROV[LINEA]=$B$2)*(DESC_PROV[LISTA]=$C$2),DESC_PROV[DESCUENTO]),0)),
   ((B64*(1+IFERROR(VLOOKUP($D$2,COLORES[],2,FALSE),0)))+F64)
   *(1-IFERROR(_xlfn.XLOOKUP(1,(DESC_PROV[LINEA]=$B$2)*(DESC_PROV[LISTA]=$C$2),DESC_PROV[DESCUENTO]),0))
   *(1+VLOOKUP($C$2,LISTAS[],2,FALSE))
   *(1+VLOOKUP($C$2,LISTAS[],3,FALSE))
)
/5,0)*5,0)</f>
        <v>249250</v>
      </c>
      <c r="P64" s="125">
        <f t="array" ref="P64">IFERROR(
ROUND(
IF($A$2="COSTO",
   ((B64*(1+IFERROR(VLOOKUP($D$2,COLORES[],2,FALSE),0)))+G64)
   *(1-IFERROR(_xlfn.XLOOKUP(1,(DESC_PROV[LINEA]=$B$2)*(DESC_PROV[LISTA]=$C$2),DESC_PROV[DESCUENTO]),0)),
   ((B64*(1+IFERROR(VLOOKUP($D$2,COLORES[],2,FALSE),0)))+G64)
   *(1-IFERROR(_xlfn.XLOOKUP(1,(DESC_PROV[LINEA]=$B$2)*(DESC_PROV[LISTA]=$C$2),DESC_PROV[DESCUENTO]),0))
   *(1+VLOOKUP($C$2,LISTAS[],2,FALSE))
   *(1+VLOOKUP($C$2,LISTAS[],3,FALSE))
)
/5,0)*5,0)</f>
        <v>208590</v>
      </c>
      <c r="Q64" s="125">
        <f t="array" ref="Q64">IFERROR(
ROUND(
IF($A$2="COSTO",
   ((B64*(1+IFERROR(VLOOKUP($D$2,COLORES[],2,FALSE),0)))+H64)
   *(1-IFERROR(_xlfn.XLOOKUP(1,(DESC_PROV[LINEA]=$B$2)*(DESC_PROV[LISTA]=$C$2),DESC_PROV[DESCUENTO]),0)),
   ((B64*(1+IFERROR(VLOOKUP($D$2,COLORES[],2,FALSE),0)))+H64)
   *(1-IFERROR(_xlfn.XLOOKUP(1,(DESC_PROV[LINEA]=$B$2)*(DESC_PROV[LISTA]=$C$2),DESC_PROV[DESCUENTO]),0))
   *(1+VLOOKUP($C$2,LISTAS[],2,FALSE))
   *(1+VLOOKUP($C$2,LISTAS[],3,FALSE))
)
/5,0)*5,0)</f>
        <v>282120</v>
      </c>
      <c r="R64" s="126">
        <f t="array" ref="R64">IFERROR(
ROUND(
IF($A$2="COSTO",
   ((B64*(1+IFERROR(VLOOKUP($D$2,COLORES[],2,FALSE),0)))+(D64+I64+D64))
   *(1-IFERROR(_xlfn.XLOOKUP(1,(DESC_PROV[LINEA]=$B$2)*(DESC_PROV[LISTA]=$C$2),DESC_PROV[DESCUENTO]),0)),
   ((B64*(1+IFERROR(VLOOKUP($D$2,COLORES[],2,FALSE),0)))+(D64+I64+D64))
   *(1-IFERROR(_xlfn.XLOOKUP(1,(DESC_PROV[LINEA]=$B$2)*(DESC_PROV[LISTA]=$C$2),DESC_PROV[DESCUENTO]),0))
   *(1+VLOOKUP($C$2,LISTAS[],2,FALSE))
   *(1+VLOOKUP($C$2,LISTAS[],3,FALSE))
)
/5,0)*5,0)</f>
        <v>301020</v>
      </c>
    </row>
    <row r="65" spans="1:18">
      <c r="A65" s="133" t="s">
        <v>145</v>
      </c>
      <c r="B65" s="125">
        <v>148838</v>
      </c>
      <c r="C65" s="125">
        <v>17971</v>
      </c>
      <c r="D65" s="125">
        <v>21763</v>
      </c>
      <c r="E65" s="125">
        <v>28733</v>
      </c>
      <c r="F65" s="125">
        <v>62026</v>
      </c>
      <c r="G65" s="125">
        <v>23952</v>
      </c>
      <c r="H65" s="125">
        <v>92805</v>
      </c>
      <c r="I65" s="125">
        <v>58915</v>
      </c>
      <c r="J65" s="124"/>
      <c r="K65" s="133" t="s">
        <v>145</v>
      </c>
      <c r="L65" s="125">
        <f t="array" ref="L65">IFERROR(
ROUND(
IF($A$2="COSTO",
   ((B65*(1+IFERROR(VLOOKUP($D$2,COLORES[],2,FALSE),0)))+C65)
   *(1-IFERROR(_xlfn.XLOOKUP(1,(DESC_PROV[LINEA]=$B$2)*(DESC_PROV[LISTA]=$C$2),DESC_PROV[DESCUENTO]),0)),
   ((B65*(1+IFERROR(VLOOKUP($D$2,COLORES[],2,FALSE),0)))+C65)
   *(1-IFERROR(_xlfn.XLOOKUP(1,(DESC_PROV[LINEA]=$B$2)*(DESC_PROV[LISTA]=$C$2),DESC_PROV[DESCUENTO]),0))
   *(1+VLOOKUP($C$2,LISTAS[],2,FALSE))
   *(1+VLOOKUP($C$2,LISTAS[],3,FALSE))
)
/5,0)*5,0)</f>
        <v>213770</v>
      </c>
      <c r="M65" s="125">
        <f t="array" ref="M65">IFERROR(
ROUND(
IF($A$2="COSTO",
   ((B65*(1+IFERROR(VLOOKUP($D$2,COLORES[],2,FALSE),0)))+D65)
   *(1-IFERROR(_xlfn.XLOOKUP(1,(DESC_PROV[LINEA]=$B$2)*(DESC_PROV[LISTA]=$C$2),DESC_PROV[DESCUENTO]),0)),
   ((B65*(1+IFERROR(VLOOKUP($D$2,COLORES[],2,FALSE),0)))+D65)
   *(1-IFERROR(_xlfn.XLOOKUP(1,(DESC_PROV[LINEA]=$B$2)*(DESC_PROV[LISTA]=$C$2),DESC_PROV[DESCUENTO]),0))
   *(1+VLOOKUP($C$2,LISTAS[],2,FALSE))
   *(1+VLOOKUP($C$2,LISTAS[],3,FALSE))
)
/5,0)*5,0)</f>
        <v>218630</v>
      </c>
      <c r="N65" s="125">
        <f t="array" ref="N65">IFERROR(
ROUND(
IF($A$2="COSTO",
   ((B65*(1+IFERROR(VLOOKUP($D$2,COLORES[],2,FALSE),0)))+E65)
   *(1-IFERROR(_xlfn.XLOOKUP(1,(DESC_PROV[LINEA]=$B$2)*(DESC_PROV[LISTA]=$C$2),DESC_PROV[DESCUENTO]),0)),
   ((B65*(1+IFERROR(VLOOKUP($D$2,COLORES[],2,FALSE),0)))+E65)
   *(1-IFERROR(_xlfn.XLOOKUP(1,(DESC_PROV[LINEA]=$B$2)*(DESC_PROV[LISTA]=$C$2),DESC_PROV[DESCUENTO]),0))
   *(1+VLOOKUP($C$2,LISTAS[],2,FALSE))
   *(1+VLOOKUP($C$2,LISTAS[],3,FALSE))
)
/5,0)*5,0)</f>
        <v>227565</v>
      </c>
      <c r="O65" s="125">
        <f t="array" ref="O65">IFERROR(
ROUND(
IF($A$2="COSTO",
   ((B65*(1+IFERROR(VLOOKUP($D$2,COLORES[],2,FALSE),0)))+F65)
   *(1-IFERROR(_xlfn.XLOOKUP(1,(DESC_PROV[LINEA]=$B$2)*(DESC_PROV[LISTA]=$C$2),DESC_PROV[DESCUENTO]),0)),
   ((B65*(1+IFERROR(VLOOKUP($D$2,COLORES[],2,FALSE),0)))+F65)
   *(1-IFERROR(_xlfn.XLOOKUP(1,(DESC_PROV[LINEA]=$B$2)*(DESC_PROV[LISTA]=$C$2),DESC_PROV[DESCUENTO]),0))
   *(1+VLOOKUP($C$2,LISTAS[],2,FALSE))
   *(1+VLOOKUP($C$2,LISTAS[],3,FALSE))
)
/5,0)*5,0)</f>
        <v>270230</v>
      </c>
      <c r="P65" s="125">
        <f t="array" ref="P65">IFERROR(
ROUND(
IF($A$2="COSTO",
   ((B65*(1+IFERROR(VLOOKUP($D$2,COLORES[],2,FALSE),0)))+G65)
   *(1-IFERROR(_xlfn.XLOOKUP(1,(DESC_PROV[LINEA]=$B$2)*(DESC_PROV[LISTA]=$C$2),DESC_PROV[DESCUENTO]),0)),
   ((B65*(1+IFERROR(VLOOKUP($D$2,COLORES[],2,FALSE),0)))+G65)
   *(1-IFERROR(_xlfn.XLOOKUP(1,(DESC_PROV[LINEA]=$B$2)*(DESC_PROV[LISTA]=$C$2),DESC_PROV[DESCUENTO]),0))
   *(1+VLOOKUP($C$2,LISTAS[],2,FALSE))
   *(1+VLOOKUP($C$2,LISTAS[],3,FALSE))
)
/5,0)*5,0)</f>
        <v>221435</v>
      </c>
      <c r="Q65" s="125">
        <f t="array" ref="Q65">IFERROR(
ROUND(
IF($A$2="COSTO",
   ((B65*(1+IFERROR(VLOOKUP($D$2,COLORES[],2,FALSE),0)))+H65)
   *(1-IFERROR(_xlfn.XLOOKUP(1,(DESC_PROV[LINEA]=$B$2)*(DESC_PROV[LISTA]=$C$2),DESC_PROV[DESCUENTO]),0)),
   ((B65*(1+IFERROR(VLOOKUP($D$2,COLORES[],2,FALSE),0)))+H65)
   *(1-IFERROR(_xlfn.XLOOKUP(1,(DESC_PROV[LINEA]=$B$2)*(DESC_PROV[LISTA]=$C$2),DESC_PROV[DESCUENTO]),0))
   *(1+VLOOKUP($C$2,LISTAS[],2,FALSE))
   *(1+VLOOKUP($C$2,LISTAS[],3,FALSE))
)
/5,0)*5,0)</f>
        <v>309675</v>
      </c>
      <c r="R65" s="126">
        <f t="array" ref="R65">IFERROR(
ROUND(
IF($A$2="COSTO",
   ((B65*(1+IFERROR(VLOOKUP($D$2,COLORES[],2,FALSE),0)))+(D65+I65+D65))
   *(1-IFERROR(_xlfn.XLOOKUP(1,(DESC_PROV[LINEA]=$B$2)*(DESC_PROV[LISTA]=$C$2),DESC_PROV[DESCUENTO]),0)),
   ((B65*(1+IFERROR(VLOOKUP($D$2,COLORES[],2,FALSE),0)))+(D65+I65+D65))
   *(1-IFERROR(_xlfn.XLOOKUP(1,(DESC_PROV[LINEA]=$B$2)*(DESC_PROV[LISTA]=$C$2),DESC_PROV[DESCUENTO]),0))
   *(1+VLOOKUP($C$2,LISTAS[],2,FALSE))
   *(1+VLOOKUP($C$2,LISTAS[],3,FALSE))
)
/5,0)*5,0)</f>
        <v>322025</v>
      </c>
    </row>
    <row r="66" spans="1:18">
      <c r="A66" s="133" t="s">
        <v>146</v>
      </c>
      <c r="B66" s="125">
        <v>152701</v>
      </c>
      <c r="C66" s="125">
        <v>20966</v>
      </c>
      <c r="D66" s="125">
        <v>25392</v>
      </c>
      <c r="E66" s="125">
        <v>33523</v>
      </c>
      <c r="F66" s="125">
        <v>72365</v>
      </c>
      <c r="G66" s="125">
        <v>27946</v>
      </c>
      <c r="H66" s="125">
        <v>108276</v>
      </c>
      <c r="I66" s="125">
        <v>62016</v>
      </c>
      <c r="J66" s="124"/>
      <c r="K66" s="133" t="s">
        <v>146</v>
      </c>
      <c r="L66" s="125">
        <f t="array" ref="L66">IFERROR(
ROUND(
IF($A$2="COSTO",
   ((B66*(1+IFERROR(VLOOKUP($D$2,COLORES[],2,FALSE),0)))+C66)
   *(1-IFERROR(_xlfn.XLOOKUP(1,(DESC_PROV[LINEA]=$B$2)*(DESC_PROV[LISTA]=$C$2),DESC_PROV[DESCUENTO]),0)),
   ((B66*(1+IFERROR(VLOOKUP($D$2,COLORES[],2,FALSE),0)))+C66)
   *(1-IFERROR(_xlfn.XLOOKUP(1,(DESC_PROV[LINEA]=$B$2)*(DESC_PROV[LISTA]=$C$2),DESC_PROV[DESCUENTO]),0))
   *(1+VLOOKUP($C$2,LISTAS[],2,FALSE))
   *(1+VLOOKUP($C$2,LISTAS[],3,FALSE))
)
/5,0)*5,0)</f>
        <v>222560</v>
      </c>
      <c r="M66" s="125">
        <f t="array" ref="M66">IFERROR(
ROUND(
IF($A$2="COSTO",
   ((B66*(1+IFERROR(VLOOKUP($D$2,COLORES[],2,FALSE),0)))+D66)
   *(1-IFERROR(_xlfn.XLOOKUP(1,(DESC_PROV[LINEA]=$B$2)*(DESC_PROV[LISTA]=$C$2),DESC_PROV[DESCUENTO]),0)),
   ((B66*(1+IFERROR(VLOOKUP($D$2,COLORES[],2,FALSE),0)))+D66)
   *(1-IFERROR(_xlfn.XLOOKUP(1,(DESC_PROV[LINEA]=$B$2)*(DESC_PROV[LISTA]=$C$2),DESC_PROV[DESCUENTO]),0))
   *(1+VLOOKUP($C$2,LISTAS[],2,FALSE))
   *(1+VLOOKUP($C$2,LISTAS[],3,FALSE))
)
/5,0)*5,0)</f>
        <v>228235</v>
      </c>
      <c r="N66" s="125">
        <f t="array" ref="N66">IFERROR(
ROUND(
IF($A$2="COSTO",
   ((B66*(1+IFERROR(VLOOKUP($D$2,COLORES[],2,FALSE),0)))+E66)
   *(1-IFERROR(_xlfn.XLOOKUP(1,(DESC_PROV[LINEA]=$B$2)*(DESC_PROV[LISTA]=$C$2),DESC_PROV[DESCUENTO]),0)),
   ((B66*(1+IFERROR(VLOOKUP($D$2,COLORES[],2,FALSE),0)))+E66)
   *(1-IFERROR(_xlfn.XLOOKUP(1,(DESC_PROV[LINEA]=$B$2)*(DESC_PROV[LISTA]=$C$2),DESC_PROV[DESCUENTO]),0))
   *(1+VLOOKUP($C$2,LISTAS[],2,FALSE))
   *(1+VLOOKUP($C$2,LISTAS[],3,FALSE))
)
/5,0)*5,0)</f>
        <v>238655</v>
      </c>
      <c r="O66" s="125">
        <f t="array" ref="O66">IFERROR(
ROUND(
IF($A$2="COSTO",
   ((B66*(1+IFERROR(VLOOKUP($D$2,COLORES[],2,FALSE),0)))+F66)
   *(1-IFERROR(_xlfn.XLOOKUP(1,(DESC_PROV[LINEA]=$B$2)*(DESC_PROV[LISTA]=$C$2),DESC_PROV[DESCUENTO]),0)),
   ((B66*(1+IFERROR(VLOOKUP($D$2,COLORES[],2,FALSE),0)))+F66)
   *(1-IFERROR(_xlfn.XLOOKUP(1,(DESC_PROV[LINEA]=$B$2)*(DESC_PROV[LISTA]=$C$2),DESC_PROV[DESCUENTO]),0))
   *(1+VLOOKUP($C$2,LISTAS[],2,FALSE))
   *(1+VLOOKUP($C$2,LISTAS[],3,FALSE))
)
/5,0)*5,0)</f>
        <v>288430</v>
      </c>
      <c r="P66" s="125">
        <f t="array" ref="P66">IFERROR(
ROUND(
IF($A$2="COSTO",
   ((B66*(1+IFERROR(VLOOKUP($D$2,COLORES[],2,FALSE),0)))+G66)
   *(1-IFERROR(_xlfn.XLOOKUP(1,(DESC_PROV[LINEA]=$B$2)*(DESC_PROV[LISTA]=$C$2),DESC_PROV[DESCUENTO]),0)),
   ((B66*(1+IFERROR(VLOOKUP($D$2,COLORES[],2,FALSE),0)))+G66)
   *(1-IFERROR(_xlfn.XLOOKUP(1,(DESC_PROV[LINEA]=$B$2)*(DESC_PROV[LISTA]=$C$2),DESC_PROV[DESCUENTO]),0))
   *(1+VLOOKUP($C$2,LISTAS[],2,FALSE))
   *(1+VLOOKUP($C$2,LISTAS[],3,FALSE))
)
/5,0)*5,0)</f>
        <v>231505</v>
      </c>
      <c r="Q66" s="125">
        <f t="array" ref="Q66">IFERROR(
ROUND(
IF($A$2="COSTO",
   ((B66*(1+IFERROR(VLOOKUP($D$2,COLORES[],2,FALSE),0)))+H66)
   *(1-IFERROR(_xlfn.XLOOKUP(1,(DESC_PROV[LINEA]=$B$2)*(DESC_PROV[LISTA]=$C$2),DESC_PROV[DESCUENTO]),0)),
   ((B66*(1+IFERROR(VLOOKUP($D$2,COLORES[],2,FALSE),0)))+H66)
   *(1-IFERROR(_xlfn.XLOOKUP(1,(DESC_PROV[LINEA]=$B$2)*(DESC_PROV[LISTA]=$C$2),DESC_PROV[DESCUENTO]),0))
   *(1+VLOOKUP($C$2,LISTAS[],2,FALSE))
   *(1+VLOOKUP($C$2,LISTAS[],3,FALSE))
)
/5,0)*5,0)</f>
        <v>334450</v>
      </c>
      <c r="R66" s="126">
        <f t="array" ref="R66">IFERROR(
ROUND(
IF($A$2="COSTO",
   ((B66*(1+IFERROR(VLOOKUP($D$2,COLORES[],2,FALSE),0)))+(D66+I66+D66))
   *(1-IFERROR(_xlfn.XLOOKUP(1,(DESC_PROV[LINEA]=$B$2)*(DESC_PROV[LISTA]=$C$2),DESC_PROV[DESCUENTO]),0)),
   ((B66*(1+IFERROR(VLOOKUP($D$2,COLORES[],2,FALSE),0)))+(D66+I66+D66))
   *(1-IFERROR(_xlfn.XLOOKUP(1,(DESC_PROV[LINEA]=$B$2)*(DESC_PROV[LISTA]=$C$2),DESC_PROV[DESCUENTO]),0))
   *(1+VLOOKUP($C$2,LISTAS[],2,FALSE))
   *(1+VLOOKUP($C$2,LISTAS[],3,FALSE))
)
/5,0)*5,0)</f>
        <v>340250</v>
      </c>
    </row>
    <row r="67" spans="1:18">
      <c r="A67" s="133" t="s">
        <v>147</v>
      </c>
      <c r="B67" s="125">
        <v>157590</v>
      </c>
      <c r="C67" s="125">
        <v>23962</v>
      </c>
      <c r="D67" s="125">
        <v>29021</v>
      </c>
      <c r="E67" s="125">
        <v>38314</v>
      </c>
      <c r="F67" s="125">
        <v>82704</v>
      </c>
      <c r="G67" s="125">
        <v>31939</v>
      </c>
      <c r="H67" s="125">
        <v>123748</v>
      </c>
      <c r="I67" s="125">
        <v>65117</v>
      </c>
      <c r="J67" s="124"/>
      <c r="K67" s="133" t="s">
        <v>147</v>
      </c>
      <c r="L67" s="125">
        <f t="array" ref="L67">IFERROR(
ROUND(
IF($A$2="COSTO",
   ((B67*(1+IFERROR(VLOOKUP($D$2,COLORES[],2,FALSE),0)))+C67)
   *(1-IFERROR(_xlfn.XLOOKUP(1,(DESC_PROV[LINEA]=$B$2)*(DESC_PROV[LISTA]=$C$2),DESC_PROV[DESCUENTO]),0)),
   ((B67*(1+IFERROR(VLOOKUP($D$2,COLORES[],2,FALSE),0)))+C67)
   *(1-IFERROR(_xlfn.XLOOKUP(1,(DESC_PROV[LINEA]=$B$2)*(DESC_PROV[LISTA]=$C$2),DESC_PROV[DESCUENTO]),0))
   *(1+VLOOKUP($C$2,LISTAS[],2,FALSE))
   *(1+VLOOKUP($C$2,LISTAS[],3,FALSE))
)
/5,0)*5,0)</f>
        <v>232665</v>
      </c>
      <c r="M67" s="125">
        <f t="array" ref="M67">IFERROR(
ROUND(
IF($A$2="COSTO",
   ((B67*(1+IFERROR(VLOOKUP($D$2,COLORES[],2,FALSE),0)))+D67)
   *(1-IFERROR(_xlfn.XLOOKUP(1,(DESC_PROV[LINEA]=$B$2)*(DESC_PROV[LISTA]=$C$2),DESC_PROV[DESCUENTO]),0)),
   ((B67*(1+IFERROR(VLOOKUP($D$2,COLORES[],2,FALSE),0)))+D67)
   *(1-IFERROR(_xlfn.XLOOKUP(1,(DESC_PROV[LINEA]=$B$2)*(DESC_PROV[LISTA]=$C$2),DESC_PROV[DESCUENTO]),0))
   *(1+VLOOKUP($C$2,LISTAS[],2,FALSE))
   *(1+VLOOKUP($C$2,LISTAS[],3,FALSE))
)
/5,0)*5,0)</f>
        <v>239150</v>
      </c>
      <c r="N67" s="125">
        <f t="array" ref="N67">IFERROR(
ROUND(
IF($A$2="COSTO",
   ((B67*(1+IFERROR(VLOOKUP($D$2,COLORES[],2,FALSE),0)))+E67)
   *(1-IFERROR(_xlfn.XLOOKUP(1,(DESC_PROV[LINEA]=$B$2)*(DESC_PROV[LISTA]=$C$2),DESC_PROV[DESCUENTO]),0)),
   ((B67*(1+IFERROR(VLOOKUP($D$2,COLORES[],2,FALSE),0)))+E67)
   *(1-IFERROR(_xlfn.XLOOKUP(1,(DESC_PROV[LINEA]=$B$2)*(DESC_PROV[LISTA]=$C$2),DESC_PROV[DESCUENTO]),0))
   *(1+VLOOKUP($C$2,LISTAS[],2,FALSE))
   *(1+VLOOKUP($C$2,LISTAS[],3,FALSE))
)
/5,0)*5,0)</f>
        <v>251060</v>
      </c>
      <c r="O67" s="125">
        <f t="array" ref="O67">IFERROR(
ROUND(
IF($A$2="COSTO",
   ((B67*(1+IFERROR(VLOOKUP($D$2,COLORES[],2,FALSE),0)))+F67)
   *(1-IFERROR(_xlfn.XLOOKUP(1,(DESC_PROV[LINEA]=$B$2)*(DESC_PROV[LISTA]=$C$2),DESC_PROV[DESCUENTO]),0)),
   ((B67*(1+IFERROR(VLOOKUP($D$2,COLORES[],2,FALSE),0)))+F67)
   *(1-IFERROR(_xlfn.XLOOKUP(1,(DESC_PROV[LINEA]=$B$2)*(DESC_PROV[LISTA]=$C$2),DESC_PROV[DESCUENTO]),0))
   *(1+VLOOKUP($C$2,LISTAS[],2,FALSE))
   *(1+VLOOKUP($C$2,LISTAS[],3,FALSE))
)
/5,0)*5,0)</f>
        <v>307945</v>
      </c>
      <c r="P67" s="125">
        <f t="array" ref="P67">IFERROR(
ROUND(
IF($A$2="COSTO",
   ((B67*(1+IFERROR(VLOOKUP($D$2,COLORES[],2,FALSE),0)))+G67)
   *(1-IFERROR(_xlfn.XLOOKUP(1,(DESC_PROV[LINEA]=$B$2)*(DESC_PROV[LISTA]=$C$2),DESC_PROV[DESCUENTO]),0)),
   ((B67*(1+IFERROR(VLOOKUP($D$2,COLORES[],2,FALSE),0)))+G67)
   *(1-IFERROR(_xlfn.XLOOKUP(1,(DESC_PROV[LINEA]=$B$2)*(DESC_PROV[LISTA]=$C$2),DESC_PROV[DESCUENTO]),0))
   *(1+VLOOKUP($C$2,LISTAS[],2,FALSE))
   *(1+VLOOKUP($C$2,LISTAS[],3,FALSE))
)
/5,0)*5,0)</f>
        <v>242890</v>
      </c>
      <c r="Q67" s="125">
        <f t="array" ref="Q67">IFERROR(
ROUND(
IF($A$2="COSTO",
   ((B67*(1+IFERROR(VLOOKUP($D$2,COLORES[],2,FALSE),0)))+H67)
   *(1-IFERROR(_xlfn.XLOOKUP(1,(DESC_PROV[LINEA]=$B$2)*(DESC_PROV[LISTA]=$C$2),DESC_PROV[DESCUENTO]),0)),
   ((B67*(1+IFERROR(VLOOKUP($D$2,COLORES[],2,FALSE),0)))+H67)
   *(1-IFERROR(_xlfn.XLOOKUP(1,(DESC_PROV[LINEA]=$B$2)*(DESC_PROV[LISTA]=$C$2),DESC_PROV[DESCUENTO]),0))
   *(1+VLOOKUP($C$2,LISTAS[],2,FALSE))
   *(1+VLOOKUP($C$2,LISTAS[],3,FALSE))
)
/5,0)*5,0)</f>
        <v>360545</v>
      </c>
      <c r="R67" s="126">
        <f t="array" ref="R67">IFERROR(
ROUND(
IF($A$2="COSTO",
   ((B67*(1+IFERROR(VLOOKUP($D$2,COLORES[],2,FALSE),0)))+(D67+I67+D67))
   *(1-IFERROR(_xlfn.XLOOKUP(1,(DESC_PROV[LINEA]=$B$2)*(DESC_PROV[LISTA]=$C$2),DESC_PROV[DESCUENTO]),0)),
   ((B67*(1+IFERROR(VLOOKUP($D$2,COLORES[],2,FALSE),0)))+(D67+I67+D67))
   *(1-IFERROR(_xlfn.XLOOKUP(1,(DESC_PROV[LINEA]=$B$2)*(DESC_PROV[LISTA]=$C$2),DESC_PROV[DESCUENTO]),0))
   *(1+VLOOKUP($C$2,LISTAS[],2,FALSE))
   *(1+VLOOKUP($C$2,LISTAS[],3,FALSE))
)
/5,0)*5,0)</f>
        <v>359790</v>
      </c>
    </row>
    <row r="68" spans="1:18">
      <c r="A68" s="133" t="s">
        <v>107</v>
      </c>
      <c r="B68" s="125">
        <v>163261</v>
      </c>
      <c r="C68" s="125">
        <v>26957</v>
      </c>
      <c r="D68" s="125">
        <v>32650</v>
      </c>
      <c r="E68" s="125">
        <v>43104</v>
      </c>
      <c r="F68" s="125">
        <v>93043</v>
      </c>
      <c r="G68" s="125">
        <v>35933</v>
      </c>
      <c r="H68" s="125">
        <v>139219</v>
      </c>
      <c r="I68" s="125">
        <v>68218</v>
      </c>
      <c r="J68" s="124"/>
      <c r="K68" s="133" t="s">
        <v>107</v>
      </c>
      <c r="L68" s="125">
        <f t="array" ref="L68">IFERROR(
ROUND(
IF($A$2="COSTO",
   ((B68*(1+IFERROR(VLOOKUP($D$2,COLORES[],2,FALSE),0)))+C68)
   *(1-IFERROR(_xlfn.XLOOKUP(1,(DESC_PROV[LINEA]=$B$2)*(DESC_PROV[LISTA]=$C$2),DESC_PROV[DESCUENTO]),0)),
   ((B68*(1+IFERROR(VLOOKUP($D$2,COLORES[],2,FALSE),0)))+C68)
   *(1-IFERROR(_xlfn.XLOOKUP(1,(DESC_PROV[LINEA]=$B$2)*(DESC_PROV[LISTA]=$C$2),DESC_PROV[DESCUENTO]),0))
   *(1+VLOOKUP($C$2,LISTAS[],2,FALSE))
   *(1+VLOOKUP($C$2,LISTAS[],3,FALSE))
)
/5,0)*5,0)</f>
        <v>243770</v>
      </c>
      <c r="M68" s="125">
        <f t="array" ref="M68">IFERROR(
ROUND(
IF($A$2="COSTO",
   ((B68*(1+IFERROR(VLOOKUP($D$2,COLORES[],2,FALSE),0)))+D68)
   *(1-IFERROR(_xlfn.XLOOKUP(1,(DESC_PROV[LINEA]=$B$2)*(DESC_PROV[LISTA]=$C$2),DESC_PROV[DESCUENTO]),0)),
   ((B68*(1+IFERROR(VLOOKUP($D$2,COLORES[],2,FALSE),0)))+D68)
   *(1-IFERROR(_xlfn.XLOOKUP(1,(DESC_PROV[LINEA]=$B$2)*(DESC_PROV[LISTA]=$C$2),DESC_PROV[DESCUENTO]),0))
   *(1+VLOOKUP($C$2,LISTAS[],2,FALSE))
   *(1+VLOOKUP($C$2,LISTAS[],3,FALSE))
)
/5,0)*5,0)</f>
        <v>251070</v>
      </c>
      <c r="N68" s="125">
        <f t="array" ref="N68">IFERROR(
ROUND(
IF($A$2="COSTO",
   ((B68*(1+IFERROR(VLOOKUP($D$2,COLORES[],2,FALSE),0)))+E68)
   *(1-IFERROR(_xlfn.XLOOKUP(1,(DESC_PROV[LINEA]=$B$2)*(DESC_PROV[LISTA]=$C$2),DESC_PROV[DESCUENTO]),0)),
   ((B68*(1+IFERROR(VLOOKUP($D$2,COLORES[],2,FALSE),0)))+E68)
   *(1-IFERROR(_xlfn.XLOOKUP(1,(DESC_PROV[LINEA]=$B$2)*(DESC_PROV[LISTA]=$C$2),DESC_PROV[DESCUENTO]),0))
   *(1+VLOOKUP($C$2,LISTAS[],2,FALSE))
   *(1+VLOOKUP($C$2,LISTAS[],3,FALSE))
)
/5,0)*5,0)</f>
        <v>264465</v>
      </c>
      <c r="O68" s="125">
        <f t="array" ref="O68">IFERROR(
ROUND(
IF($A$2="COSTO",
   ((B68*(1+IFERROR(VLOOKUP($D$2,COLORES[],2,FALSE),0)))+F68)
   *(1-IFERROR(_xlfn.XLOOKUP(1,(DESC_PROV[LINEA]=$B$2)*(DESC_PROV[LISTA]=$C$2),DESC_PROV[DESCUENTO]),0)),
   ((B68*(1+IFERROR(VLOOKUP($D$2,COLORES[],2,FALSE),0)))+F68)
   *(1-IFERROR(_xlfn.XLOOKUP(1,(DESC_PROV[LINEA]=$B$2)*(DESC_PROV[LISTA]=$C$2),DESC_PROV[DESCUENTO]),0))
   *(1+VLOOKUP($C$2,LISTAS[],2,FALSE))
   *(1+VLOOKUP($C$2,LISTAS[],3,FALSE))
)
/5,0)*5,0)</f>
        <v>328465</v>
      </c>
      <c r="P68" s="125">
        <f t="array" ref="P68">IFERROR(
ROUND(
IF($A$2="COSTO",
   ((B68*(1+IFERROR(VLOOKUP($D$2,COLORES[],2,FALSE),0)))+G68)
   *(1-IFERROR(_xlfn.XLOOKUP(1,(DESC_PROV[LINEA]=$B$2)*(DESC_PROV[LISTA]=$C$2),DESC_PROV[DESCUENTO]),0)),
   ((B68*(1+IFERROR(VLOOKUP($D$2,COLORES[],2,FALSE),0)))+G68)
   *(1-IFERROR(_xlfn.XLOOKUP(1,(DESC_PROV[LINEA]=$B$2)*(DESC_PROV[LISTA]=$C$2),DESC_PROV[DESCUENTO]),0))
   *(1+VLOOKUP($C$2,LISTAS[],2,FALSE))
   *(1+VLOOKUP($C$2,LISTAS[],3,FALSE))
)
/5,0)*5,0)</f>
        <v>255275</v>
      </c>
      <c r="Q68" s="125">
        <f t="array" ref="Q68">IFERROR(
ROUND(
IF($A$2="COSTO",
   ((B68*(1+IFERROR(VLOOKUP($D$2,COLORES[],2,FALSE),0)))+H68)
   *(1-IFERROR(_xlfn.XLOOKUP(1,(DESC_PROV[LINEA]=$B$2)*(DESC_PROV[LISTA]=$C$2),DESC_PROV[DESCUENTO]),0)),
   ((B68*(1+IFERROR(VLOOKUP($D$2,COLORES[],2,FALSE),0)))+H68)
   *(1-IFERROR(_xlfn.XLOOKUP(1,(DESC_PROV[LINEA]=$B$2)*(DESC_PROV[LISTA]=$C$2),DESC_PROV[DESCUENTO]),0))
   *(1+VLOOKUP($C$2,LISTAS[],2,FALSE))
   *(1+VLOOKUP($C$2,LISTAS[],3,FALSE))
)
/5,0)*5,0)</f>
        <v>387640</v>
      </c>
      <c r="R68" s="126">
        <f t="array" ref="R68">IFERROR(
ROUND(
IF($A$2="COSTO",
   ((B68*(1+IFERROR(VLOOKUP($D$2,COLORES[],2,FALSE),0)))+(D68+I68+D68))
   *(1-IFERROR(_xlfn.XLOOKUP(1,(DESC_PROV[LINEA]=$B$2)*(DESC_PROV[LISTA]=$C$2),DESC_PROV[DESCUENTO]),0)),
   ((B68*(1+IFERROR(VLOOKUP($D$2,COLORES[],2,FALSE),0)))+(D68+I68+D68))
   *(1-IFERROR(_xlfn.XLOOKUP(1,(DESC_PROV[LINEA]=$B$2)*(DESC_PROV[LISTA]=$C$2),DESC_PROV[DESCUENTO]),0))
   *(1+VLOOKUP($C$2,LISTAS[],2,FALSE))
   *(1+VLOOKUP($C$2,LISTAS[],3,FALSE))
)
/5,0)*5,0)</f>
        <v>380335</v>
      </c>
    </row>
    <row r="69" spans="1:18">
      <c r="A69" s="133" t="s">
        <v>148</v>
      </c>
      <c r="B69" s="125">
        <v>147786</v>
      </c>
      <c r="C69" s="125">
        <v>11434</v>
      </c>
      <c r="D69" s="125">
        <v>13843</v>
      </c>
      <c r="E69" s="125">
        <v>18278</v>
      </c>
      <c r="F69" s="125">
        <v>39466</v>
      </c>
      <c r="G69" s="125">
        <v>15245</v>
      </c>
      <c r="H69" s="125">
        <v>59052</v>
      </c>
      <c r="I69" s="125">
        <v>58915</v>
      </c>
      <c r="J69" s="124"/>
      <c r="K69" s="133" t="s">
        <v>148</v>
      </c>
      <c r="L69" s="125">
        <f t="array" ref="L69">IFERROR(
ROUND(
IF($A$2="COSTO",
   ((B69*(1+IFERROR(VLOOKUP($D$2,COLORES[],2,FALSE),0)))+C69)
   *(1-IFERROR(_xlfn.XLOOKUP(1,(DESC_PROV[LINEA]=$B$2)*(DESC_PROV[LISTA]=$C$2),DESC_PROV[DESCUENTO]),0)),
   ((B69*(1+IFERROR(VLOOKUP($D$2,COLORES[],2,FALSE),0)))+C69)
   *(1-IFERROR(_xlfn.XLOOKUP(1,(DESC_PROV[LINEA]=$B$2)*(DESC_PROV[LISTA]=$C$2),DESC_PROV[DESCUENTO]),0))
   *(1+VLOOKUP($C$2,LISTAS[],2,FALSE))
   *(1+VLOOKUP($C$2,LISTAS[],3,FALSE))
)
/5,0)*5,0)</f>
        <v>204045</v>
      </c>
      <c r="M69" s="125">
        <f t="array" ref="M69">IFERROR(
ROUND(
IF($A$2="COSTO",
   ((B69*(1+IFERROR(VLOOKUP($D$2,COLORES[],2,FALSE),0)))+D69)
   *(1-IFERROR(_xlfn.XLOOKUP(1,(DESC_PROV[LINEA]=$B$2)*(DESC_PROV[LISTA]=$C$2),DESC_PROV[DESCUENTO]),0)),
   ((B69*(1+IFERROR(VLOOKUP($D$2,COLORES[],2,FALSE),0)))+D69)
   *(1-IFERROR(_xlfn.XLOOKUP(1,(DESC_PROV[LINEA]=$B$2)*(DESC_PROV[LISTA]=$C$2),DESC_PROV[DESCUENTO]),0))
   *(1+VLOOKUP($C$2,LISTAS[],2,FALSE))
   *(1+VLOOKUP($C$2,LISTAS[],3,FALSE))
)
/5,0)*5,0)</f>
        <v>207135</v>
      </c>
      <c r="N69" s="125">
        <f t="array" ref="N69">IFERROR(
ROUND(
IF($A$2="COSTO",
   ((B69*(1+IFERROR(VLOOKUP($D$2,COLORES[],2,FALSE),0)))+E69)
   *(1-IFERROR(_xlfn.XLOOKUP(1,(DESC_PROV[LINEA]=$B$2)*(DESC_PROV[LISTA]=$C$2),DESC_PROV[DESCUENTO]),0)),
   ((B69*(1+IFERROR(VLOOKUP($D$2,COLORES[],2,FALSE),0)))+E69)
   *(1-IFERROR(_xlfn.XLOOKUP(1,(DESC_PROV[LINEA]=$B$2)*(DESC_PROV[LISTA]=$C$2),DESC_PROV[DESCUENTO]),0))
   *(1+VLOOKUP($C$2,LISTAS[],2,FALSE))
   *(1+VLOOKUP($C$2,LISTAS[],3,FALSE))
)
/5,0)*5,0)</f>
        <v>212820</v>
      </c>
      <c r="O69" s="125">
        <f t="array" ref="O69">IFERROR(
ROUND(
IF($A$2="COSTO",
   ((B69*(1+IFERROR(VLOOKUP($D$2,COLORES[],2,FALSE),0)))+F69)
   *(1-IFERROR(_xlfn.XLOOKUP(1,(DESC_PROV[LINEA]=$B$2)*(DESC_PROV[LISTA]=$C$2),DESC_PROV[DESCUENTO]),0)),
   ((B69*(1+IFERROR(VLOOKUP($D$2,COLORES[],2,FALSE),0)))+F69)
   *(1-IFERROR(_xlfn.XLOOKUP(1,(DESC_PROV[LINEA]=$B$2)*(DESC_PROV[LISTA]=$C$2),DESC_PROV[DESCUENTO]),0))
   *(1+VLOOKUP($C$2,LISTAS[],2,FALSE))
   *(1+VLOOKUP($C$2,LISTAS[],3,FALSE))
)
/5,0)*5,0)</f>
        <v>239970</v>
      </c>
      <c r="P69" s="125">
        <f t="array" ref="P69">IFERROR(
ROUND(
IF($A$2="COSTO",
   ((B69*(1+IFERROR(VLOOKUP($D$2,COLORES[],2,FALSE),0)))+G69)
   *(1-IFERROR(_xlfn.XLOOKUP(1,(DESC_PROV[LINEA]=$B$2)*(DESC_PROV[LISTA]=$C$2),DESC_PROV[DESCUENTO]),0)),
   ((B69*(1+IFERROR(VLOOKUP($D$2,COLORES[],2,FALSE),0)))+G69)
   *(1-IFERROR(_xlfn.XLOOKUP(1,(DESC_PROV[LINEA]=$B$2)*(DESC_PROV[LISTA]=$C$2),DESC_PROV[DESCUENTO]),0))
   *(1+VLOOKUP($C$2,LISTAS[],2,FALSE))
   *(1+VLOOKUP($C$2,LISTAS[],3,FALSE))
)
/5,0)*5,0)</f>
        <v>208930</v>
      </c>
      <c r="Q69" s="125">
        <f t="array" ref="Q69">IFERROR(
ROUND(
IF($A$2="COSTO",
   ((B69*(1+IFERROR(VLOOKUP($D$2,COLORES[],2,FALSE),0)))+H69)
   *(1-IFERROR(_xlfn.XLOOKUP(1,(DESC_PROV[LINEA]=$B$2)*(DESC_PROV[LISTA]=$C$2),DESC_PROV[DESCUENTO]),0)),
   ((B69*(1+IFERROR(VLOOKUP($D$2,COLORES[],2,FALSE),0)))+H69)
   *(1-IFERROR(_xlfn.XLOOKUP(1,(DESC_PROV[LINEA]=$B$2)*(DESC_PROV[LISTA]=$C$2),DESC_PROV[DESCUENTO]),0))
   *(1+VLOOKUP($C$2,LISTAS[],2,FALSE))
   *(1+VLOOKUP($C$2,LISTAS[],3,FALSE))
)
/5,0)*5,0)</f>
        <v>265070</v>
      </c>
      <c r="R69" s="126">
        <f t="array" ref="R69">IFERROR(
ROUND(
IF($A$2="COSTO",
   ((B69*(1+IFERROR(VLOOKUP($D$2,COLORES[],2,FALSE),0)))+(D69+I69+D69))
   *(1-IFERROR(_xlfn.XLOOKUP(1,(DESC_PROV[LINEA]=$B$2)*(DESC_PROV[LISTA]=$C$2),DESC_PROV[DESCUENTO]),0)),
   ((B69*(1+IFERROR(VLOOKUP($D$2,COLORES[],2,FALSE),0)))+(D69+I69+D69))
   *(1-IFERROR(_xlfn.XLOOKUP(1,(DESC_PROV[LINEA]=$B$2)*(DESC_PROV[LISTA]=$C$2),DESC_PROV[DESCUENTO]),0))
   *(1+VLOOKUP($C$2,LISTAS[],2,FALSE))
   *(1+VLOOKUP($C$2,LISTAS[],3,FALSE))
)
/5,0)*5,0)</f>
        <v>300375</v>
      </c>
    </row>
    <row r="70" spans="1:18">
      <c r="A70" s="133" t="s">
        <v>149</v>
      </c>
      <c r="B70" s="125">
        <v>152909</v>
      </c>
      <c r="C70" s="125">
        <v>15245</v>
      </c>
      <c r="D70" s="125">
        <v>18461</v>
      </c>
      <c r="E70" s="125">
        <v>24374</v>
      </c>
      <c r="F70" s="125">
        <v>52618</v>
      </c>
      <c r="G70" s="125">
        <v>20323</v>
      </c>
      <c r="H70" s="125">
        <v>78728</v>
      </c>
      <c r="I70" s="125">
        <v>62016</v>
      </c>
      <c r="J70" s="124"/>
      <c r="K70" s="133" t="s">
        <v>149</v>
      </c>
      <c r="L70" s="125">
        <f t="array" ref="L70">IFERROR(
ROUND(
IF($A$2="COSTO",
   ((B70*(1+IFERROR(VLOOKUP($D$2,COLORES[],2,FALSE),0)))+C70)
   *(1-IFERROR(_xlfn.XLOOKUP(1,(DESC_PROV[LINEA]=$B$2)*(DESC_PROV[LISTA]=$C$2),DESC_PROV[DESCUENTO]),0)),
   ((B70*(1+IFERROR(VLOOKUP($D$2,COLORES[],2,FALSE),0)))+C70)
   *(1-IFERROR(_xlfn.XLOOKUP(1,(DESC_PROV[LINEA]=$B$2)*(DESC_PROV[LISTA]=$C$2),DESC_PROV[DESCUENTO]),0))
   *(1+VLOOKUP($C$2,LISTAS[],2,FALSE))
   *(1+VLOOKUP($C$2,LISTAS[],3,FALSE))
)
/5,0)*5,0)</f>
        <v>215495</v>
      </c>
      <c r="M70" s="125">
        <f t="array" ref="M70">IFERROR(
ROUND(
IF($A$2="COSTO",
   ((B70*(1+IFERROR(VLOOKUP($D$2,COLORES[],2,FALSE),0)))+D70)
   *(1-IFERROR(_xlfn.XLOOKUP(1,(DESC_PROV[LINEA]=$B$2)*(DESC_PROV[LISTA]=$C$2),DESC_PROV[DESCUENTO]),0)),
   ((B70*(1+IFERROR(VLOOKUP($D$2,COLORES[],2,FALSE),0)))+D70)
   *(1-IFERROR(_xlfn.XLOOKUP(1,(DESC_PROV[LINEA]=$B$2)*(DESC_PROV[LISTA]=$C$2),DESC_PROV[DESCUENTO]),0))
   *(1+VLOOKUP($C$2,LISTAS[],2,FALSE))
   *(1+VLOOKUP($C$2,LISTAS[],3,FALSE))
)
/5,0)*5,0)</f>
        <v>219620</v>
      </c>
      <c r="N70" s="125">
        <f t="array" ref="N70">IFERROR(
ROUND(
IF($A$2="COSTO",
   ((B70*(1+IFERROR(VLOOKUP($D$2,COLORES[],2,FALSE),0)))+E70)
   *(1-IFERROR(_xlfn.XLOOKUP(1,(DESC_PROV[LINEA]=$B$2)*(DESC_PROV[LISTA]=$C$2),DESC_PROV[DESCUENTO]),0)),
   ((B70*(1+IFERROR(VLOOKUP($D$2,COLORES[],2,FALSE),0)))+E70)
   *(1-IFERROR(_xlfn.XLOOKUP(1,(DESC_PROV[LINEA]=$B$2)*(DESC_PROV[LISTA]=$C$2),DESC_PROV[DESCUENTO]),0))
   *(1+VLOOKUP($C$2,LISTAS[],2,FALSE))
   *(1+VLOOKUP($C$2,LISTAS[],3,FALSE))
)
/5,0)*5,0)</f>
        <v>227195</v>
      </c>
      <c r="O70" s="125">
        <f t="array" ref="O70">IFERROR(
ROUND(
IF($A$2="COSTO",
   ((B70*(1+IFERROR(VLOOKUP($D$2,COLORES[],2,FALSE),0)))+F70)
   *(1-IFERROR(_xlfn.XLOOKUP(1,(DESC_PROV[LINEA]=$B$2)*(DESC_PROV[LISTA]=$C$2),DESC_PROV[DESCUENTO]),0)),
   ((B70*(1+IFERROR(VLOOKUP($D$2,COLORES[],2,FALSE),0)))+F70)
   *(1-IFERROR(_xlfn.XLOOKUP(1,(DESC_PROV[LINEA]=$B$2)*(DESC_PROV[LISTA]=$C$2),DESC_PROV[DESCUENTO]),0))
   *(1+VLOOKUP($C$2,LISTAS[],2,FALSE))
   *(1+VLOOKUP($C$2,LISTAS[],3,FALSE))
)
/5,0)*5,0)</f>
        <v>263390</v>
      </c>
      <c r="P70" s="125">
        <f t="array" ref="P70">IFERROR(
ROUND(
IF($A$2="COSTO",
   ((B70*(1+IFERROR(VLOOKUP($D$2,COLORES[],2,FALSE),0)))+G70)
   *(1-IFERROR(_xlfn.XLOOKUP(1,(DESC_PROV[LINEA]=$B$2)*(DESC_PROV[LISTA]=$C$2),DESC_PROV[DESCUENTO]),0)),
   ((B70*(1+IFERROR(VLOOKUP($D$2,COLORES[],2,FALSE),0)))+G70)
   *(1-IFERROR(_xlfn.XLOOKUP(1,(DESC_PROV[LINEA]=$B$2)*(DESC_PROV[LISTA]=$C$2),DESC_PROV[DESCUENTO]),0))
   *(1+VLOOKUP($C$2,LISTAS[],2,FALSE))
   *(1+VLOOKUP($C$2,LISTAS[],3,FALSE))
)
/5,0)*5,0)</f>
        <v>222005</v>
      </c>
      <c r="Q70" s="125">
        <f t="array" ref="Q70">IFERROR(
ROUND(
IF($A$2="COSTO",
   ((B70*(1+IFERROR(VLOOKUP($D$2,COLORES[],2,FALSE),0)))+H70)
   *(1-IFERROR(_xlfn.XLOOKUP(1,(DESC_PROV[LINEA]=$B$2)*(DESC_PROV[LISTA]=$C$2),DESC_PROV[DESCUENTO]),0)),
   ((B70*(1+IFERROR(VLOOKUP($D$2,COLORES[],2,FALSE),0)))+H70)
   *(1-IFERROR(_xlfn.XLOOKUP(1,(DESC_PROV[LINEA]=$B$2)*(DESC_PROV[LISTA]=$C$2),DESC_PROV[DESCUENTO]),0))
   *(1+VLOOKUP($C$2,LISTAS[],2,FALSE))
   *(1+VLOOKUP($C$2,LISTAS[],3,FALSE))
)
/5,0)*5,0)</f>
        <v>296850</v>
      </c>
      <c r="R70" s="126">
        <f t="array" ref="R70">IFERROR(
ROUND(
IF($A$2="COSTO",
   ((B70*(1+IFERROR(VLOOKUP($D$2,COLORES[],2,FALSE),0)))+(D70+I70+D70))
   *(1-IFERROR(_xlfn.XLOOKUP(1,(DESC_PROV[LINEA]=$B$2)*(DESC_PROV[LISTA]=$C$2),DESC_PROV[DESCUENTO]),0)),
   ((B70*(1+IFERROR(VLOOKUP($D$2,COLORES[],2,FALSE),0)))+(D70+I70+D70))
   *(1-IFERROR(_xlfn.XLOOKUP(1,(DESC_PROV[LINEA]=$B$2)*(DESC_PROV[LISTA]=$C$2),DESC_PROV[DESCUENTO]),0))
   *(1+VLOOKUP($C$2,LISTAS[],2,FALSE))
   *(1+VLOOKUP($C$2,LISTAS[],3,FALSE))
)
/5,0)*5,0)</f>
        <v>322750</v>
      </c>
    </row>
    <row r="71" spans="1:18">
      <c r="A71" s="133" t="s">
        <v>150</v>
      </c>
      <c r="B71" s="125">
        <v>158046</v>
      </c>
      <c r="C71" s="125">
        <v>19056</v>
      </c>
      <c r="D71" s="125">
        <v>23078</v>
      </c>
      <c r="E71" s="125">
        <v>30470</v>
      </c>
      <c r="F71" s="125">
        <v>65770</v>
      </c>
      <c r="G71" s="125">
        <v>25402</v>
      </c>
      <c r="H71" s="125">
        <v>98404</v>
      </c>
      <c r="I71" s="125">
        <v>65117</v>
      </c>
      <c r="J71" s="124"/>
      <c r="K71" s="133" t="s">
        <v>150</v>
      </c>
      <c r="L71" s="125">
        <f t="array" ref="L71">IFERROR(
ROUND(
IF($A$2="COSTO",
   ((B71*(1+IFERROR(VLOOKUP($D$2,COLORES[],2,FALSE),0)))+C71)
   *(1-IFERROR(_xlfn.XLOOKUP(1,(DESC_PROV[LINEA]=$B$2)*(DESC_PROV[LISTA]=$C$2),DESC_PROV[DESCUENTO]),0)),
   ((B71*(1+IFERROR(VLOOKUP($D$2,COLORES[],2,FALSE),0)))+C71)
   *(1-IFERROR(_xlfn.XLOOKUP(1,(DESC_PROV[LINEA]=$B$2)*(DESC_PROV[LISTA]=$C$2),DESC_PROV[DESCUENTO]),0))
   *(1+VLOOKUP($C$2,LISTAS[],2,FALSE))
   *(1+VLOOKUP($C$2,LISTAS[],3,FALSE))
)
/5,0)*5,0)</f>
        <v>226965</v>
      </c>
      <c r="M71" s="125">
        <f t="array" ref="M71">IFERROR(
ROUND(
IF($A$2="COSTO",
   ((B71*(1+IFERROR(VLOOKUP($D$2,COLORES[],2,FALSE),0)))+D71)
   *(1-IFERROR(_xlfn.XLOOKUP(1,(DESC_PROV[LINEA]=$B$2)*(DESC_PROV[LISTA]=$C$2),DESC_PROV[DESCUENTO]),0)),
   ((B71*(1+IFERROR(VLOOKUP($D$2,COLORES[],2,FALSE),0)))+D71)
   *(1-IFERROR(_xlfn.XLOOKUP(1,(DESC_PROV[LINEA]=$B$2)*(DESC_PROV[LISTA]=$C$2),DESC_PROV[DESCUENTO]),0))
   *(1+VLOOKUP($C$2,LISTAS[],2,FALSE))
   *(1+VLOOKUP($C$2,LISTAS[],3,FALSE))
)
/5,0)*5,0)</f>
        <v>232120</v>
      </c>
      <c r="N71" s="125">
        <f t="array" ref="N71">IFERROR(
ROUND(
IF($A$2="COSTO",
   ((B71*(1+IFERROR(VLOOKUP($D$2,COLORES[],2,FALSE),0)))+E71)
   *(1-IFERROR(_xlfn.XLOOKUP(1,(DESC_PROV[LINEA]=$B$2)*(DESC_PROV[LISTA]=$C$2),DESC_PROV[DESCUENTO]),0)),
   ((B71*(1+IFERROR(VLOOKUP($D$2,COLORES[],2,FALSE),0)))+E71)
   *(1-IFERROR(_xlfn.XLOOKUP(1,(DESC_PROV[LINEA]=$B$2)*(DESC_PROV[LISTA]=$C$2),DESC_PROV[DESCUENTO]),0))
   *(1+VLOOKUP($C$2,LISTAS[],2,FALSE))
   *(1+VLOOKUP($C$2,LISTAS[],3,FALSE))
)
/5,0)*5,0)</f>
        <v>241590</v>
      </c>
      <c r="O71" s="125">
        <f t="array" ref="O71">IFERROR(
ROUND(
IF($A$2="COSTO",
   ((B71*(1+IFERROR(VLOOKUP($D$2,COLORES[],2,FALSE),0)))+F71)
   *(1-IFERROR(_xlfn.XLOOKUP(1,(DESC_PROV[LINEA]=$B$2)*(DESC_PROV[LISTA]=$C$2),DESC_PROV[DESCUENTO]),0)),
   ((B71*(1+IFERROR(VLOOKUP($D$2,COLORES[],2,FALSE),0)))+F71)
   *(1-IFERROR(_xlfn.XLOOKUP(1,(DESC_PROV[LINEA]=$B$2)*(DESC_PROV[LISTA]=$C$2),DESC_PROV[DESCUENTO]),0))
   *(1+VLOOKUP($C$2,LISTAS[],2,FALSE))
   *(1+VLOOKUP($C$2,LISTAS[],3,FALSE))
)
/5,0)*5,0)</f>
        <v>286830</v>
      </c>
      <c r="P71" s="125">
        <f t="array" ref="P71">IFERROR(
ROUND(
IF($A$2="COSTO",
   ((B71*(1+IFERROR(VLOOKUP($D$2,COLORES[],2,FALSE),0)))+G71)
   *(1-IFERROR(_xlfn.XLOOKUP(1,(DESC_PROV[LINEA]=$B$2)*(DESC_PROV[LISTA]=$C$2),DESC_PROV[DESCUENTO]),0)),
   ((B71*(1+IFERROR(VLOOKUP($D$2,COLORES[],2,FALSE),0)))+G71)
   *(1-IFERROR(_xlfn.XLOOKUP(1,(DESC_PROV[LINEA]=$B$2)*(DESC_PROV[LISTA]=$C$2),DESC_PROV[DESCUENTO]),0))
   *(1+VLOOKUP($C$2,LISTAS[],2,FALSE))
   *(1+VLOOKUP($C$2,LISTAS[],3,FALSE))
)
/5,0)*5,0)</f>
        <v>235095</v>
      </c>
      <c r="Q71" s="125">
        <f t="array" ref="Q71">IFERROR(
ROUND(
IF($A$2="COSTO",
   ((B71*(1+IFERROR(VLOOKUP($D$2,COLORES[],2,FALSE),0)))+H71)
   *(1-IFERROR(_xlfn.XLOOKUP(1,(DESC_PROV[LINEA]=$B$2)*(DESC_PROV[LISTA]=$C$2),DESC_PROV[DESCUENTO]),0)),
   ((B71*(1+IFERROR(VLOOKUP($D$2,COLORES[],2,FALSE),0)))+H71)
   *(1-IFERROR(_xlfn.XLOOKUP(1,(DESC_PROV[LINEA]=$B$2)*(DESC_PROV[LISTA]=$C$2),DESC_PROV[DESCUENTO]),0))
   *(1+VLOOKUP($C$2,LISTAS[],2,FALSE))
   *(1+VLOOKUP($C$2,LISTAS[],3,FALSE))
)
/5,0)*5,0)</f>
        <v>328650</v>
      </c>
      <c r="R71" s="126">
        <f t="array" ref="R71">IFERROR(
ROUND(
IF($A$2="COSTO",
   ((B71*(1+IFERROR(VLOOKUP($D$2,COLORES[],2,FALSE),0)))+(D71+I71+D71))
   *(1-IFERROR(_xlfn.XLOOKUP(1,(DESC_PROV[LINEA]=$B$2)*(DESC_PROV[LISTA]=$C$2),DESC_PROV[DESCUENTO]),0)),
   ((B71*(1+IFERROR(VLOOKUP($D$2,COLORES[],2,FALSE),0)))+(D71+I71+D71))
   *(1-IFERROR(_xlfn.XLOOKUP(1,(DESC_PROV[LINEA]=$B$2)*(DESC_PROV[LISTA]=$C$2),DESC_PROV[DESCUENTO]),0))
   *(1+VLOOKUP($C$2,LISTAS[],2,FALSE))
   *(1+VLOOKUP($C$2,LISTAS[],3,FALSE))
)
/5,0)*5,0)</f>
        <v>345145</v>
      </c>
    </row>
    <row r="72" spans="1:18">
      <c r="A72" s="133" t="s">
        <v>151</v>
      </c>
      <c r="B72" s="125">
        <v>163140</v>
      </c>
      <c r="C72" s="125">
        <v>22867</v>
      </c>
      <c r="D72" s="125">
        <v>27696</v>
      </c>
      <c r="E72" s="125">
        <v>36566</v>
      </c>
      <c r="F72" s="125">
        <v>78922</v>
      </c>
      <c r="G72" s="125">
        <v>30480</v>
      </c>
      <c r="H72" s="125">
        <v>118080</v>
      </c>
      <c r="I72" s="125">
        <v>68218</v>
      </c>
      <c r="J72" s="124"/>
      <c r="K72" s="133" t="s">
        <v>151</v>
      </c>
      <c r="L72" s="125">
        <f t="array" ref="L72">IFERROR(
ROUND(
IF($A$2="COSTO",
   ((B72*(1+IFERROR(VLOOKUP($D$2,COLORES[],2,FALSE),0)))+C72)
   *(1-IFERROR(_xlfn.XLOOKUP(1,(DESC_PROV[LINEA]=$B$2)*(DESC_PROV[LISTA]=$C$2),DESC_PROV[DESCUENTO]),0)),
   ((B72*(1+IFERROR(VLOOKUP($D$2,COLORES[],2,FALSE),0)))+C72)
   *(1-IFERROR(_xlfn.XLOOKUP(1,(DESC_PROV[LINEA]=$B$2)*(DESC_PROV[LISTA]=$C$2),DESC_PROV[DESCUENTO]),0))
   *(1+VLOOKUP($C$2,LISTAS[],2,FALSE))
   *(1+VLOOKUP($C$2,LISTAS[],3,FALSE))
)
/5,0)*5,0)</f>
        <v>238375</v>
      </c>
      <c r="M72" s="125">
        <f t="array" ref="M72">IFERROR(
ROUND(
IF($A$2="COSTO",
   ((B72*(1+IFERROR(VLOOKUP($D$2,COLORES[],2,FALSE),0)))+D72)
   *(1-IFERROR(_xlfn.XLOOKUP(1,(DESC_PROV[LINEA]=$B$2)*(DESC_PROV[LISTA]=$C$2),DESC_PROV[DESCUENTO]),0)),
   ((B72*(1+IFERROR(VLOOKUP($D$2,COLORES[],2,FALSE),0)))+D72)
   *(1-IFERROR(_xlfn.XLOOKUP(1,(DESC_PROV[LINEA]=$B$2)*(DESC_PROV[LISTA]=$C$2),DESC_PROV[DESCUENTO]),0))
   *(1+VLOOKUP($C$2,LISTAS[],2,FALSE))
   *(1+VLOOKUP($C$2,LISTAS[],3,FALSE))
)
/5,0)*5,0)</f>
        <v>244565</v>
      </c>
      <c r="N72" s="125">
        <f t="array" ref="N72">IFERROR(
ROUND(
IF($A$2="COSTO",
   ((B72*(1+IFERROR(VLOOKUP($D$2,COLORES[],2,FALSE),0)))+E72)
   *(1-IFERROR(_xlfn.XLOOKUP(1,(DESC_PROV[LINEA]=$B$2)*(DESC_PROV[LISTA]=$C$2),DESC_PROV[DESCUENTO]),0)),
   ((B72*(1+IFERROR(VLOOKUP($D$2,COLORES[],2,FALSE),0)))+E72)
   *(1-IFERROR(_xlfn.XLOOKUP(1,(DESC_PROV[LINEA]=$B$2)*(DESC_PROV[LISTA]=$C$2),DESC_PROV[DESCUENTO]),0))
   *(1+VLOOKUP($C$2,LISTAS[],2,FALSE))
   *(1+VLOOKUP($C$2,LISTAS[],3,FALSE))
)
/5,0)*5,0)</f>
        <v>255930</v>
      </c>
      <c r="O72" s="125">
        <f t="array" ref="O72">IFERROR(
ROUND(
IF($A$2="COSTO",
   ((B72*(1+IFERROR(VLOOKUP($D$2,COLORES[],2,FALSE),0)))+F72)
   *(1-IFERROR(_xlfn.XLOOKUP(1,(DESC_PROV[LINEA]=$B$2)*(DESC_PROV[LISTA]=$C$2),DESC_PROV[DESCUENTO]),0)),
   ((B72*(1+IFERROR(VLOOKUP($D$2,COLORES[],2,FALSE),0)))+F72)
   *(1-IFERROR(_xlfn.XLOOKUP(1,(DESC_PROV[LINEA]=$B$2)*(DESC_PROV[LISTA]=$C$2),DESC_PROV[DESCUENTO]),0))
   *(1+VLOOKUP($C$2,LISTAS[],2,FALSE))
   *(1+VLOOKUP($C$2,LISTAS[],3,FALSE))
)
/5,0)*5,0)</f>
        <v>310210</v>
      </c>
      <c r="P72" s="125">
        <f t="array" ref="P72">IFERROR(
ROUND(
IF($A$2="COSTO",
   ((B72*(1+IFERROR(VLOOKUP($D$2,COLORES[],2,FALSE),0)))+G72)
   *(1-IFERROR(_xlfn.XLOOKUP(1,(DESC_PROV[LINEA]=$B$2)*(DESC_PROV[LISTA]=$C$2),DESC_PROV[DESCUENTO]),0)),
   ((B72*(1+IFERROR(VLOOKUP($D$2,COLORES[],2,FALSE),0)))+G72)
   *(1-IFERROR(_xlfn.XLOOKUP(1,(DESC_PROV[LINEA]=$B$2)*(DESC_PROV[LISTA]=$C$2),DESC_PROV[DESCUENTO]),0))
   *(1+VLOOKUP($C$2,LISTAS[],2,FALSE))
   *(1+VLOOKUP($C$2,LISTAS[],3,FALSE))
)
/5,0)*5,0)</f>
        <v>248130</v>
      </c>
      <c r="Q72" s="125">
        <f t="array" ref="Q72">IFERROR(
ROUND(
IF($A$2="COSTO",
   ((B72*(1+IFERROR(VLOOKUP($D$2,COLORES[],2,FALSE),0)))+H72)
   *(1-IFERROR(_xlfn.XLOOKUP(1,(DESC_PROV[LINEA]=$B$2)*(DESC_PROV[LISTA]=$C$2),DESC_PROV[DESCUENTO]),0)),
   ((B72*(1+IFERROR(VLOOKUP($D$2,COLORES[],2,FALSE),0)))+H72)
   *(1-IFERROR(_xlfn.XLOOKUP(1,(DESC_PROV[LINEA]=$B$2)*(DESC_PROV[LISTA]=$C$2),DESC_PROV[DESCUENTO]),0))
   *(1+VLOOKUP($C$2,LISTAS[],2,FALSE))
   *(1+VLOOKUP($C$2,LISTAS[],3,FALSE))
)
/5,0)*5,0)</f>
        <v>360395</v>
      </c>
      <c r="R72" s="126">
        <f t="array" ref="R72">IFERROR(
ROUND(
IF($A$2="COSTO",
   ((B72*(1+IFERROR(VLOOKUP($D$2,COLORES[],2,FALSE),0)))+(D72+I72+D72))
   *(1-IFERROR(_xlfn.XLOOKUP(1,(DESC_PROV[LINEA]=$B$2)*(DESC_PROV[LISTA]=$C$2),DESC_PROV[DESCUENTO]),0)),
   ((B72*(1+IFERROR(VLOOKUP($D$2,COLORES[],2,FALSE),0)))+(D72+I72+D72))
   *(1-IFERROR(_xlfn.XLOOKUP(1,(DESC_PROV[LINEA]=$B$2)*(DESC_PROV[LISTA]=$C$2),DESC_PROV[DESCUENTO]),0))
   *(1+VLOOKUP($C$2,LISTAS[],2,FALSE))
   *(1+VLOOKUP($C$2,LISTAS[],3,FALSE))
)
/5,0)*5,0)</f>
        <v>367480</v>
      </c>
    </row>
    <row r="73" spans="1:18">
      <c r="A73" s="133" t="s">
        <v>152</v>
      </c>
      <c r="B73" s="125">
        <v>168292</v>
      </c>
      <c r="C73" s="125">
        <v>26678</v>
      </c>
      <c r="D73" s="125">
        <v>32314</v>
      </c>
      <c r="E73" s="125">
        <v>42662</v>
      </c>
      <c r="F73" s="125">
        <v>92074</v>
      </c>
      <c r="G73" s="125">
        <v>35558</v>
      </c>
      <c r="H73" s="125">
        <v>130499</v>
      </c>
      <c r="I73" s="125">
        <v>71318</v>
      </c>
      <c r="J73" s="124"/>
      <c r="K73" s="133" t="s">
        <v>152</v>
      </c>
      <c r="L73" s="125">
        <f t="array" ref="L73">IFERROR(
ROUND(
IF($A$2="COSTO",
   ((B73*(1+IFERROR(VLOOKUP($D$2,COLORES[],2,FALSE),0)))+C73)
   *(1-IFERROR(_xlfn.XLOOKUP(1,(DESC_PROV[LINEA]=$B$2)*(DESC_PROV[LISTA]=$C$2),DESC_PROV[DESCUENTO]),0)),
   ((B73*(1+IFERROR(VLOOKUP($D$2,COLORES[],2,FALSE),0)))+C73)
   *(1-IFERROR(_xlfn.XLOOKUP(1,(DESC_PROV[LINEA]=$B$2)*(DESC_PROV[LISTA]=$C$2),DESC_PROV[DESCUENTO]),0))
   *(1+VLOOKUP($C$2,LISTAS[],2,FALSE))
   *(1+VLOOKUP($C$2,LISTAS[],3,FALSE))
)
/5,0)*5,0)</f>
        <v>249860</v>
      </c>
      <c r="M73" s="125">
        <f t="array" ref="M73">IFERROR(
ROUND(
IF($A$2="COSTO",
   ((B73*(1+IFERROR(VLOOKUP($D$2,COLORES[],2,FALSE),0)))+D73)
   *(1-IFERROR(_xlfn.XLOOKUP(1,(DESC_PROV[LINEA]=$B$2)*(DESC_PROV[LISTA]=$C$2),DESC_PROV[DESCUENTO]),0)),
   ((B73*(1+IFERROR(VLOOKUP($D$2,COLORES[],2,FALSE),0)))+D73)
   *(1-IFERROR(_xlfn.XLOOKUP(1,(DESC_PROV[LINEA]=$B$2)*(DESC_PROV[LISTA]=$C$2),DESC_PROV[DESCUENTO]),0))
   *(1+VLOOKUP($C$2,LISTAS[],2,FALSE))
   *(1+VLOOKUP($C$2,LISTAS[],3,FALSE))
)
/5,0)*5,0)</f>
        <v>257085</v>
      </c>
      <c r="N73" s="125">
        <f t="array" ref="N73">IFERROR(
ROUND(
IF($A$2="COSTO",
   ((B73*(1+IFERROR(VLOOKUP($D$2,COLORES[],2,FALSE),0)))+E73)
   *(1-IFERROR(_xlfn.XLOOKUP(1,(DESC_PROV[LINEA]=$B$2)*(DESC_PROV[LISTA]=$C$2),DESC_PROV[DESCUENTO]),0)),
   ((B73*(1+IFERROR(VLOOKUP($D$2,COLORES[],2,FALSE),0)))+E73)
   *(1-IFERROR(_xlfn.XLOOKUP(1,(DESC_PROV[LINEA]=$B$2)*(DESC_PROV[LISTA]=$C$2),DESC_PROV[DESCUENTO]),0))
   *(1+VLOOKUP($C$2,LISTAS[],2,FALSE))
   *(1+VLOOKUP($C$2,LISTAS[],3,FALSE))
)
/5,0)*5,0)</f>
        <v>270345</v>
      </c>
      <c r="O73" s="125">
        <f t="array" ref="O73">IFERROR(
ROUND(
IF($A$2="COSTO",
   ((B73*(1+IFERROR(VLOOKUP($D$2,COLORES[],2,FALSE),0)))+F73)
   *(1-IFERROR(_xlfn.XLOOKUP(1,(DESC_PROV[LINEA]=$B$2)*(DESC_PROV[LISTA]=$C$2),DESC_PROV[DESCUENTO]),0)),
   ((B73*(1+IFERROR(VLOOKUP($D$2,COLORES[],2,FALSE),0)))+F73)
   *(1-IFERROR(_xlfn.XLOOKUP(1,(DESC_PROV[LINEA]=$B$2)*(DESC_PROV[LISTA]=$C$2),DESC_PROV[DESCUENTO]),0))
   *(1+VLOOKUP($C$2,LISTAS[],2,FALSE))
   *(1+VLOOKUP($C$2,LISTAS[],3,FALSE))
)
/5,0)*5,0)</f>
        <v>333670</v>
      </c>
      <c r="P73" s="125">
        <f t="array" ref="P73">IFERROR(
ROUND(
IF($A$2="COSTO",
   ((B73*(1+IFERROR(VLOOKUP($D$2,COLORES[],2,FALSE),0)))+G73)
   *(1-IFERROR(_xlfn.XLOOKUP(1,(DESC_PROV[LINEA]=$B$2)*(DESC_PROV[LISTA]=$C$2),DESC_PROV[DESCUENTO]),0)),
   ((B73*(1+IFERROR(VLOOKUP($D$2,COLORES[],2,FALSE),0)))+G73)
   *(1-IFERROR(_xlfn.XLOOKUP(1,(DESC_PROV[LINEA]=$B$2)*(DESC_PROV[LISTA]=$C$2),DESC_PROV[DESCUENTO]),0))
   *(1+VLOOKUP($C$2,LISTAS[],2,FALSE))
   *(1+VLOOKUP($C$2,LISTAS[],3,FALSE))
)
/5,0)*5,0)</f>
        <v>261240</v>
      </c>
      <c r="Q73" s="125">
        <f t="array" ref="Q73">IFERROR(
ROUND(
IF($A$2="COSTO",
   ((B73*(1+IFERROR(VLOOKUP($D$2,COLORES[],2,FALSE),0)))+H73)
   *(1-IFERROR(_xlfn.XLOOKUP(1,(DESC_PROV[LINEA]=$B$2)*(DESC_PROV[LISTA]=$C$2),DESC_PROV[DESCUENTO]),0)),
   ((B73*(1+IFERROR(VLOOKUP($D$2,COLORES[],2,FALSE),0)))+H73)
   *(1-IFERROR(_xlfn.XLOOKUP(1,(DESC_PROV[LINEA]=$B$2)*(DESC_PROV[LISTA]=$C$2),DESC_PROV[DESCUENTO]),0))
   *(1+VLOOKUP($C$2,LISTAS[],2,FALSE))
   *(1+VLOOKUP($C$2,LISTAS[],3,FALSE))
)
/5,0)*5,0)</f>
        <v>382915</v>
      </c>
      <c r="R73" s="126">
        <f t="array" ref="R73">IFERROR(
ROUND(
IF($A$2="COSTO",
   ((B73*(1+IFERROR(VLOOKUP($D$2,COLORES[],2,FALSE),0)))+(D73+I73+D73))
   *(1-IFERROR(_xlfn.XLOOKUP(1,(DESC_PROV[LINEA]=$B$2)*(DESC_PROV[LISTA]=$C$2),DESC_PROV[DESCUENTO]),0)),
   ((B73*(1+IFERROR(VLOOKUP($D$2,COLORES[],2,FALSE),0)))+(D73+I73+D73))
   *(1-IFERROR(_xlfn.XLOOKUP(1,(DESC_PROV[LINEA]=$B$2)*(DESC_PROV[LISTA]=$C$2),DESC_PROV[DESCUENTO]),0))
   *(1+VLOOKUP($C$2,LISTAS[],2,FALSE))
   *(1+VLOOKUP($C$2,LISTAS[],3,FALSE))
)
/5,0)*5,0)</f>
        <v>389895</v>
      </c>
    </row>
    <row r="74" spans="1:18">
      <c r="A74" s="133" t="s">
        <v>153</v>
      </c>
      <c r="B74" s="125">
        <v>173425</v>
      </c>
      <c r="C74" s="125">
        <v>30490</v>
      </c>
      <c r="D74" s="125">
        <v>36931</v>
      </c>
      <c r="E74" s="125">
        <v>48758</v>
      </c>
      <c r="F74" s="125">
        <v>105226</v>
      </c>
      <c r="G74" s="125">
        <v>40637</v>
      </c>
      <c r="H74" s="125">
        <v>142917</v>
      </c>
      <c r="I74" s="125">
        <v>74419</v>
      </c>
      <c r="J74" s="124"/>
      <c r="K74" s="133" t="s">
        <v>153</v>
      </c>
      <c r="L74" s="125">
        <f t="array" ref="L74">IFERROR(
ROUND(
IF($A$2="COSTO",
   ((B74*(1+IFERROR(VLOOKUP($D$2,COLORES[],2,FALSE),0)))+C74)
   *(1-IFERROR(_xlfn.XLOOKUP(1,(DESC_PROV[LINEA]=$B$2)*(DESC_PROV[LISTA]=$C$2),DESC_PROV[DESCUENTO]),0)),
   ((B74*(1+IFERROR(VLOOKUP($D$2,COLORES[],2,FALSE),0)))+C74)
   *(1-IFERROR(_xlfn.XLOOKUP(1,(DESC_PROV[LINEA]=$B$2)*(DESC_PROV[LISTA]=$C$2),DESC_PROV[DESCUENTO]),0))
   *(1+VLOOKUP($C$2,LISTAS[],2,FALSE))
   *(1+VLOOKUP($C$2,LISTAS[],3,FALSE))
)
/5,0)*5,0)</f>
        <v>261325</v>
      </c>
      <c r="M74" s="125">
        <f t="array" ref="M74">IFERROR(
ROUND(
IF($A$2="COSTO",
   ((B74*(1+IFERROR(VLOOKUP($D$2,COLORES[],2,FALSE),0)))+D74)
   *(1-IFERROR(_xlfn.XLOOKUP(1,(DESC_PROV[LINEA]=$B$2)*(DESC_PROV[LISTA]=$C$2),DESC_PROV[DESCUENTO]),0)),
   ((B74*(1+IFERROR(VLOOKUP($D$2,COLORES[],2,FALSE),0)))+D74)
   *(1-IFERROR(_xlfn.XLOOKUP(1,(DESC_PROV[LINEA]=$B$2)*(DESC_PROV[LISTA]=$C$2),DESC_PROV[DESCUENTO]),0))
   *(1+VLOOKUP($C$2,LISTAS[],2,FALSE))
   *(1+VLOOKUP($C$2,LISTAS[],3,FALSE))
)
/5,0)*5,0)</f>
        <v>269580</v>
      </c>
      <c r="N74" s="125">
        <f t="array" ref="N74">IFERROR(
ROUND(
IF($A$2="COSTO",
   ((B74*(1+IFERROR(VLOOKUP($D$2,COLORES[],2,FALSE),0)))+E74)
   *(1-IFERROR(_xlfn.XLOOKUP(1,(DESC_PROV[LINEA]=$B$2)*(DESC_PROV[LISTA]=$C$2),DESC_PROV[DESCUENTO]),0)),
   ((B74*(1+IFERROR(VLOOKUP($D$2,COLORES[],2,FALSE),0)))+E74)
   *(1-IFERROR(_xlfn.XLOOKUP(1,(DESC_PROV[LINEA]=$B$2)*(DESC_PROV[LISTA]=$C$2),DESC_PROV[DESCUENTO]),0))
   *(1+VLOOKUP($C$2,LISTAS[],2,FALSE))
   *(1+VLOOKUP($C$2,LISTAS[],3,FALSE))
)
/5,0)*5,0)</f>
        <v>284735</v>
      </c>
      <c r="O74" s="125">
        <f t="array" ref="O74">IFERROR(
ROUND(
IF($A$2="COSTO",
   ((B74*(1+IFERROR(VLOOKUP($D$2,COLORES[],2,FALSE),0)))+F74)
   *(1-IFERROR(_xlfn.XLOOKUP(1,(DESC_PROV[LINEA]=$B$2)*(DESC_PROV[LISTA]=$C$2),DESC_PROV[DESCUENTO]),0)),
   ((B74*(1+IFERROR(VLOOKUP($D$2,COLORES[],2,FALSE),0)))+F74)
   *(1-IFERROR(_xlfn.XLOOKUP(1,(DESC_PROV[LINEA]=$B$2)*(DESC_PROV[LISTA]=$C$2),DESC_PROV[DESCUENTO]),0))
   *(1+VLOOKUP($C$2,LISTAS[],2,FALSE))
   *(1+VLOOKUP($C$2,LISTAS[],3,FALSE))
)
/5,0)*5,0)</f>
        <v>357100</v>
      </c>
      <c r="P74" s="125">
        <f t="array" ref="P74">IFERROR(
ROUND(
IF($A$2="COSTO",
   ((B74*(1+IFERROR(VLOOKUP($D$2,COLORES[],2,FALSE),0)))+G74)
   *(1-IFERROR(_xlfn.XLOOKUP(1,(DESC_PROV[LINEA]=$B$2)*(DESC_PROV[LISTA]=$C$2),DESC_PROV[DESCUENTO]),0)),
   ((B74*(1+IFERROR(VLOOKUP($D$2,COLORES[],2,FALSE),0)))+G74)
   *(1-IFERROR(_xlfn.XLOOKUP(1,(DESC_PROV[LINEA]=$B$2)*(DESC_PROV[LISTA]=$C$2),DESC_PROV[DESCUENTO]),0))
   *(1+VLOOKUP($C$2,LISTAS[],2,FALSE))
   *(1+VLOOKUP($C$2,LISTAS[],3,FALSE))
)
/5,0)*5,0)</f>
        <v>274330</v>
      </c>
      <c r="Q74" s="125">
        <f t="array" ref="Q74">IFERROR(
ROUND(
IF($A$2="COSTO",
   ((B74*(1+IFERROR(VLOOKUP($D$2,COLORES[],2,FALSE),0)))+H74)
   *(1-IFERROR(_xlfn.XLOOKUP(1,(DESC_PROV[LINEA]=$B$2)*(DESC_PROV[LISTA]=$C$2),DESC_PROV[DESCUENTO]),0)),
   ((B74*(1+IFERROR(VLOOKUP($D$2,COLORES[],2,FALSE),0)))+H74)
   *(1-IFERROR(_xlfn.XLOOKUP(1,(DESC_PROV[LINEA]=$B$2)*(DESC_PROV[LISTA]=$C$2),DESC_PROV[DESCUENTO]),0))
   *(1+VLOOKUP($C$2,LISTAS[],2,FALSE))
   *(1+VLOOKUP($C$2,LISTAS[],3,FALSE))
)
/5,0)*5,0)</f>
        <v>405405</v>
      </c>
      <c r="R74" s="126">
        <f t="array" ref="R74">IFERROR(
ROUND(
IF($A$2="COSTO",
   ((B74*(1+IFERROR(VLOOKUP($D$2,COLORES[],2,FALSE),0)))+(D74+I74+D74))
   *(1-IFERROR(_xlfn.XLOOKUP(1,(DESC_PROV[LINEA]=$B$2)*(DESC_PROV[LISTA]=$C$2),DESC_PROV[DESCUENTO]),0)),
   ((B74*(1+IFERROR(VLOOKUP($D$2,COLORES[],2,FALSE),0)))+(D74+I74+D74))
   *(1-IFERROR(_xlfn.XLOOKUP(1,(DESC_PROV[LINEA]=$B$2)*(DESC_PROV[LISTA]=$C$2),DESC_PROV[DESCUENTO]),0))
   *(1+VLOOKUP($C$2,LISTAS[],2,FALSE))
   *(1+VLOOKUP($C$2,LISTAS[],3,FALSE))
)
/5,0)*5,0)</f>
        <v>412280</v>
      </c>
    </row>
    <row r="75" spans="1:18" ht="14.65" thickBot="1">
      <c r="A75" s="134" t="s">
        <v>114</v>
      </c>
      <c r="B75" s="125">
        <v>178550</v>
      </c>
      <c r="C75" s="125">
        <v>34301</v>
      </c>
      <c r="D75" s="125">
        <v>41549</v>
      </c>
      <c r="E75" s="125">
        <v>54854</v>
      </c>
      <c r="F75" s="125">
        <v>118378</v>
      </c>
      <c r="G75" s="125">
        <v>45715</v>
      </c>
      <c r="H75" s="125">
        <v>162593</v>
      </c>
      <c r="I75" s="125">
        <v>77520</v>
      </c>
      <c r="J75" s="124"/>
      <c r="K75" s="134" t="s">
        <v>114</v>
      </c>
      <c r="L75" s="125">
        <f t="array" ref="L75">IFERROR(
ROUND(
IF($A$2="COSTO",
   ((B75*(1+IFERROR(VLOOKUP($D$2,COLORES[],2,FALSE),0)))+C75)
   *(1-IFERROR(_xlfn.XLOOKUP(1,(DESC_PROV[LINEA]=$B$2)*(DESC_PROV[LISTA]=$C$2),DESC_PROV[DESCUENTO]),0)),
   ((B75*(1+IFERROR(VLOOKUP($D$2,COLORES[],2,FALSE),0)))+C75)
   *(1-IFERROR(_xlfn.XLOOKUP(1,(DESC_PROV[LINEA]=$B$2)*(DESC_PROV[LISTA]=$C$2),DESC_PROV[DESCUENTO]),0))
   *(1+VLOOKUP($C$2,LISTAS[],2,FALSE))
   *(1+VLOOKUP($C$2,LISTAS[],3,FALSE))
)
/5,0)*5,0)</f>
        <v>272775</v>
      </c>
      <c r="M75" s="125">
        <f t="array" ref="M75">IFERROR(
ROUND(
IF($A$2="COSTO",
   ((B75*(1+IFERROR(VLOOKUP($D$2,COLORES[],2,FALSE),0)))+D75)
   *(1-IFERROR(_xlfn.XLOOKUP(1,(DESC_PROV[LINEA]=$B$2)*(DESC_PROV[LISTA]=$C$2),DESC_PROV[DESCUENTO]),0)),
   ((B75*(1+IFERROR(VLOOKUP($D$2,COLORES[],2,FALSE),0)))+D75)
   *(1-IFERROR(_xlfn.XLOOKUP(1,(DESC_PROV[LINEA]=$B$2)*(DESC_PROV[LISTA]=$C$2),DESC_PROV[DESCUENTO]),0))
   *(1+VLOOKUP($C$2,LISTAS[],2,FALSE))
   *(1+VLOOKUP($C$2,LISTAS[],3,FALSE))
)
/5,0)*5,0)</f>
        <v>282065</v>
      </c>
      <c r="N75" s="125">
        <f t="array" ref="N75">IFERROR(
ROUND(
IF($A$2="COSTO",
   ((B75*(1+IFERROR(VLOOKUP($D$2,COLORES[],2,FALSE),0)))+E75)
   *(1-IFERROR(_xlfn.XLOOKUP(1,(DESC_PROV[LINEA]=$B$2)*(DESC_PROV[LISTA]=$C$2),DESC_PROV[DESCUENTO]),0)),
   ((B75*(1+IFERROR(VLOOKUP($D$2,COLORES[],2,FALSE),0)))+E75)
   *(1-IFERROR(_xlfn.XLOOKUP(1,(DESC_PROV[LINEA]=$B$2)*(DESC_PROV[LISTA]=$C$2),DESC_PROV[DESCUENTO]),0))
   *(1+VLOOKUP($C$2,LISTAS[],2,FALSE))
   *(1+VLOOKUP($C$2,LISTAS[],3,FALSE))
)
/5,0)*5,0)</f>
        <v>299115</v>
      </c>
      <c r="O75" s="125">
        <f t="array" ref="O75">IFERROR(
ROUND(
IF($A$2="COSTO",
   ((B75*(1+IFERROR(VLOOKUP($D$2,COLORES[],2,FALSE),0)))+F75)
   *(1-IFERROR(_xlfn.XLOOKUP(1,(DESC_PROV[LINEA]=$B$2)*(DESC_PROV[LISTA]=$C$2),DESC_PROV[DESCUENTO]),0)),
   ((B75*(1+IFERROR(VLOOKUP($D$2,COLORES[],2,FALSE),0)))+F75)
   *(1-IFERROR(_xlfn.XLOOKUP(1,(DESC_PROV[LINEA]=$B$2)*(DESC_PROV[LISTA]=$C$2),DESC_PROV[DESCUENTO]),0))
   *(1+VLOOKUP($C$2,LISTAS[],2,FALSE))
   *(1+VLOOKUP($C$2,LISTAS[],3,FALSE))
)
/5,0)*5,0)</f>
        <v>380525</v>
      </c>
      <c r="P75" s="125">
        <f t="array" ref="P75">IFERROR(
ROUND(
IF($A$2="COSTO",
   ((B75*(1+IFERROR(VLOOKUP($D$2,COLORES[],2,FALSE),0)))+G75)
   *(1-IFERROR(_xlfn.XLOOKUP(1,(DESC_PROV[LINEA]=$B$2)*(DESC_PROV[LISTA]=$C$2),DESC_PROV[DESCUENTO]),0)),
   ((B75*(1+IFERROR(VLOOKUP($D$2,COLORES[],2,FALSE),0)))+G75)
   *(1-IFERROR(_xlfn.XLOOKUP(1,(DESC_PROV[LINEA]=$B$2)*(DESC_PROV[LISTA]=$C$2),DESC_PROV[DESCUENTO]),0))
   *(1+VLOOKUP($C$2,LISTAS[],2,FALSE))
   *(1+VLOOKUP($C$2,LISTAS[],3,FALSE))
)
/5,0)*5,0)</f>
        <v>287405</v>
      </c>
      <c r="Q75" s="125">
        <f t="array" ref="Q75">IFERROR(
ROUND(
IF($A$2="COSTO",
   ((B75*(1+IFERROR(VLOOKUP($D$2,COLORES[],2,FALSE),0)))+H75)
   *(1-IFERROR(_xlfn.XLOOKUP(1,(DESC_PROV[LINEA]=$B$2)*(DESC_PROV[LISTA]=$C$2),DESC_PROV[DESCUENTO]),0)),
   ((B75*(1+IFERROR(VLOOKUP($D$2,COLORES[],2,FALSE),0)))+H75)
   *(1-IFERROR(_xlfn.XLOOKUP(1,(DESC_PROV[LINEA]=$B$2)*(DESC_PROV[LISTA]=$C$2),DESC_PROV[DESCUENTO]),0))
   *(1+VLOOKUP($C$2,LISTAS[],2,FALSE))
   *(1+VLOOKUP($C$2,LISTAS[],3,FALSE))
)
/5,0)*5,0)</f>
        <v>437190</v>
      </c>
      <c r="R75" s="126">
        <f t="array" ref="R75">IFERROR(
ROUND(
IF($A$2="COSTO",
   ((B75*(1+IFERROR(VLOOKUP($D$2,COLORES[],2,FALSE),0)))+(D75+I75+D75))
   *(1-IFERROR(_xlfn.XLOOKUP(1,(DESC_PROV[LINEA]=$B$2)*(DESC_PROV[LISTA]=$C$2),DESC_PROV[DESCUENTO]),0)),
   ((B75*(1+IFERROR(VLOOKUP($D$2,COLORES[],2,FALSE),0)))+(D75+I75+D75))
   *(1-IFERROR(_xlfn.XLOOKUP(1,(DESC_PROV[LINEA]=$B$2)*(DESC_PROV[LISTA]=$C$2),DESC_PROV[DESCUENTO]),0))
   *(1+VLOOKUP($C$2,LISTAS[],2,FALSE))
   *(1+VLOOKUP($C$2,LISTAS[],3,FALSE))
)
/5,0)*5,0)</f>
        <v>434655</v>
      </c>
    </row>
  </sheetData>
  <mergeCells count="2">
    <mergeCell ref="A5:I5"/>
    <mergeCell ref="K5:R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FF0000"/>
  </sheetPr>
  <dimension ref="A1:R30"/>
  <sheetViews>
    <sheetView zoomScaleNormal="100" workbookViewId="0">
      <selection activeCell="L27" sqref="L27:L29"/>
    </sheetView>
  </sheetViews>
  <sheetFormatPr baseColWidth="10" defaultRowHeight="14.25"/>
  <cols>
    <col min="1" max="1" width="17.1328125" customWidth="1"/>
    <col min="2" max="2" width="12.73046875" customWidth="1"/>
    <col min="3" max="5" width="8.73046875"/>
    <col min="6" max="6" width="12.1328125" customWidth="1"/>
    <col min="7" max="7" width="14.73046875" customWidth="1"/>
    <col min="8" max="8" width="11.265625" customWidth="1"/>
    <col min="9" max="9" width="14" customWidth="1"/>
    <col min="10" max="10" width="8.73046875"/>
    <col min="11" max="11" width="17.1328125" customWidth="1"/>
    <col min="12" max="12" width="10.73046875" bestFit="1" customWidth="1"/>
    <col min="13" max="14" width="8.73046875"/>
    <col min="15" max="15" width="12.1328125" customWidth="1"/>
    <col min="16" max="16" width="14.73046875" customWidth="1"/>
    <col min="17" max="17" width="11.265625" customWidth="1"/>
    <col min="18" max="18" width="14" customWidth="1"/>
  </cols>
  <sheetData>
    <row r="1" spans="1:18">
      <c r="A1" s="254" t="s">
        <v>34</v>
      </c>
      <c r="B1" s="255" t="s">
        <v>395</v>
      </c>
      <c r="C1" s="255" t="s">
        <v>396</v>
      </c>
      <c r="D1" s="256" t="s">
        <v>28</v>
      </c>
      <c r="E1" s="256" t="s">
        <v>403</v>
      </c>
    </row>
    <row r="2" spans="1:18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  <c r="E2" s="257">
        <v>0.8</v>
      </c>
    </row>
    <row r="4" spans="1:18" ht="14.65" thickBot="1"/>
    <row r="5" spans="1:18" ht="25.9" thickBot="1">
      <c r="A5" s="276" t="s">
        <v>262</v>
      </c>
      <c r="B5" s="277"/>
      <c r="C5" s="277"/>
      <c r="D5" s="277"/>
      <c r="E5" s="277"/>
      <c r="F5" s="277"/>
      <c r="G5" s="277"/>
      <c r="H5" s="277"/>
      <c r="I5" s="278"/>
      <c r="J5" s="2"/>
      <c r="K5" s="276" t="s">
        <v>262</v>
      </c>
      <c r="L5" s="277"/>
      <c r="M5" s="277"/>
      <c r="N5" s="277"/>
      <c r="O5" s="277"/>
      <c r="P5" s="277"/>
      <c r="Q5" s="277"/>
      <c r="R5" s="278"/>
    </row>
    <row r="6" spans="1:18" ht="16.899999999999999">
      <c r="A6" s="258"/>
      <c r="B6" s="16" t="s">
        <v>196</v>
      </c>
      <c r="C6" s="16" t="s">
        <v>263</v>
      </c>
      <c r="D6" s="16" t="s">
        <v>264</v>
      </c>
      <c r="E6" s="16" t="s">
        <v>265</v>
      </c>
      <c r="F6" s="16" t="s">
        <v>200</v>
      </c>
      <c r="G6" s="16" t="s">
        <v>201</v>
      </c>
      <c r="H6" s="16" t="s">
        <v>259</v>
      </c>
      <c r="I6" s="17" t="s">
        <v>253</v>
      </c>
      <c r="J6" s="2"/>
      <c r="K6" s="258"/>
      <c r="L6" s="16" t="s">
        <v>263</v>
      </c>
      <c r="M6" s="16" t="s">
        <v>264</v>
      </c>
      <c r="N6" s="16" t="s">
        <v>265</v>
      </c>
      <c r="O6" s="16" t="s">
        <v>200</v>
      </c>
      <c r="P6" s="16" t="s">
        <v>201</v>
      </c>
      <c r="Q6" s="16" t="s">
        <v>259</v>
      </c>
      <c r="R6" s="17" t="s">
        <v>253</v>
      </c>
    </row>
    <row r="7" spans="1:18" ht="16.899999999999999">
      <c r="A7" s="259" t="s">
        <v>203</v>
      </c>
      <c r="B7" s="64">
        <v>262845</v>
      </c>
      <c r="C7" s="64">
        <v>0</v>
      </c>
      <c r="D7" s="64">
        <v>25839</v>
      </c>
      <c r="E7" s="64">
        <v>34030</v>
      </c>
      <c r="F7" s="64">
        <v>28439</v>
      </c>
      <c r="G7" s="64">
        <v>73636</v>
      </c>
      <c r="H7" s="64">
        <v>110191</v>
      </c>
      <c r="I7" s="64">
        <v>70560</v>
      </c>
      <c r="J7" s="2"/>
      <c r="K7" s="259" t="s">
        <v>203</v>
      </c>
      <c r="L7" s="65" t="s">
        <v>204</v>
      </c>
      <c r="M7" s="65">
        <f>IFERROR(
ROUND(
IF($A$2="COSTO",
   ((B7*(1+IFERROR(VLOOKUP($D$2,COLORES[],2,FALSE),0)) + D7)
   *IF($E$2=0.8,1,IF($E$2=0.7,1-7%,1+10%)))
   *(1-SUMPRODUCT(
        (DESC_PROV[LINEA]=$B$2)*
        (DESC_PROV[LISTA]=$C$2)*
        (DESC_PROV[DESCUENTO])
   )),
   ((B7*(1+IFERROR(VLOOKUP($D$2,COLORES[],2,FALSE),0)) + D7)
   *IF($E$2=0.8,1,IF($E$2=0.7,1-7%,1+10%)))
   *(1-SUMPRODUCT(
        (DESC_PROV[LINEA]=$B$2)*
        (DESC_PROV[LISTA]=$C$2)*
        (DESC_PROV[DESCUENTO])
   ))
   *(1+VLOOKUP($C$2,LISTAS[],2,FALSE))
   *(1+VLOOKUP($C$2,LISTAS[],3,FALSE))
)
/5,0)*5,0)</f>
        <v>369960</v>
      </c>
      <c r="N7" s="65">
        <f>IFERROR(
ROUND(
IF($A$2="COSTO",
   ((B7*(1+IFERROR(VLOOKUP($D$2,COLORES[],2,FALSE),0)) + E7)
   *IF($E$2=0.8,1,IF($E$2=0.7,1-7%,1+10%)))
   *(1-SUMPRODUCT(
        (DESC_PROV[LINEA]=$B$2)*
        (DESC_PROV[LISTA]=$C$2)*
        (DESC_PROV[DESCUENTO])
   )),
   ((B7*(1+IFERROR(VLOOKUP($D$2,COLORES[],2,FALSE),0)) + E7)
   *IF($E$2=0.8,1,IF($E$2=0.7,1-7%,1+10%)))
   *(1-SUMPRODUCT(
        (DESC_PROV[LINEA]=$B$2)*
        (DESC_PROV[LISTA]=$C$2)*
        (DESC_PROV[DESCUENTO])
   ))
   *(1+VLOOKUP($C$2,LISTAS[],2,FALSE))
   *(1+VLOOKUP($C$2,LISTAS[],3,FALSE))
)
/5,0)*5,0)</f>
        <v>380455</v>
      </c>
      <c r="O7" s="65">
        <f>IFERROR(
ROUND(
IF($A$2="COSTO",
   ((B7*(1+IFERROR(VLOOKUP($D$2,COLORES[],2,FALSE),0)) + F7)
   *IF($E$2=0.8,1,IF($E$2=0.7,1-7%,1+10%)))
   *(1-SUMPRODUCT(
        (DESC_PROV[LINEA]=$B$2)*
        (DESC_PROV[LISTA]=$C$2)*
        (DESC_PROV[DESCUENTO])
   )),
   ((B7*(1+IFERROR(VLOOKUP($D$2,COLORES[],2,FALSE),0)) + F7)
   *IF($E$2=0.8,1,IF($E$2=0.7,1-7%,1+10%)))
   *(1-SUMPRODUCT(
        (DESC_PROV[LINEA]=$B$2)*
        (DESC_PROV[LISTA]=$C$2)*
        (DESC_PROV[DESCUENTO])
   ))
   *(1+VLOOKUP($C$2,LISTAS[],2,FALSE))
   *(1+VLOOKUP($C$2,LISTAS[],3,FALSE))
)
/5,0)*5,0)</f>
        <v>373290</v>
      </c>
      <c r="P7" s="65">
        <f>IFERROR(
ROUND(
IF($A$2="COSTO",
   ((B7*(1+IFERROR(VLOOKUP($D$2,COLORES[],2,FALSE),0)) + G7)
   *IF($E$2=0.8,1,IF($E$2=0.7,1-7%,1+10%)))
   *(1-SUMPRODUCT(
        (DESC_PROV[LINEA]=$B$2)*
        (DESC_PROV[LISTA]=$C$2)*
        (DESC_PROV[DESCUENTO])
   )),
   ((B7*(1+IFERROR(VLOOKUP($D$2,COLORES[],2,FALSE),0)) + G7)
   *IF($E$2=0.8,1,IF($E$2=0.7,1-7%,1+10%)))
   *(1-SUMPRODUCT(
        (DESC_PROV[LINEA]=$B$2)*
        (DESC_PROV[LISTA]=$C$2)*
        (DESC_PROV[DESCUENTO])
   ))
   *(1+VLOOKUP($C$2,LISTAS[],2,FALSE))
   *(1+VLOOKUP($C$2,LISTAS[],3,FALSE))
)
/5,0)*5,0)</f>
        <v>431215</v>
      </c>
      <c r="Q7" s="65">
        <f>IFERROR(
ROUND(
IF($A$2="COSTO",
   ((B7*(1+IFERROR(VLOOKUP($D$2,COLORES[],2,FALSE),0)) + H7)
   *IF($E$2=0.8,1,IF($E$2=0.7,1-7%,1+10%)))
   *(1-SUMPRODUCT(
        (DESC_PROV[LINEA]=$B$2)*
        (DESC_PROV[LISTA]=$C$2)*
        (DESC_PROV[DESCUENTO])
   )),
   ((B7*(1+IFERROR(VLOOKUP($D$2,COLORES[],2,FALSE),0)) + H7)
   *IF($E$2=0.8,1,IF($E$2=0.7,1-7%,1+10%)))
   *(1-SUMPRODUCT(
        (DESC_PROV[LINEA]=$B$2)*
        (DESC_PROV[LISTA]=$C$2)*
        (DESC_PROV[DESCUENTO])
   ))
   *(1+VLOOKUP($C$2,LISTAS[],2,FALSE))
   *(1+VLOOKUP($C$2,LISTAS[],3,FALSE))
)
/5,0)*5,0)</f>
        <v>478060</v>
      </c>
      <c r="R7" s="65">
        <f>IFERROR(
ROUND(
IF($A$2="COSTO",
   ((B7*(1+IFERROR(VLOOKUP($D$2,COLORES[],2,FALSE),0)) + D7 + I7 + D7)
   *IF($E$2=0.8,1,IF($E$2=0.7,1-7%,1+10%)))
   *(1-SUMPRODUCT(
        (DESC_PROV[LINEA]=$B$2)*
        (DESC_PROV[LISTA]=$C$2)*
        (DESC_PROV[DESCUENTO])
   )),
   ((B7*(1+IFERROR(VLOOKUP($D$2,COLORES[],2,FALSE),0)) + D7 + I7 + D7)
   *IF($E$2=0.8,1,IF($E$2=0.7,1-7%,1+10%)))
   *(1-SUMPRODUCT(
        (DESC_PROV[LINEA]=$B$2)*
        (DESC_PROV[LISTA]=$C$2)*
        (DESC_PROV[DESCUENTO])
   ))
   *(1+VLOOKUP($C$2,LISTAS[],2,FALSE))
   *(1+VLOOKUP($C$2,LISTAS[],3,FALSE))
)
/5,0)*5,0)</f>
        <v>493500</v>
      </c>
    </row>
    <row r="8" spans="1:18" ht="16.899999999999999">
      <c r="A8" s="259" t="s">
        <v>205</v>
      </c>
      <c r="B8" s="64">
        <v>290723</v>
      </c>
      <c r="C8" s="64">
        <v>0</v>
      </c>
      <c r="D8" s="64">
        <v>25839</v>
      </c>
      <c r="E8" s="64"/>
      <c r="F8" s="64">
        <v>28439</v>
      </c>
      <c r="G8" s="64">
        <v>73636</v>
      </c>
      <c r="H8" s="64">
        <v>0</v>
      </c>
      <c r="I8" s="64">
        <v>0</v>
      </c>
      <c r="J8" s="2"/>
      <c r="K8" s="259" t="s">
        <v>205</v>
      </c>
      <c r="L8" s="65" t="s">
        <v>204</v>
      </c>
      <c r="M8" s="65">
        <f>IFERROR(
ROUND(
IF($A$2="COSTO",
   ((B8*(1+IFERROR(VLOOKUP($D$2,COLORES[],2,FALSE),0)) + D8)
   *IF($E$2=0.8,1,IF($E$2=0.7,1-7%,1+10%)))
   *(1-SUMPRODUCT(
        (DESC_PROV[LINEA]=$B$2)*
        (DESC_PROV[LISTA]=$C$2)*
        (DESC_PROV[DESCUENTO])
   )),
   ((B8*(1+IFERROR(VLOOKUP($D$2,COLORES[],2,FALSE),0)) + D8)
   *IF($E$2=0.8,1,IF($E$2=0.7,1-7%,1+10%)))
   *(1-SUMPRODUCT(
        (DESC_PROV[LINEA]=$B$2)*
        (DESC_PROV[LISTA]=$C$2)*
        (DESC_PROV[DESCUENTO])
   ))
   *(1+VLOOKUP($C$2,LISTAS[],2,FALSE))
   *(1+VLOOKUP($C$2,LISTAS[],3,FALSE))
)
/5,0)*5,0)</f>
        <v>405685</v>
      </c>
      <c r="N8" s="65">
        <f>IFERROR(
ROUND(
IF($A$2="COSTO",
   ((B8*(1+IFERROR(VLOOKUP($D$2,COLORES[],2,FALSE),0)) + E8)
   *IF($E$2=0.8,1,IF($E$2=0.7,1-7%,1+10%)))
   *(1-SUMPRODUCT(
        (DESC_PROV[LINEA]=$B$2)*
        (DESC_PROV[LISTA]=$C$2)*
        (DESC_PROV[DESCUENTO])
   )),
   ((B8*(1+IFERROR(VLOOKUP($D$2,COLORES[],2,FALSE),0)) + E8)
   *IF($E$2=0.8,1,IF($E$2=0.7,1-7%,1+10%)))
   *(1-SUMPRODUCT(
        (DESC_PROV[LINEA]=$B$2)*
        (DESC_PROV[LISTA]=$C$2)*
        (DESC_PROV[DESCUENTO])
   ))
   *(1+VLOOKUP($C$2,LISTAS[],2,FALSE))
   *(1+VLOOKUP($C$2,LISTAS[],3,FALSE))
)
/5,0)*5,0)</f>
        <v>372575</v>
      </c>
      <c r="O8" s="65">
        <f>IFERROR(
ROUND(
IF($A$2="COSTO",
   ((B8*(1+IFERROR(VLOOKUP($D$2,COLORES[],2,FALSE),0)) + F8)
   *IF($E$2=0.8,1,IF($E$2=0.7,1-7%,1+10%)))
   *(1-SUMPRODUCT(
        (DESC_PROV[LINEA]=$B$2)*
        (DESC_PROV[LISTA]=$C$2)*
        (DESC_PROV[DESCUENTO])
   )),
   ((B8*(1+IFERROR(VLOOKUP($D$2,COLORES[],2,FALSE),0)) + F8)
   *IF($E$2=0.8,1,IF($E$2=0.7,1-7%,1+10%)))
   *(1-SUMPRODUCT(
        (DESC_PROV[LINEA]=$B$2)*
        (DESC_PROV[LISTA]=$C$2)*
        (DESC_PROV[DESCUENTO])
   ))
   *(1+VLOOKUP($C$2,LISTAS[],2,FALSE))
   *(1+VLOOKUP($C$2,LISTAS[],3,FALSE))
)
/5,0)*5,0)</f>
        <v>409020</v>
      </c>
      <c r="P8" s="65">
        <f>IFERROR(
ROUND(
IF($A$2="COSTO",
   ((B8*(1+IFERROR(VLOOKUP($D$2,COLORES[],2,FALSE),0)) + G8)
   *IF($E$2=0.8,1,IF($E$2=0.7,1-7%,1+10%)))
   *(1-SUMPRODUCT(
        (DESC_PROV[LINEA]=$B$2)*
        (DESC_PROV[LISTA]=$C$2)*
        (DESC_PROV[DESCUENTO])
   )),
   ((B8*(1+IFERROR(VLOOKUP($D$2,COLORES[],2,FALSE),0)) + G8)
   *IF($E$2=0.8,1,IF($E$2=0.7,1-7%,1+10%)))
   *(1-SUMPRODUCT(
        (DESC_PROV[LINEA]=$B$2)*
        (DESC_PROV[LISTA]=$C$2)*
        (DESC_PROV[DESCUENTO])
   ))
   *(1+VLOOKUP($C$2,LISTAS[],2,FALSE))
   *(1+VLOOKUP($C$2,LISTAS[],3,FALSE))
)
/5,0)*5,0)</f>
        <v>466940</v>
      </c>
      <c r="Q8" s="65" t="s">
        <v>204</v>
      </c>
      <c r="R8" s="65" t="s">
        <v>204</v>
      </c>
    </row>
    <row r="9" spans="1:18" ht="16.899999999999999">
      <c r="A9" s="259" t="s">
        <v>206</v>
      </c>
      <c r="B9" s="64">
        <v>272881</v>
      </c>
      <c r="C9" s="64">
        <v>20196</v>
      </c>
      <c r="D9" s="64">
        <v>24486</v>
      </c>
      <c r="E9" s="64">
        <v>32234</v>
      </c>
      <c r="F9" s="64">
        <v>26941</v>
      </c>
      <c r="G9" s="64">
        <v>69762</v>
      </c>
      <c r="H9" s="64">
        <v>104386</v>
      </c>
      <c r="I9" s="64">
        <v>90720</v>
      </c>
      <c r="J9" s="2"/>
      <c r="K9" s="259" t="s">
        <v>206</v>
      </c>
      <c r="L9" s="65">
        <f>IFERROR(
ROUND(
IF($A$2="COSTO",
   ((B9*(1+IFERROR(VLOOKUP($D$2,COLORES[],2,FALSE),0)) + E9)
   *IF($E$2=0.8,1,IF($E$2=0.7,1-7%,1+10%)))
   *(1-SUMPRODUCT(
        (DESC_PROV[LINEA]=$B$2)*
        (DESC_PROV[LISTA]=$C$2)*
        (DESC_PROV[DESCUENTO])
   )),
   ((B9*(1+IFERROR(VLOOKUP($D$2,COLORES[],2,FALSE),0)) + E9)
   *IF($E$2=0.8,1,IF($E$2=0.7,1-7%,1+10%)))
   *(1-SUMPRODUCT(
        (DESC_PROV[LINEA]=$B$2)*
        (DESC_PROV[LISTA]=$C$2)*
        (DESC_PROV[DESCUENTO])
   ))
   *(1+VLOOKUP($C$2,LISTAS[],2,FALSE))
   *(1+VLOOKUP($C$2,LISTAS[],3,FALSE))
)
/5,0)*5,0)</f>
        <v>391015</v>
      </c>
      <c r="M9" s="65">
        <f>IFERROR(
ROUND(
IF($A$2="COSTO",
   ((B9*(1+IFERROR(VLOOKUP($D$2,COLORES[],2,FALSE),0)) + D9)
   *IF($E$2=0.8,1,IF($E$2=0.7,1-7%,1+10%)))
   *(1-SUMPRODUCT(
        (DESC_PROV[LINEA]=$B$2)*
        (DESC_PROV[LISTA]=$C$2)*
        (DESC_PROV[DESCUENTO])
   )),
   ((B9*(1+IFERROR(VLOOKUP($D$2,COLORES[],2,FALSE),0)) + D9)
   *IF($E$2=0.8,1,IF($E$2=0.7,1-7%,1+10%)))
   *(1-SUMPRODUCT(
        (DESC_PROV[LINEA]=$B$2)*
        (DESC_PROV[LISTA]=$C$2)*
        (DESC_PROV[DESCUENTO])
   ))
   *(1+VLOOKUP($C$2,LISTAS[],2,FALSE))
   *(1+VLOOKUP($C$2,LISTAS[],3,FALSE))
)
/5,0)*5,0)</f>
        <v>381090</v>
      </c>
      <c r="N9" s="65">
        <f>IFERROR(
ROUND(
IF($A$2="COSTO",
   ((B9*(1+IFERROR(VLOOKUP($D$2,COLORES[],2,FALSE),0)) + E9)
   *IF($E$2=0.8,1,IF($E$2=0.7,1-7%,1+10%)))
   *(1-SUMPRODUCT(
        (DESC_PROV[LINEA]=$B$2)*
        (DESC_PROV[LISTA]=$C$2)*
        (DESC_PROV[DESCUENTO])
   )),
   ((B9*(1+IFERROR(VLOOKUP($D$2,COLORES[],2,FALSE),0)) + E9)
   *IF($E$2=0.8,1,IF($E$2=0.7,1-7%,1+10%)))
   *(1-SUMPRODUCT(
        (DESC_PROV[LINEA]=$B$2)*
        (DESC_PROV[LISTA]=$C$2)*
        (DESC_PROV[DESCUENTO])
   ))
   *(1+VLOOKUP($C$2,LISTAS[],2,FALSE))
   *(1+VLOOKUP($C$2,LISTAS[],3,FALSE))
)
/5,0)*5,0)</f>
        <v>391015</v>
      </c>
      <c r="O9" s="65">
        <f>IFERROR(
ROUND(
IF($A$2="COSTO",
   ((B9*(1+IFERROR(VLOOKUP($D$2,COLORES[],2,FALSE),0)) + F9)
   *IF($E$2=0.8,1,IF($E$2=0.7,1-7%,1+10%)))
   *(1-SUMPRODUCT(
        (DESC_PROV[LINEA]=$B$2)*
        (DESC_PROV[LISTA]=$C$2)*
        (DESC_PROV[DESCUENTO])
   )),
   ((B9*(1+IFERROR(VLOOKUP($D$2,COLORES[],2,FALSE),0)) + F9)
   *IF($E$2=0.8,1,IF($E$2=0.7,1-7%,1+10%)))
   *(1-SUMPRODUCT(
        (DESC_PROV[LINEA]=$B$2)*
        (DESC_PROV[LISTA]=$C$2)*
        (DESC_PROV[DESCUENTO])
   ))
   *(1+VLOOKUP($C$2,LISTAS[],2,FALSE))
   *(1+VLOOKUP($C$2,LISTAS[],3,FALSE))
)
/5,0)*5,0)</f>
        <v>384235</v>
      </c>
      <c r="P9" s="65">
        <f>IFERROR(
ROUND(
IF($A$2="COSTO",
   ((B9*(1+IFERROR(VLOOKUP($D$2,COLORES[],2,FALSE),0)) + G9)
   *IF($E$2=0.8,1,IF($E$2=0.7,1-7%,1+10%)))
   *(1-SUMPRODUCT(
        (DESC_PROV[LINEA]=$B$2)*
        (DESC_PROV[LISTA]=$C$2)*
        (DESC_PROV[DESCUENTO])
   )),
   ((B9*(1+IFERROR(VLOOKUP($D$2,COLORES[],2,FALSE),0)) + G9)
   *IF($E$2=0.8,1,IF($E$2=0.7,1-7%,1+10%)))
   *(1-SUMPRODUCT(
        (DESC_PROV[LINEA]=$B$2)*
        (DESC_PROV[LISTA]=$C$2)*
        (DESC_PROV[DESCUENTO])
   ))
   *(1+VLOOKUP($C$2,LISTAS[],2,FALSE))
   *(1+VLOOKUP($C$2,LISTAS[],3,FALSE))
)
/5,0)*5,0)</f>
        <v>439110</v>
      </c>
      <c r="Q9" s="65">
        <f>IFERROR(
ROUND(
IF($A$2="COSTO",
   ((B9*(1+IFERROR(VLOOKUP($D$2,COLORES[],2,FALSE),0)) + H9)
   *IF($E$2=0.8,1,IF($E$2=0.7,1-7%,1+10%)))
   *(1-SUMPRODUCT(
        (DESC_PROV[LINEA]=$B$2)*
        (DESC_PROV[LISTA]=$C$2)*
        (DESC_PROV[DESCUENTO])
   )),
   ((B9*(1+IFERROR(VLOOKUP($D$2,COLORES[],2,FALSE),0)) + H9)
   *IF($E$2=0.8,1,IF($E$2=0.7,1-7%,1+10%)))
   *(1-SUMPRODUCT(
        (DESC_PROV[LINEA]=$B$2)*
        (DESC_PROV[LISTA]=$C$2)*
        (DESC_PROV[DESCUENTO])
   ))
   *(1+VLOOKUP($C$2,LISTAS[],2,FALSE))
   *(1+VLOOKUP($C$2,LISTAS[],3,FALSE))
)
/5,0)*5,0)</f>
        <v>483485</v>
      </c>
      <c r="R9" s="65">
        <f>IFERROR(
ROUND(
IF($A$2="COSTO",
   ((B9*(1+IFERROR(VLOOKUP($D$2,COLORES[],2,FALSE),0)) + D9 + I9 + D9)
   *IF($E$2=0.8,1,IF($E$2=0.7,1-7%,1+10%)))
   *(1-SUMPRODUCT(
        (DESC_PROV[LINEA]=$B$2)*
        (DESC_PROV[LISTA]=$C$2)*
        (DESC_PROV[DESCUENTO])
   )),
   ((B9*(1+IFERROR(VLOOKUP($D$2,COLORES[],2,FALSE),0)) + D9 + I9 + D9)
   *IF($E$2=0.8,1,IF($E$2=0.7,1-7%,1+10%)))
   *(1-SUMPRODUCT(
        (DESC_PROV[LINEA]=$B$2)*
        (DESC_PROV[LISTA]=$C$2)*
        (DESC_PROV[DESCUENTO])
   ))
   *(1+VLOOKUP($C$2,LISTAS[],2,FALSE))
   *(1+VLOOKUP($C$2,LISTAS[],3,FALSE))
)
/5,0)*5,0)</f>
        <v>528730</v>
      </c>
    </row>
    <row r="10" spans="1:18" ht="16.899999999999999">
      <c r="A10" s="259" t="s">
        <v>207</v>
      </c>
      <c r="B10" s="64">
        <v>323060</v>
      </c>
      <c r="C10" s="64">
        <v>10098</v>
      </c>
      <c r="D10" s="64">
        <v>12243</v>
      </c>
      <c r="E10" s="64">
        <v>16117</v>
      </c>
      <c r="F10" s="64">
        <v>13471</v>
      </c>
      <c r="G10" s="64">
        <v>34881</v>
      </c>
      <c r="H10" s="64">
        <v>52193</v>
      </c>
      <c r="I10" s="64">
        <v>45360</v>
      </c>
      <c r="J10" s="2"/>
      <c r="K10" s="259" t="s">
        <v>207</v>
      </c>
      <c r="L10" s="65">
        <f>IFERROR(
ROUND(
IF($A$2="COSTO",
   ((B10*(1+IFERROR(VLOOKUP($D$2,COLORES[],2,FALSE),0)) + E10)
   *IF($E$2=0.8,1,IF($E$2=0.7,1-7%,1+10%)))
   *(1-SUMPRODUCT(
        (DESC_PROV[LINEA]=$B$2)*
        (DESC_PROV[LISTA]=$C$2)*
        (DESC_PROV[DESCUENTO])
   )),
   ((B10*(1+IFERROR(VLOOKUP($D$2,COLORES[],2,FALSE),0)) + E10)
   *IF($E$2=0.8,1,IF($E$2=0.7,1-7%,1+10%)))
   *(1-SUMPRODUCT(
        (DESC_PROV[LINEA]=$B$2)*
        (DESC_PROV[LISTA]=$C$2)*
        (DESC_PROV[DESCUENTO])
   ))
   *(1+VLOOKUP($C$2,LISTAS[],2,FALSE))
   *(1+VLOOKUP($C$2,LISTAS[],3,FALSE))
)
/5,0)*5,0)</f>
        <v>434670</v>
      </c>
      <c r="M10" s="65">
        <f>IFERROR(
ROUND(
IF($A$2="COSTO",
   ((B10*(1+IFERROR(VLOOKUP($D$2,COLORES[],2,FALSE),0)) + D10)
   *IF($E$2=0.8,1,IF($E$2=0.7,1-7%,1+10%)))
   *(1-SUMPRODUCT(
        (DESC_PROV[LINEA]=$B$2)*
        (DESC_PROV[LISTA]=$C$2)*
        (DESC_PROV[DESCUENTO])
   )),
   ((B10*(1+IFERROR(VLOOKUP($D$2,COLORES[],2,FALSE),0)) + D10)
   *IF($E$2=0.8,1,IF($E$2=0.7,1-7%,1+10%)))
   *(1-SUMPRODUCT(
        (DESC_PROV[LINEA]=$B$2)*
        (DESC_PROV[LISTA]=$C$2)*
        (DESC_PROV[DESCUENTO])
   ))
   *(1+VLOOKUP($C$2,LISTAS[],2,FALSE))
   *(1+VLOOKUP($C$2,LISTAS[],3,FALSE))
)
/5,0)*5,0)</f>
        <v>429705</v>
      </c>
      <c r="N10" s="65">
        <f>IFERROR(
ROUND(
IF($A$2="COSTO",
   ((B10*(1+IFERROR(VLOOKUP($D$2,COLORES[],2,FALSE),0)) + E10)
   *IF($E$2=0.8,1,IF($E$2=0.7,1-7%,1+10%)))
   *(1-SUMPRODUCT(
        (DESC_PROV[LINEA]=$B$2)*
        (DESC_PROV[LISTA]=$C$2)*
        (DESC_PROV[DESCUENTO])
   )),
   ((B10*(1+IFERROR(VLOOKUP($D$2,COLORES[],2,FALSE),0)) + E10)
   *IF($E$2=0.8,1,IF($E$2=0.7,1-7%,1+10%)))
   *(1-SUMPRODUCT(
        (DESC_PROV[LINEA]=$B$2)*
        (DESC_PROV[LISTA]=$C$2)*
        (DESC_PROV[DESCUENTO])
   ))
   *(1+VLOOKUP($C$2,LISTAS[],2,FALSE))
   *(1+VLOOKUP($C$2,LISTAS[],3,FALSE))
)
/5,0)*5,0)</f>
        <v>434670</v>
      </c>
      <c r="O10" s="65">
        <f>IFERROR(
ROUND(
IF($A$2="COSTO",
   ((B10*(1+IFERROR(VLOOKUP($D$2,COLORES[],2,FALSE),0)) + F10)
   *IF($E$2=0.8,1,IF($E$2=0.7,1-7%,1+10%)))
   *(1-SUMPRODUCT(
        (DESC_PROV[LINEA]=$B$2)*
        (DESC_PROV[LISTA]=$C$2)*
        (DESC_PROV[DESCUENTO])
   )),
   ((B10*(1+IFERROR(VLOOKUP($D$2,COLORES[],2,FALSE),0)) + F10)
   *IF($E$2=0.8,1,IF($E$2=0.7,1-7%,1+10%)))
   *(1-SUMPRODUCT(
        (DESC_PROV[LINEA]=$B$2)*
        (DESC_PROV[LISTA]=$C$2)*
        (DESC_PROV[DESCUENTO])
   ))
   *(1+VLOOKUP($C$2,LISTAS[],2,FALSE))
   *(1+VLOOKUP($C$2,LISTAS[],3,FALSE))
)
/5,0)*5,0)</f>
        <v>431280</v>
      </c>
      <c r="P10" s="65">
        <f>IFERROR(
ROUND(
IF($A$2="COSTO",
   ((B10*(1+IFERROR(VLOOKUP($D$2,COLORES[],2,FALSE),0)) + G10)
   *IF($E$2=0.8,1,IF($E$2=0.7,1-7%,1+10%)))
   *(1-SUMPRODUCT(
        (DESC_PROV[LINEA]=$B$2)*
        (DESC_PROV[LISTA]=$C$2)*
        (DESC_PROV[DESCUENTO])
   )),
   ((B10*(1+IFERROR(VLOOKUP($D$2,COLORES[],2,FALSE),0)) + G10)
   *IF($E$2=0.8,1,IF($E$2=0.7,1-7%,1+10%)))
   *(1-SUMPRODUCT(
        (DESC_PROV[LINEA]=$B$2)*
        (DESC_PROV[LISTA]=$C$2)*
        (DESC_PROV[DESCUENTO])
   ))
   *(1+VLOOKUP($C$2,LISTAS[],2,FALSE))
   *(1+VLOOKUP($C$2,LISTAS[],3,FALSE))
)
/5,0)*5,0)</f>
        <v>458715</v>
      </c>
      <c r="Q10" s="65">
        <f>IFERROR(
ROUND(
IF($A$2="COSTO",
   ((B10*(1+IFERROR(VLOOKUP($D$2,COLORES[],2,FALSE),0)) + H10)
   *IF($E$2=0.8,1,IF($E$2=0.7,1-7%,1+10%)))
   *(1-SUMPRODUCT(
        (DESC_PROV[LINEA]=$B$2)*
        (DESC_PROV[LISTA]=$C$2)*
        (DESC_PROV[DESCUENTO])
   )),
   ((B10*(1+IFERROR(VLOOKUP($D$2,COLORES[],2,FALSE),0)) + H10)
   *IF($E$2=0.8,1,IF($E$2=0.7,1-7%,1+10%)))
   *(1-SUMPRODUCT(
        (DESC_PROV[LINEA]=$B$2)*
        (DESC_PROV[LISTA]=$C$2)*
        (DESC_PROV[DESCUENTO])
   ))
   *(1+VLOOKUP($C$2,LISTAS[],2,FALSE))
   *(1+VLOOKUP($C$2,LISTAS[],3,FALSE))
)
/5,0)*5,0)</f>
        <v>480900</v>
      </c>
      <c r="R10" s="65">
        <f>IFERROR(
ROUND(
IF($A$2="COSTO",
   ((B10*(1+IFERROR(VLOOKUP($D$2,COLORES[],2,FALSE),0)) + D10 + I10 + D10)
   *IF($E$2=0.8,1,IF($E$2=0.7,1-7%,1+10%)))
   *(1-SUMPRODUCT(
        (DESC_PROV[LINEA]=$B$2)*
        (DESC_PROV[LISTA]=$C$2)*
        (DESC_PROV[DESCUENTO])
   )),
   ((B10*(1+IFERROR(VLOOKUP($D$2,COLORES[],2,FALSE),0)) + D10 + I10 + D10)
   *IF($E$2=0.8,1,IF($E$2=0.7,1-7%,1+10%)))
   *(1-SUMPRODUCT(
        (DESC_PROV[LINEA]=$B$2)*
        (DESC_PROV[LISTA]=$C$2)*
        (DESC_PROV[DESCUENTO])
   ))
   *(1+VLOOKUP($C$2,LISTAS[],2,FALSE))
   *(1+VLOOKUP($C$2,LISTAS[],3,FALSE))
)
/5,0)*5,0)</f>
        <v>503525</v>
      </c>
    </row>
    <row r="11" spans="1:18" ht="16.899999999999999">
      <c r="A11" s="259" t="s">
        <v>208</v>
      </c>
      <c r="B11" s="64">
        <v>338672</v>
      </c>
      <c r="C11" s="64">
        <v>10098</v>
      </c>
      <c r="D11" s="64">
        <v>0</v>
      </c>
      <c r="E11" s="64">
        <v>0</v>
      </c>
      <c r="F11" s="64">
        <v>13471</v>
      </c>
      <c r="G11" s="64">
        <v>34881</v>
      </c>
      <c r="H11" s="64">
        <v>0</v>
      </c>
      <c r="I11" s="64">
        <v>0</v>
      </c>
      <c r="J11" s="2"/>
      <c r="K11" s="259" t="s">
        <v>208</v>
      </c>
      <c r="L11" s="65">
        <f>IFERROR(
ROUND(
IF($A$2="COSTO",
   ((B11*(1+IFERROR(VLOOKUP($D$2,COLORES[],2,FALSE),0)) + E11)
   *IF($E$2=0.8,1,IF($E$2=0.7,1-7%,1+10%)))
   *(1-SUMPRODUCT(
        (DESC_PROV[LINEA]=$B$2)*
        (DESC_PROV[LISTA]=$C$2)*
        (DESC_PROV[DESCUENTO])
   )),
   ((B11*(1+IFERROR(VLOOKUP($D$2,COLORES[],2,FALSE),0)) + E11)
   *IF($E$2=0.8,1,IF($E$2=0.7,1-7%,1+10%)))
   *(1-SUMPRODUCT(
        (DESC_PROV[LINEA]=$B$2)*
        (DESC_PROV[LISTA]=$C$2)*
        (DESC_PROV[DESCUENTO])
   ))
   *(1+VLOOKUP($C$2,LISTAS[],2,FALSE))
   *(1+VLOOKUP($C$2,LISTAS[],3,FALSE))
)
/5,0)*5,0)</f>
        <v>434020</v>
      </c>
      <c r="M11" s="65" t="s">
        <v>204</v>
      </c>
      <c r="N11" s="65" t="s">
        <v>204</v>
      </c>
      <c r="O11" s="65">
        <f>IFERROR(
ROUND(
IF($A$2="COSTO",
   ((B11*(1+IFERROR(VLOOKUP($D$2,COLORES[],2,FALSE),0)) + F11)
   *IF($E$2=0.8,1,IF($E$2=0.7,1-7%,1+10%)))
   *(1-SUMPRODUCT(
        (DESC_PROV[LINEA]=$B$2)*
        (DESC_PROV[LISTA]=$C$2)*
        (DESC_PROV[DESCUENTO])
   )),
   ((B11*(1+IFERROR(VLOOKUP($D$2,COLORES[],2,FALSE),0)) + F11)
   *IF($E$2=0.8,1,IF($E$2=0.7,1-7%,1+10%)))
   *(1-SUMPRODUCT(
        (DESC_PROV[LINEA]=$B$2)*
        (DESC_PROV[LISTA]=$C$2)*
        (DESC_PROV[DESCUENTO])
   ))
   *(1+VLOOKUP($C$2,LISTAS[],2,FALSE))
   *(1+VLOOKUP($C$2,LISTAS[],3,FALSE))
)
/5,0)*5,0)</f>
        <v>451285</v>
      </c>
      <c r="P11" s="65">
        <f>IFERROR(
ROUND(
IF($A$2="COSTO",
   ((B11*(1+IFERROR(VLOOKUP($D$2,COLORES[],2,FALSE),0)) + G11)
   *IF($E$2=0.8,1,IF($E$2=0.7,1-7%,1+10%)))
   *(1-SUMPRODUCT(
        (DESC_PROV[LINEA]=$B$2)*
        (DESC_PROV[LISTA]=$C$2)*
        (DESC_PROV[DESCUENTO])
   )),
   ((B11*(1+IFERROR(VLOOKUP($D$2,COLORES[],2,FALSE),0)) + G11)
   *IF($E$2=0.8,1,IF($E$2=0.7,1-7%,1+10%)))
   *(1-SUMPRODUCT(
        (DESC_PROV[LINEA]=$B$2)*
        (DESC_PROV[LISTA]=$C$2)*
        (DESC_PROV[DESCUENTO])
   ))
   *(1+VLOOKUP($C$2,LISTAS[],2,FALSE))
   *(1+VLOOKUP($C$2,LISTAS[],3,FALSE))
)
/5,0)*5,0)</f>
        <v>478725</v>
      </c>
      <c r="Q11" s="65" t="s">
        <v>204</v>
      </c>
      <c r="R11" s="65" t="s">
        <v>204</v>
      </c>
    </row>
    <row r="12" spans="1:18" ht="16.899999999999999">
      <c r="A12" s="259" t="s">
        <v>209</v>
      </c>
      <c r="B12" s="64">
        <v>339787</v>
      </c>
      <c r="C12" s="64">
        <v>5643</v>
      </c>
      <c r="D12" s="64">
        <v>6798</v>
      </c>
      <c r="E12" s="64">
        <v>8956</v>
      </c>
      <c r="F12" s="64">
        <v>7484</v>
      </c>
      <c r="G12" s="64">
        <v>19378</v>
      </c>
      <c r="H12" s="64">
        <v>28995</v>
      </c>
      <c r="I12" s="64">
        <v>32760</v>
      </c>
      <c r="J12" s="2"/>
      <c r="K12" s="259" t="s">
        <v>209</v>
      </c>
      <c r="L12" s="65">
        <f>IFERROR(
ROUND(
IF($A$2="COSTO",
   ((B12*(1+IFERROR(VLOOKUP($D$2,COLORES[],2,FALSE),0)) + E12)
   *IF($E$2=0.8,1,IF($E$2=0.7,1-7%,1+10%)))
   *(1-SUMPRODUCT(
        (DESC_PROV[LINEA]=$B$2)*
        (DESC_PROV[LISTA]=$C$2)*
        (DESC_PROV[DESCUENTO])
   )),
   ((B12*(1+IFERROR(VLOOKUP($D$2,COLORES[],2,FALSE),0)) + E12)
   *IF($E$2=0.8,1,IF($E$2=0.7,1-7%,1+10%)))
   *(1-SUMPRODUCT(
        (DESC_PROV[LINEA]=$B$2)*
        (DESC_PROV[LISTA]=$C$2)*
        (DESC_PROV[DESCUENTO])
   ))
   *(1+VLOOKUP($C$2,LISTAS[],2,FALSE))
   *(1+VLOOKUP($C$2,LISTAS[],3,FALSE))
)
/5,0)*5,0)</f>
        <v>446930</v>
      </c>
      <c r="M12" s="65">
        <f>IFERROR(
ROUND(
IF($A$2="COSTO",
   ((B12*(1+IFERROR(VLOOKUP($D$2,COLORES[],2,FALSE),0)) + D12)
   *IF($E$2=0.8,1,IF($E$2=0.7,1-7%,1+10%)))
   *(1-SUMPRODUCT(
        (DESC_PROV[LINEA]=$B$2)*
        (DESC_PROV[LISTA]=$C$2)*
        (DESC_PROV[DESCUENTO])
   )),
   ((B12*(1+IFERROR(VLOOKUP($D$2,COLORES[],2,FALSE),0)) + D12)
   *IF($E$2=0.8,1,IF($E$2=0.7,1-7%,1+10%)))
   *(1-SUMPRODUCT(
        (DESC_PROV[LINEA]=$B$2)*
        (DESC_PROV[LISTA]=$C$2)*
        (DESC_PROV[DESCUENTO])
   ))
   *(1+VLOOKUP($C$2,LISTAS[],2,FALSE))
   *(1+VLOOKUP($C$2,LISTAS[],3,FALSE))
)
/5,0)*5,0)</f>
        <v>444165</v>
      </c>
      <c r="N12" s="65">
        <f>IFERROR(
ROUND(
IF($A$2="COSTO",
   ((B12*(1+IFERROR(VLOOKUP($D$2,COLORES[],2,FALSE),0)) + E12)
   *IF($E$2=0.8,1,IF($E$2=0.7,1-7%,1+10%)))
   *(1-SUMPRODUCT(
        (DESC_PROV[LINEA]=$B$2)*
        (DESC_PROV[LISTA]=$C$2)*
        (DESC_PROV[DESCUENTO])
   )),
   ((B12*(1+IFERROR(VLOOKUP($D$2,COLORES[],2,FALSE),0)) + E12)
   *IF($E$2=0.8,1,IF($E$2=0.7,1-7%,1+10%)))
   *(1-SUMPRODUCT(
        (DESC_PROV[LINEA]=$B$2)*
        (DESC_PROV[LISTA]=$C$2)*
        (DESC_PROV[DESCUENTO])
   ))
   *(1+VLOOKUP($C$2,LISTAS[],2,FALSE))
   *(1+VLOOKUP($C$2,LISTAS[],3,FALSE))
)
/5,0)*5,0)</f>
        <v>446930</v>
      </c>
      <c r="O12" s="65">
        <f>IFERROR(
ROUND(
IF($A$2="COSTO",
   ((B12*(1+IFERROR(VLOOKUP($D$2,COLORES[],2,FALSE),0)) + F12)
   *IF($E$2=0.8,1,IF($E$2=0.7,1-7%,1+10%)))
   *(1-SUMPRODUCT(
        (DESC_PROV[LINEA]=$B$2)*
        (DESC_PROV[LISTA]=$C$2)*
        (DESC_PROV[DESCUENTO])
   )),
   ((B12*(1+IFERROR(VLOOKUP($D$2,COLORES[],2,FALSE),0)) + F12)
   *IF($E$2=0.8,1,IF($E$2=0.7,1-7%,1+10%)))
   *(1-SUMPRODUCT(
        (DESC_PROV[LINEA]=$B$2)*
        (DESC_PROV[LISTA]=$C$2)*
        (DESC_PROV[DESCUENTO])
   ))
   *(1+VLOOKUP($C$2,LISTAS[],2,FALSE))
   *(1+VLOOKUP($C$2,LISTAS[],3,FALSE))
)
/5,0)*5,0)</f>
        <v>445040</v>
      </c>
      <c r="P12" s="65">
        <f>IFERROR(
ROUND(
IF($A$2="COSTO",
   ((B12*(1+IFERROR(VLOOKUP($D$2,COLORES[],2,FALSE),0)) + G12)
   *IF($E$2=0.8,1,IF($E$2=0.7,1-7%,1+10%)))
   *(1-SUMPRODUCT(
        (DESC_PROV[LINEA]=$B$2)*
        (DESC_PROV[LISTA]=$C$2)*
        (DESC_PROV[DESCUENTO])
   )),
   ((B12*(1+IFERROR(VLOOKUP($D$2,COLORES[],2,FALSE),0)) + G12)
   *IF($E$2=0.8,1,IF($E$2=0.7,1-7%,1+10%)))
   *(1-SUMPRODUCT(
        (DESC_PROV[LINEA]=$B$2)*
        (DESC_PROV[LISTA]=$C$2)*
        (DESC_PROV[DESCUENTO])
   ))
   *(1+VLOOKUP($C$2,LISTAS[],2,FALSE))
   *(1+VLOOKUP($C$2,LISTAS[],3,FALSE))
)
/5,0)*5,0)</f>
        <v>460285</v>
      </c>
      <c r="Q12" s="65">
        <f>IFERROR(
ROUND(
IF($A$2="COSTO",
   ((B12*(1+IFERROR(VLOOKUP($D$2,COLORES[],2,FALSE),0)) + H12)
   *IF($E$2=0.8,1,IF($E$2=0.7,1-7%,1+10%)))
   *(1-SUMPRODUCT(
        (DESC_PROV[LINEA]=$B$2)*
        (DESC_PROV[LISTA]=$C$2)*
        (DESC_PROV[DESCUENTO])
   )),
   ((B12*(1+IFERROR(VLOOKUP($D$2,COLORES[],2,FALSE),0)) + H12)
   *IF($E$2=0.8,1,IF($E$2=0.7,1-7%,1+10%)))
   *(1-SUMPRODUCT(
        (DESC_PROV[LINEA]=$B$2)*
        (DESC_PROV[LISTA]=$C$2)*
        (DESC_PROV[DESCUENTO])
   ))
   *(1+VLOOKUP($C$2,LISTAS[],2,FALSE))
   *(1+VLOOKUP($C$2,LISTAS[],3,FALSE))
)
/5,0)*5,0)</f>
        <v>472610</v>
      </c>
      <c r="R12" s="65">
        <f>IFERROR(
ROUND(
IF($A$2="COSTO",
   ((B12*(1+IFERROR(VLOOKUP($D$2,COLORES[],2,FALSE),0)) + D12 + I12 + D12)
   *IF($E$2=0.8,1,IF($E$2=0.7,1-7%,1+10%)))
   *(1-SUMPRODUCT(
        (DESC_PROV[LINEA]=$B$2)*
        (DESC_PROV[LISTA]=$C$2)*
        (DESC_PROV[DESCUENTO])
   )),
   ((B12*(1+IFERROR(VLOOKUP($D$2,COLORES[],2,FALSE),0)) + D12 + I12 + D12)
   *IF($E$2=0.8,1,IF($E$2=0.7,1-7%,1+10%)))
   *(1-SUMPRODUCT(
        (DESC_PROV[LINEA]=$B$2)*
        (DESC_PROV[LISTA]=$C$2)*
        (DESC_PROV[DESCUENTO])
   ))
   *(1+VLOOKUP($C$2,LISTAS[],2,FALSE))
   *(1+VLOOKUP($C$2,LISTAS[],3,FALSE))
)
/5,0)*5,0)</f>
        <v>494860</v>
      </c>
    </row>
    <row r="13" spans="1:18" ht="16.899999999999999">
      <c r="A13" s="259" t="s">
        <v>210</v>
      </c>
      <c r="B13" s="64">
        <v>348708</v>
      </c>
      <c r="C13" s="64">
        <v>5643</v>
      </c>
      <c r="D13" s="64">
        <v>0</v>
      </c>
      <c r="E13" s="64">
        <v>0</v>
      </c>
      <c r="F13" s="64">
        <v>7484</v>
      </c>
      <c r="G13" s="64">
        <v>19378</v>
      </c>
      <c r="H13" s="64">
        <v>0</v>
      </c>
      <c r="I13" s="64">
        <v>0</v>
      </c>
      <c r="J13" s="2"/>
      <c r="K13" s="259" t="s">
        <v>210</v>
      </c>
      <c r="L13" s="65">
        <f>IFERROR(
ROUND(
IF($A$2="COSTO",
   ((B13*(1+IFERROR(VLOOKUP($D$2,COLORES[],2,FALSE),0)) + E13)
   *IF($E$2=0.8,1,IF($E$2=0.7,1-7%,1+10%)))
   *(1-SUMPRODUCT(
        (DESC_PROV[LINEA]=$B$2)*
        (DESC_PROV[LISTA]=$C$2)*
        (DESC_PROV[DESCUENTO])
   )),
   ((B13*(1+IFERROR(VLOOKUP($D$2,COLORES[],2,FALSE),0)) + E13)
   *IF($E$2=0.8,1,IF($E$2=0.7,1-7%,1+10%)))
   *(1-SUMPRODUCT(
        (DESC_PROV[LINEA]=$B$2)*
        (DESC_PROV[LISTA]=$C$2)*
        (DESC_PROV[DESCUENTO])
   ))
   *(1+VLOOKUP($C$2,LISTAS[],2,FALSE))
   *(1+VLOOKUP($C$2,LISTAS[],3,FALSE))
)
/5,0)*5,0)</f>
        <v>446885</v>
      </c>
      <c r="M13" s="65" t="s">
        <v>204</v>
      </c>
      <c r="N13" s="65" t="s">
        <v>204</v>
      </c>
      <c r="O13" s="65">
        <f>IFERROR(
ROUND(
IF($A$2="COSTO",
   ((B13*(1+IFERROR(VLOOKUP($D$2,COLORES[],2,FALSE),0)) + F13)
   *IF($E$2=0.8,1,IF($E$2=0.7,1-7%,1+10%)))
   *(1-SUMPRODUCT(
        (DESC_PROV[LINEA]=$B$2)*
        (DESC_PROV[LISTA]=$C$2)*
        (DESC_PROV[DESCUENTO])
   )),
   ((B13*(1+IFERROR(VLOOKUP($D$2,COLORES[],2,FALSE),0)) + F13)
   *IF($E$2=0.8,1,IF($E$2=0.7,1-7%,1+10%)))
   *(1-SUMPRODUCT(
        (DESC_PROV[LINEA]=$B$2)*
        (DESC_PROV[LISTA]=$C$2)*
        (DESC_PROV[DESCUENTO])
   ))
   *(1+VLOOKUP($C$2,LISTAS[],2,FALSE))
   *(1+VLOOKUP($C$2,LISTAS[],3,FALSE))
)
/5,0)*5,0)</f>
        <v>456475</v>
      </c>
      <c r="P13" s="65">
        <f>IFERROR(
ROUND(
IF($A$2="COSTO",
   ((B13*(1+IFERROR(VLOOKUP($D$2,COLORES[],2,FALSE),0)) + G13)
   *IF($E$2=0.8,1,IF($E$2=0.7,1-7%,1+10%)))
   *(1-SUMPRODUCT(
        (DESC_PROV[LINEA]=$B$2)*
        (DESC_PROV[LISTA]=$C$2)*
        (DESC_PROV[DESCUENTO])
   )),
   ((B13*(1+IFERROR(VLOOKUP($D$2,COLORES[],2,FALSE),0)) + G13)
   *IF($E$2=0.8,1,IF($E$2=0.7,1-7%,1+10%)))
   *(1-SUMPRODUCT(
        (DESC_PROV[LINEA]=$B$2)*
        (DESC_PROV[LISTA]=$C$2)*
        (DESC_PROV[DESCUENTO])
   ))
   *(1+VLOOKUP($C$2,LISTAS[],2,FALSE))
   *(1+VLOOKUP($C$2,LISTAS[],3,FALSE))
)
/5,0)*5,0)</f>
        <v>471715</v>
      </c>
      <c r="Q13" s="65" t="s">
        <v>204</v>
      </c>
      <c r="R13" s="65" t="s">
        <v>204</v>
      </c>
    </row>
    <row r="14" spans="1:18" ht="16.899999999999999">
      <c r="A14" s="259" t="s">
        <v>211</v>
      </c>
      <c r="B14" s="64">
        <v>363204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2"/>
      <c r="K14" s="259" t="s">
        <v>211</v>
      </c>
      <c r="L14" s="65">
        <f>IFERROR(
ROUND(
IF($A$2="COSTO",
   ((B14*(1+IFERROR(VLOOKUP($D$2,COLORES[],2,FALSE),0)) + E14)
   *IF($E$2=0.8,1,IF($E$2=0.7,1-7%,1+10%)))
   *(1-SUMPRODUCT(
        (DESC_PROV[LINEA]=$B$2)*
        (DESC_PROV[LISTA]=$C$2)*
        (DESC_PROV[DESCUENTO])
   )),
   ((B14*(1+IFERROR(VLOOKUP($D$2,COLORES[],2,FALSE),0)) + E14)
   *IF($E$2=0.8,1,IF($E$2=0.7,1-7%,1+10%)))
   *(1-SUMPRODUCT(
        (DESC_PROV[LINEA]=$B$2)*
        (DESC_PROV[LISTA]=$C$2)*
        (DESC_PROV[DESCUENTO])
   ))
   *(1+VLOOKUP($C$2,LISTAS[],2,FALSE))
   *(1+VLOOKUP($C$2,LISTAS[],3,FALSE))
)
/5,0)*5,0)</f>
        <v>465460</v>
      </c>
      <c r="M14" s="65" t="s">
        <v>204</v>
      </c>
      <c r="N14" s="65" t="s">
        <v>204</v>
      </c>
      <c r="O14" s="65" t="s">
        <v>204</v>
      </c>
      <c r="P14" s="65" t="s">
        <v>204</v>
      </c>
      <c r="Q14" s="65" t="s">
        <v>204</v>
      </c>
      <c r="R14" s="65" t="s">
        <v>204</v>
      </c>
    </row>
    <row r="15" spans="1:18" ht="16.899999999999999">
      <c r="A15" s="259" t="s">
        <v>212</v>
      </c>
      <c r="B15" s="64">
        <v>348708</v>
      </c>
      <c r="C15" s="64">
        <v>10098</v>
      </c>
      <c r="D15" s="64">
        <v>12243</v>
      </c>
      <c r="E15" s="64">
        <v>16117</v>
      </c>
      <c r="F15" s="64">
        <v>13471</v>
      </c>
      <c r="G15" s="64">
        <v>34881</v>
      </c>
      <c r="H15" s="64">
        <v>52193</v>
      </c>
      <c r="I15" s="64">
        <v>95760</v>
      </c>
      <c r="J15" s="2"/>
      <c r="K15" s="259" t="s">
        <v>212</v>
      </c>
      <c r="L15" s="65">
        <f>IFERROR(
ROUND(
IF($A$2="COSTO",
   ((B15*(1+IFERROR(VLOOKUP($D$2,COLORES[],2,FALSE),0)) + E15)
   *IF($E$2=0.8,1,IF($E$2=0.7,1-7%,1+10%)))
   *(1-SUMPRODUCT(
        (DESC_PROV[LINEA]=$B$2)*
        (DESC_PROV[LISTA]=$C$2)*
        (DESC_PROV[DESCUENTO])
   )),
   ((B15*(1+IFERROR(VLOOKUP($D$2,COLORES[],2,FALSE),0)) + E15)
   *IF($E$2=0.8,1,IF($E$2=0.7,1-7%,1+10%)))
   *(1-SUMPRODUCT(
        (DESC_PROV[LINEA]=$B$2)*
        (DESC_PROV[LISTA]=$C$2)*
        (DESC_PROV[DESCUENTO])
   ))
   *(1+VLOOKUP($C$2,LISTAS[],2,FALSE))
   *(1+VLOOKUP($C$2,LISTAS[],3,FALSE))
)
/5,0)*5,0)</f>
        <v>467540</v>
      </c>
      <c r="M15" s="65">
        <f>IFERROR(
ROUND(
IF($A$2="COSTO",
   ((B15*(1+IFERROR(VLOOKUP($D$2,COLORES[],2,FALSE),0)) + D15)
   *IF($E$2=0.8,1,IF($E$2=0.7,1-7%,1+10%)))
   *(1-SUMPRODUCT(
        (DESC_PROV[LINEA]=$B$2)*
        (DESC_PROV[LISTA]=$C$2)*
        (DESC_PROV[DESCUENTO])
   )),
   ((B15*(1+IFERROR(VLOOKUP($D$2,COLORES[],2,FALSE),0)) + D15)
   *IF($E$2=0.8,1,IF($E$2=0.7,1-7%,1+10%)))
   *(1-SUMPRODUCT(
        (DESC_PROV[LINEA]=$B$2)*
        (DESC_PROV[LISTA]=$C$2)*
        (DESC_PROV[DESCUENTO])
   ))
   *(1+VLOOKUP($C$2,LISTAS[],2,FALSE))
   *(1+VLOOKUP($C$2,LISTAS[],3,FALSE))
)
/5,0)*5,0)</f>
        <v>462575</v>
      </c>
      <c r="N15" s="65">
        <f>IFERROR(
ROUND(
IF($A$2="COSTO",
   ((B15*(1+IFERROR(VLOOKUP($D$2,COLORES[],2,FALSE),0)) + E15)
   *IF($E$2=0.8,1,IF($E$2=0.7,1-7%,1+10%)))
   *(1-SUMPRODUCT(
        (DESC_PROV[LINEA]=$B$2)*
        (DESC_PROV[LISTA]=$C$2)*
        (DESC_PROV[DESCUENTO])
   )),
   ((B15*(1+IFERROR(VLOOKUP($D$2,COLORES[],2,FALSE),0)) + E15)
   *IF($E$2=0.8,1,IF($E$2=0.7,1-7%,1+10%)))
   *(1-SUMPRODUCT(
        (DESC_PROV[LINEA]=$B$2)*
        (DESC_PROV[LISTA]=$C$2)*
        (DESC_PROV[DESCUENTO])
   ))
   *(1+VLOOKUP($C$2,LISTAS[],2,FALSE))
   *(1+VLOOKUP($C$2,LISTAS[],3,FALSE))
)
/5,0)*5,0)</f>
        <v>467540</v>
      </c>
      <c r="O15" s="65">
        <f>IFERROR(
ROUND(
IF($A$2="COSTO",
   ((B15*(1+IFERROR(VLOOKUP($D$2,COLORES[],2,FALSE),0)) + F15)
   *IF($E$2=0.8,1,IF($E$2=0.7,1-7%,1+10%)))
   *(1-SUMPRODUCT(
        (DESC_PROV[LINEA]=$B$2)*
        (DESC_PROV[LISTA]=$C$2)*
        (DESC_PROV[DESCUENTO])
   )),
   ((B15*(1+IFERROR(VLOOKUP($D$2,COLORES[],2,FALSE),0)) + F15)
   *IF($E$2=0.8,1,IF($E$2=0.7,1-7%,1+10%)))
   *(1-SUMPRODUCT(
        (DESC_PROV[LINEA]=$B$2)*
        (DESC_PROV[LISTA]=$C$2)*
        (DESC_PROV[DESCUENTO])
   ))
   *(1+VLOOKUP($C$2,LISTAS[],2,FALSE))
   *(1+VLOOKUP($C$2,LISTAS[],3,FALSE))
)
/5,0)*5,0)</f>
        <v>464145</v>
      </c>
      <c r="P15" s="65">
        <f>IFERROR(
ROUND(
IF($A$2="COSTO",
   ((B15*(1+IFERROR(VLOOKUP($D$2,COLORES[],2,FALSE),0)) + G15)
   *IF($E$2=0.8,1,IF($E$2=0.7,1-7%,1+10%)))
   *(1-SUMPRODUCT(
        (DESC_PROV[LINEA]=$B$2)*
        (DESC_PROV[LISTA]=$C$2)*
        (DESC_PROV[DESCUENTO])
   )),
   ((B15*(1+IFERROR(VLOOKUP($D$2,COLORES[],2,FALSE),0)) + G15)
   *IF($E$2=0.8,1,IF($E$2=0.7,1-7%,1+10%)))
   *(1-SUMPRODUCT(
        (DESC_PROV[LINEA]=$B$2)*
        (DESC_PROV[LISTA]=$C$2)*
        (DESC_PROV[DESCUENTO])
   ))
   *(1+VLOOKUP($C$2,LISTAS[],2,FALSE))
   *(1+VLOOKUP($C$2,LISTAS[],3,FALSE))
)
/5,0)*5,0)</f>
        <v>491585</v>
      </c>
      <c r="Q15" s="65">
        <f>IFERROR(
ROUND(
IF($A$2="COSTO",
   ((B15*(1+IFERROR(VLOOKUP($D$2,COLORES[],2,FALSE),0)) + H15)
   *IF($E$2=0.8,1,IF($E$2=0.7,1-7%,1+10%)))
   *(1-SUMPRODUCT(
        (DESC_PROV[LINEA]=$B$2)*
        (DESC_PROV[LISTA]=$C$2)*
        (DESC_PROV[DESCUENTO])
   )),
   ((B15*(1+IFERROR(VLOOKUP($D$2,COLORES[],2,FALSE),0)) + H15)
   *IF($E$2=0.8,1,IF($E$2=0.7,1-7%,1+10%)))
   *(1-SUMPRODUCT(
        (DESC_PROV[LINEA]=$B$2)*
        (DESC_PROV[LISTA]=$C$2)*
        (DESC_PROV[DESCUENTO])
   ))
   *(1+VLOOKUP($C$2,LISTAS[],2,FALSE))
   *(1+VLOOKUP($C$2,LISTAS[],3,FALSE))
)
/5,0)*5,0)</f>
        <v>513770</v>
      </c>
      <c r="R15" s="65">
        <f>IFERROR(
ROUND(
IF($A$2="COSTO",
   ((B15*(1+IFERROR(VLOOKUP($D$2,COLORES[],2,FALSE),0)) + D15 + I15 + D15)
   *IF($E$2=0.8,1,IF($E$2=0.7,1-7%,1+10%)))
   *(1-SUMPRODUCT(
        (DESC_PROV[LINEA]=$B$2)*
        (DESC_PROV[LISTA]=$C$2)*
        (DESC_PROV[DESCUENTO])
   )),
   ((B15*(1+IFERROR(VLOOKUP($D$2,COLORES[],2,FALSE),0)) + D15 + I15 + D15)
   *IF($E$2=0.8,1,IF($E$2=0.7,1-7%,1+10%)))
   *(1-SUMPRODUCT(
        (DESC_PROV[LINEA]=$B$2)*
        (DESC_PROV[LISTA]=$C$2)*
        (DESC_PROV[DESCUENTO])
   ))
   *(1+VLOOKUP($C$2,LISTAS[],2,FALSE))
   *(1+VLOOKUP($C$2,LISTAS[],3,FALSE))
)
/5,0)*5,0)</f>
        <v>600985</v>
      </c>
    </row>
    <row r="16" spans="1:18" ht="16.899999999999999">
      <c r="A16" s="259" t="s">
        <v>213</v>
      </c>
      <c r="B16" s="64">
        <v>349823</v>
      </c>
      <c r="C16" s="64">
        <v>5643</v>
      </c>
      <c r="D16" s="64">
        <v>6798</v>
      </c>
      <c r="E16" s="64">
        <v>8956</v>
      </c>
      <c r="F16" s="64">
        <v>7484</v>
      </c>
      <c r="G16" s="64">
        <v>19378</v>
      </c>
      <c r="H16" s="64">
        <v>28995</v>
      </c>
      <c r="I16" s="64">
        <v>57960</v>
      </c>
      <c r="J16" s="2"/>
      <c r="K16" s="259" t="s">
        <v>213</v>
      </c>
      <c r="L16" s="65">
        <f>IFERROR(
ROUND(
IF($A$2="COSTO",
   ((B16*(1+IFERROR(VLOOKUP($D$2,COLORES[],2,FALSE),0)) + E16)
   *IF($E$2=0.8,1,IF($E$2=0.7,1-7%,1+10%)))
   *(1-SUMPRODUCT(
        (DESC_PROV[LINEA]=$B$2)*
        (DESC_PROV[LISTA]=$C$2)*
        (DESC_PROV[DESCUENTO])
   )),
   ((B16*(1+IFERROR(VLOOKUP($D$2,COLORES[],2,FALSE),0)) + E16)
   *IF($E$2=0.8,1,IF($E$2=0.7,1-7%,1+10%)))
   *(1-SUMPRODUCT(
        (DESC_PROV[LINEA]=$B$2)*
        (DESC_PROV[LISTA]=$C$2)*
        (DESC_PROV[DESCUENTO])
   ))
   *(1+VLOOKUP($C$2,LISTAS[],2,FALSE))
   *(1+VLOOKUP($C$2,LISTAS[],3,FALSE))
)
/5,0)*5,0)</f>
        <v>459790</v>
      </c>
      <c r="M16" s="65">
        <f>IFERROR(
ROUND(
IF($A$2="COSTO",
   ((B16*(1+IFERROR(VLOOKUP($D$2,COLORES[],2,FALSE),0)) + D16)
   *IF($E$2=0.8,1,IF($E$2=0.7,1-7%,1+10%)))
   *(1-SUMPRODUCT(
        (DESC_PROV[LINEA]=$B$2)*
        (DESC_PROV[LISTA]=$C$2)*
        (DESC_PROV[DESCUENTO])
   )),
   ((B16*(1+IFERROR(VLOOKUP($D$2,COLORES[],2,FALSE),0)) + D16)
   *IF($E$2=0.8,1,IF($E$2=0.7,1-7%,1+10%)))
   *(1-SUMPRODUCT(
        (DESC_PROV[LINEA]=$B$2)*
        (DESC_PROV[LISTA]=$C$2)*
        (DESC_PROV[DESCUENTO])
   ))
   *(1+VLOOKUP($C$2,LISTAS[],2,FALSE))
   *(1+VLOOKUP($C$2,LISTAS[],3,FALSE))
)
/5,0)*5,0)</f>
        <v>457025</v>
      </c>
      <c r="N16" s="65">
        <f>IFERROR(
ROUND(
IF($A$2="COSTO",
   ((B16*(1+IFERROR(VLOOKUP($D$2,COLORES[],2,FALSE),0)) + E16)
   *IF($E$2=0.8,1,IF($E$2=0.7,1-7%,1+10%)))
   *(1-SUMPRODUCT(
        (DESC_PROV[LINEA]=$B$2)*
        (DESC_PROV[LISTA]=$C$2)*
        (DESC_PROV[DESCUENTO])
   )),
   ((B16*(1+IFERROR(VLOOKUP($D$2,COLORES[],2,FALSE),0)) + E16)
   *IF($E$2=0.8,1,IF($E$2=0.7,1-7%,1+10%)))
   *(1-SUMPRODUCT(
        (DESC_PROV[LINEA]=$B$2)*
        (DESC_PROV[LISTA]=$C$2)*
        (DESC_PROV[DESCUENTO])
   ))
   *(1+VLOOKUP($C$2,LISTAS[],2,FALSE))
   *(1+VLOOKUP($C$2,LISTAS[],3,FALSE))
)
/5,0)*5,0)</f>
        <v>459790</v>
      </c>
      <c r="O16" s="65">
        <f>IFERROR(
ROUND(
IF($A$2="COSTO",
   ((B16*(1+IFERROR(VLOOKUP($D$2,COLORES[],2,FALSE),0)) + F16)
   *IF($E$2=0.8,1,IF($E$2=0.7,1-7%,1+10%)))
   *(1-SUMPRODUCT(
        (DESC_PROV[LINEA]=$B$2)*
        (DESC_PROV[LISTA]=$C$2)*
        (DESC_PROV[DESCUENTO])
   )),
   ((B16*(1+IFERROR(VLOOKUP($D$2,COLORES[],2,FALSE),0)) + F16)
   *IF($E$2=0.8,1,IF($E$2=0.7,1-7%,1+10%)))
   *(1-SUMPRODUCT(
        (DESC_PROV[LINEA]=$B$2)*
        (DESC_PROV[LISTA]=$C$2)*
        (DESC_PROV[DESCUENTO])
   ))
   *(1+VLOOKUP($C$2,LISTAS[],2,FALSE))
   *(1+VLOOKUP($C$2,LISTAS[],3,FALSE))
)
/5,0)*5,0)</f>
        <v>457905</v>
      </c>
      <c r="P16" s="65">
        <f>IFERROR(
ROUND(
IF($A$2="COSTO",
   ((B16*(1+IFERROR(VLOOKUP($D$2,COLORES[],2,FALSE),0)) + G16)
   *IF($E$2=0.8,1,IF($E$2=0.7,1-7%,1+10%)))
   *(1-SUMPRODUCT(
        (DESC_PROV[LINEA]=$B$2)*
        (DESC_PROV[LISTA]=$C$2)*
        (DESC_PROV[DESCUENTO])
   )),
   ((B16*(1+IFERROR(VLOOKUP($D$2,COLORES[],2,FALSE),0)) + G16)
   *IF($E$2=0.8,1,IF($E$2=0.7,1-7%,1+10%)))
   *(1-SUMPRODUCT(
        (DESC_PROV[LINEA]=$B$2)*
        (DESC_PROV[LISTA]=$C$2)*
        (DESC_PROV[DESCUENTO])
   ))
   *(1+VLOOKUP($C$2,LISTAS[],2,FALSE))
   *(1+VLOOKUP($C$2,LISTAS[],3,FALSE))
)
/5,0)*5,0)</f>
        <v>473145</v>
      </c>
      <c r="Q16" s="65">
        <f>IFERROR(
ROUND(
IF($A$2="COSTO",
   ((B16*(1+IFERROR(VLOOKUP($D$2,COLORES[],2,FALSE),0)) + H16)
   *IF($E$2=0.8,1,IF($E$2=0.7,1-7%,1+10%)))
   *(1-SUMPRODUCT(
        (DESC_PROV[LINEA]=$B$2)*
        (DESC_PROV[LISTA]=$C$2)*
        (DESC_PROV[DESCUENTO])
   )),
   ((B16*(1+IFERROR(VLOOKUP($D$2,COLORES[],2,FALSE),0)) + H16)
   *IF($E$2=0.8,1,IF($E$2=0.7,1-7%,1+10%)))
   *(1-SUMPRODUCT(
        (DESC_PROV[LINEA]=$B$2)*
        (DESC_PROV[LISTA]=$C$2)*
        (DESC_PROV[DESCUENTO])
   ))
   *(1+VLOOKUP($C$2,LISTAS[],2,FALSE))
   *(1+VLOOKUP($C$2,LISTAS[],3,FALSE))
)
/5,0)*5,0)</f>
        <v>485470</v>
      </c>
      <c r="R16" s="65">
        <f>IFERROR(
ROUND(
IF($A$2="COSTO",
   ((B16*(1+IFERROR(VLOOKUP($D$2,COLORES[],2,FALSE),0)) + D16 + I16 + D16)
   *IF($E$2=0.8,1,IF($E$2=0.7,1-7%,1+10%)))
   *(1-SUMPRODUCT(
        (DESC_PROV[LINEA]=$B$2)*
        (DESC_PROV[LISTA]=$C$2)*
        (DESC_PROV[DESCUENTO])
   )),
   ((B16*(1+IFERROR(VLOOKUP($D$2,COLORES[],2,FALSE),0)) + D16 + I16 + D16)
   *IF($E$2=0.8,1,IF($E$2=0.7,1-7%,1+10%)))
   *(1-SUMPRODUCT(
        (DESC_PROV[LINEA]=$B$2)*
        (DESC_PROV[LISTA]=$C$2)*
        (DESC_PROV[DESCUENTO])
   ))
   *(1+VLOOKUP($C$2,LISTAS[],2,FALSE))
   *(1+VLOOKUP($C$2,LISTAS[],3,FALSE))
)
/5,0)*5,0)</f>
        <v>540015</v>
      </c>
    </row>
    <row r="17" spans="1:18" ht="16.899999999999999">
      <c r="A17" s="259" t="s">
        <v>214</v>
      </c>
      <c r="B17" s="64">
        <v>292953</v>
      </c>
      <c r="C17" s="64">
        <v>22572</v>
      </c>
      <c r="D17" s="64">
        <v>27192</v>
      </c>
      <c r="E17" s="64">
        <v>35825</v>
      </c>
      <c r="F17" s="64">
        <v>29938</v>
      </c>
      <c r="G17" s="64">
        <v>77510</v>
      </c>
      <c r="H17" s="64">
        <v>115980</v>
      </c>
      <c r="I17" s="64">
        <v>131040</v>
      </c>
      <c r="J17" s="2"/>
      <c r="K17" s="259" t="s">
        <v>214</v>
      </c>
      <c r="L17" s="65">
        <f>IFERROR(
ROUND(
IF($A$2="COSTO",
   ((B17*(1+IFERROR(VLOOKUP($D$2,COLORES[],2,FALSE),0)) + E17)
   *IF($E$2=0.8,1,IF($E$2=0.7,1-7%,1+10%)))
   *(1-SUMPRODUCT(
        (DESC_PROV[LINEA]=$B$2)*
        (DESC_PROV[LISTA]=$C$2)*
        (DESC_PROV[DESCUENTO])
   )),
   ((B17*(1+IFERROR(VLOOKUP($D$2,COLORES[],2,FALSE),0)) + E17)
   *IF($E$2=0.8,1,IF($E$2=0.7,1-7%,1+10%)))
   *(1-SUMPRODUCT(
        (DESC_PROV[LINEA]=$B$2)*
        (DESC_PROV[LISTA]=$C$2)*
        (DESC_PROV[DESCUENTO])
   ))
   *(1+VLOOKUP($C$2,LISTAS[],2,FALSE))
   *(1+VLOOKUP($C$2,LISTAS[],3,FALSE))
)
/5,0)*5,0)</f>
        <v>421340</v>
      </c>
      <c r="M17" s="65">
        <f>IFERROR(
ROUND(
IF($A$2="COSTO",
   ((B17*(1+IFERROR(VLOOKUP($D$2,COLORES[],2,FALSE),0)) + D17)
   *IF($E$2=0.8,1,IF($E$2=0.7,1-7%,1+10%)))
   *(1-SUMPRODUCT(
        (DESC_PROV[LINEA]=$B$2)*
        (DESC_PROV[LISTA]=$C$2)*
        (DESC_PROV[DESCUENTO])
   )),
   ((B17*(1+IFERROR(VLOOKUP($D$2,COLORES[],2,FALSE),0)) + D17)
   *IF($E$2=0.8,1,IF($E$2=0.7,1-7%,1+10%)))
   *(1-SUMPRODUCT(
        (DESC_PROV[LINEA]=$B$2)*
        (DESC_PROV[LISTA]=$C$2)*
        (DESC_PROV[DESCUENTO])
   ))
   *(1+VLOOKUP($C$2,LISTAS[],2,FALSE))
   *(1+VLOOKUP($C$2,LISTAS[],3,FALSE))
)
/5,0)*5,0)</f>
        <v>410280</v>
      </c>
      <c r="N17" s="65">
        <f>IFERROR(
ROUND(
IF($A$2="COSTO",
   ((B17*(1+IFERROR(VLOOKUP($D$2,COLORES[],2,FALSE),0)) + E17)
   *IF($E$2=0.8,1,IF($E$2=0.7,1-7%,1+10%)))
   *(1-SUMPRODUCT(
        (DESC_PROV[LINEA]=$B$2)*
        (DESC_PROV[LISTA]=$C$2)*
        (DESC_PROV[DESCUENTO])
   )),
   ((B17*(1+IFERROR(VLOOKUP($D$2,COLORES[],2,FALSE),0)) + E17)
   *IF($E$2=0.8,1,IF($E$2=0.7,1-7%,1+10%)))
   *(1-SUMPRODUCT(
        (DESC_PROV[LINEA]=$B$2)*
        (DESC_PROV[LISTA]=$C$2)*
        (DESC_PROV[DESCUENTO])
   ))
   *(1+VLOOKUP($C$2,LISTAS[],2,FALSE))
   *(1+VLOOKUP($C$2,LISTAS[],3,FALSE))
)
/5,0)*5,0)</f>
        <v>421340</v>
      </c>
      <c r="O17" s="65">
        <f>IFERROR(
ROUND(
IF($A$2="COSTO",
   ((B17*(1+IFERROR(VLOOKUP($D$2,COLORES[],2,FALSE),0)) + F17)
   *IF($E$2=0.8,1,IF($E$2=0.7,1-7%,1+10%)))
   *(1-SUMPRODUCT(
        (DESC_PROV[LINEA]=$B$2)*
        (DESC_PROV[LISTA]=$C$2)*
        (DESC_PROV[DESCUENTO])
   )),
   ((B17*(1+IFERROR(VLOOKUP($D$2,COLORES[],2,FALSE),0)) + F17)
   *IF($E$2=0.8,1,IF($E$2=0.7,1-7%,1+10%)))
   *(1-SUMPRODUCT(
        (DESC_PROV[LINEA]=$B$2)*
        (DESC_PROV[LISTA]=$C$2)*
        (DESC_PROV[DESCUENTO])
   ))
   *(1+VLOOKUP($C$2,LISTAS[],2,FALSE))
   *(1+VLOOKUP($C$2,LISTAS[],3,FALSE))
)
/5,0)*5,0)</f>
        <v>413800</v>
      </c>
      <c r="P17" s="65">
        <f>IFERROR(
ROUND(
IF($A$2="COSTO",
   ((B17*(1+IFERROR(VLOOKUP($D$2,COLORES[],2,FALSE),0)) + G17)
   *IF($E$2=0.8,1,IF($E$2=0.7,1-7%,1+10%)))
   *(1-SUMPRODUCT(
        (DESC_PROV[LINEA]=$B$2)*
        (DESC_PROV[LISTA]=$C$2)*
        (DESC_PROV[DESCUENTO])
   )),
   ((B17*(1+IFERROR(VLOOKUP($D$2,COLORES[],2,FALSE),0)) + G17)
   *IF($E$2=0.8,1,IF($E$2=0.7,1-7%,1+10%)))
   *(1-SUMPRODUCT(
        (DESC_PROV[LINEA]=$B$2)*
        (DESC_PROV[LISTA]=$C$2)*
        (DESC_PROV[DESCUENTO])
   ))
   *(1+VLOOKUP($C$2,LISTAS[],2,FALSE))
   *(1+VLOOKUP($C$2,LISTAS[],3,FALSE))
)
/5,0)*5,0)</f>
        <v>474765</v>
      </c>
      <c r="Q17" s="65">
        <f>IFERROR(
ROUND(
IF($A$2="COSTO",
   ((B17*(1+IFERROR(VLOOKUP($D$2,COLORES[],2,FALSE),0)) + H17)
   *IF($E$2=0.8,1,IF($E$2=0.7,1-7%,1+10%)))
   *(1-SUMPRODUCT(
        (DESC_PROV[LINEA]=$B$2)*
        (DESC_PROV[LISTA]=$C$2)*
        (DESC_PROV[DESCUENTO])
   )),
   ((B17*(1+IFERROR(VLOOKUP($D$2,COLORES[],2,FALSE),0)) + H17)
   *IF($E$2=0.8,1,IF($E$2=0.7,1-7%,1+10%)))
   *(1-SUMPRODUCT(
        (DESC_PROV[LINEA]=$B$2)*
        (DESC_PROV[LISTA]=$C$2)*
        (DESC_PROV[DESCUENTO])
   ))
   *(1+VLOOKUP($C$2,LISTAS[],2,FALSE))
   *(1+VLOOKUP($C$2,LISTAS[],3,FALSE))
)
/5,0)*5,0)</f>
        <v>524065</v>
      </c>
      <c r="R17" s="65">
        <f>IFERROR(
ROUND(
IF($A$2="COSTO",
   ((B17*(1+IFERROR(VLOOKUP($D$2,COLORES[],2,FALSE),0)) + D17 + I17 + D17)
   *IF($E$2=0.8,1,IF($E$2=0.7,1-7%,1+10%)))
   *(1-SUMPRODUCT(
        (DESC_PROV[LINEA]=$B$2)*
        (DESC_PROV[LISTA]=$C$2)*
        (DESC_PROV[DESCUENTO])
   )),
   ((B17*(1+IFERROR(VLOOKUP($D$2,COLORES[],2,FALSE),0)) + D17 + I17 + D17)
   *IF($E$2=0.8,1,IF($E$2=0.7,1-7%,1+10%)))
   *(1-SUMPRODUCT(
        (DESC_PROV[LINEA]=$B$2)*
        (DESC_PROV[LISTA]=$C$2)*
        (DESC_PROV[DESCUENTO])
   ))
   *(1+VLOOKUP($C$2,LISTAS[],2,FALSE))
   *(1+VLOOKUP($C$2,LISTAS[],3,FALSE))
)
/5,0)*5,0)</f>
        <v>613060</v>
      </c>
    </row>
    <row r="18" spans="1:18" ht="16.899999999999999">
      <c r="A18" s="259" t="s">
        <v>215</v>
      </c>
      <c r="B18" s="64">
        <v>357629</v>
      </c>
      <c r="C18" s="64">
        <v>7108</v>
      </c>
      <c r="D18" s="64">
        <v>8613</v>
      </c>
      <c r="E18" s="64">
        <v>11345</v>
      </c>
      <c r="F18" s="64">
        <v>9504</v>
      </c>
      <c r="G18" s="64">
        <v>24552</v>
      </c>
      <c r="H18" s="64">
        <v>36733</v>
      </c>
      <c r="I18" s="64">
        <v>59220</v>
      </c>
      <c r="J18" s="2"/>
      <c r="K18" s="259" t="s">
        <v>215</v>
      </c>
      <c r="L18" s="65">
        <f>IFERROR(
ROUND(
IF($A$2="COSTO",
   ((B18*(1+IFERROR(VLOOKUP($D$2,COLORES[],2,FALSE),0)) + E18)
   *IF($E$2=0.8,1,IF($E$2=0.7,1-7%,1+10%)))
   *(1-SUMPRODUCT(
        (DESC_PROV[LINEA]=$B$2)*
        (DESC_PROV[LISTA]=$C$2)*
        (DESC_PROV[DESCUENTO])
   )),
   ((B18*(1+IFERROR(VLOOKUP($D$2,COLORES[],2,FALSE),0)) + E18)
   *IF($E$2=0.8,1,IF($E$2=0.7,1-7%,1+10%)))
   *(1-SUMPRODUCT(
        (DESC_PROV[LINEA]=$B$2)*
        (DESC_PROV[LISTA]=$C$2)*
        (DESC_PROV[DESCUENTO])
   ))
   *(1+VLOOKUP($C$2,LISTAS[],2,FALSE))
   *(1+VLOOKUP($C$2,LISTAS[],3,FALSE))
)
/5,0)*5,0)</f>
        <v>472855</v>
      </c>
      <c r="M18" s="65">
        <f>IFERROR(
ROUND(
IF($A$2="COSTO",
   ((B18*(1+IFERROR(VLOOKUP($D$2,COLORES[],2,FALSE),0)) + D18)
   *IF($E$2=0.8,1,IF($E$2=0.7,1-7%,1+10%)))
   *(1-SUMPRODUCT(
        (DESC_PROV[LINEA]=$B$2)*
        (DESC_PROV[LISTA]=$C$2)*
        (DESC_PROV[DESCUENTO])
   )),
   ((B18*(1+IFERROR(VLOOKUP($D$2,COLORES[],2,FALSE),0)) + D18)
   *IF($E$2=0.8,1,IF($E$2=0.7,1-7%,1+10%)))
   *(1-SUMPRODUCT(
        (DESC_PROV[LINEA]=$B$2)*
        (DESC_PROV[LISTA]=$C$2)*
        (DESC_PROV[DESCUENTO])
   ))
   *(1+VLOOKUP($C$2,LISTAS[],2,FALSE))
   *(1+VLOOKUP($C$2,LISTAS[],3,FALSE))
)
/5,0)*5,0)</f>
        <v>469355</v>
      </c>
      <c r="N18" s="65">
        <f>IFERROR(
ROUND(
IF($A$2="COSTO",
   ((B18*(1+IFERROR(VLOOKUP($D$2,COLORES[],2,FALSE),0)) + E18)
   *IF($E$2=0.8,1,IF($E$2=0.7,1-7%,1+10%)))
   *(1-SUMPRODUCT(
        (DESC_PROV[LINEA]=$B$2)*
        (DESC_PROV[LISTA]=$C$2)*
        (DESC_PROV[DESCUENTO])
   )),
   ((B18*(1+IFERROR(VLOOKUP($D$2,COLORES[],2,FALSE),0)) + E18)
   *IF($E$2=0.8,1,IF($E$2=0.7,1-7%,1+10%)))
   *(1-SUMPRODUCT(
        (DESC_PROV[LINEA]=$B$2)*
        (DESC_PROV[LISTA]=$C$2)*
        (DESC_PROV[DESCUENTO])
   ))
   *(1+VLOOKUP($C$2,LISTAS[],2,FALSE))
   *(1+VLOOKUP($C$2,LISTAS[],3,FALSE))
)
/5,0)*5,0)</f>
        <v>472855</v>
      </c>
      <c r="O18" s="65">
        <f>IFERROR(
ROUND(
IF($A$2="COSTO",
   ((B18*(1+IFERROR(VLOOKUP($D$2,COLORES[],2,FALSE),0)) + F18)
   *IF($E$2=0.8,1,IF($E$2=0.7,1-7%,1+10%)))
   *(1-SUMPRODUCT(
        (DESC_PROV[LINEA]=$B$2)*
        (DESC_PROV[LISTA]=$C$2)*
        (DESC_PROV[DESCUENTO])
   )),
   ((B18*(1+IFERROR(VLOOKUP($D$2,COLORES[],2,FALSE),0)) + F18)
   *IF($E$2=0.8,1,IF($E$2=0.7,1-7%,1+10%)))
   *(1-SUMPRODUCT(
        (DESC_PROV[LINEA]=$B$2)*
        (DESC_PROV[LISTA]=$C$2)*
        (DESC_PROV[DESCUENTO])
   ))
   *(1+VLOOKUP($C$2,LISTAS[],2,FALSE))
   *(1+VLOOKUP($C$2,LISTAS[],3,FALSE))
)
/5,0)*5,0)</f>
        <v>470495</v>
      </c>
      <c r="P18" s="65">
        <f>IFERROR(
ROUND(
IF($A$2="COSTO",
   ((B18*(1+IFERROR(VLOOKUP($D$2,COLORES[],2,FALSE),0)) + G18)
   *IF($E$2=0.8,1,IF($E$2=0.7,1-7%,1+10%)))
   *(1-SUMPRODUCT(
        (DESC_PROV[LINEA]=$B$2)*
        (DESC_PROV[LISTA]=$C$2)*
        (DESC_PROV[DESCUENTO])
   )),
   ((B18*(1+IFERROR(VLOOKUP($D$2,COLORES[],2,FALSE),0)) + G18)
   *IF($E$2=0.8,1,IF($E$2=0.7,1-7%,1+10%)))
   *(1-SUMPRODUCT(
        (DESC_PROV[LINEA]=$B$2)*
        (DESC_PROV[LISTA]=$C$2)*
        (DESC_PROV[DESCUENTO])
   ))
   *(1+VLOOKUP($C$2,LISTAS[],2,FALSE))
   *(1+VLOOKUP($C$2,LISTAS[],3,FALSE))
)
/5,0)*5,0)</f>
        <v>489780</v>
      </c>
      <c r="Q18" s="65">
        <f>IFERROR(
ROUND(
IF($A$2="COSTO",
   ((B18*(1+IFERROR(VLOOKUP($D$2,COLORES[],2,FALSE),0)) + H18)
   *IF($E$2=0.8,1,IF($E$2=0.7,1-7%,1+10%)))
   *(1-SUMPRODUCT(
        (DESC_PROV[LINEA]=$B$2)*
        (DESC_PROV[LISTA]=$C$2)*
        (DESC_PROV[DESCUENTO])
   )),
   ((B18*(1+IFERROR(VLOOKUP($D$2,COLORES[],2,FALSE),0)) + H18)
   *IF($E$2=0.8,1,IF($E$2=0.7,1-7%,1+10%)))
   *(1-SUMPRODUCT(
        (DESC_PROV[LINEA]=$B$2)*
        (DESC_PROV[LISTA]=$C$2)*
        (DESC_PROV[DESCUENTO])
   ))
   *(1+VLOOKUP($C$2,LISTAS[],2,FALSE))
   *(1+VLOOKUP($C$2,LISTAS[],3,FALSE))
)
/5,0)*5,0)</f>
        <v>505390</v>
      </c>
      <c r="R18" s="65">
        <f>IFERROR(
ROUND(
IF($A$2="COSTO",
   ((B18*(1+IFERROR(VLOOKUP($D$2,COLORES[],2,FALSE),0)) + D18 + I18 + D18)
   *IF($E$2=0.8,1,IF($E$2=0.7,1-7%,1+10%)))
   *(1-SUMPRODUCT(
        (DESC_PROV[LINEA]=$B$2)*
        (DESC_PROV[LISTA]=$C$2)*
        (DESC_PROV[DESCUENTO])
   )),
   ((B18*(1+IFERROR(VLOOKUP($D$2,COLORES[],2,FALSE),0)) + D18 + I18 + D18)
   *IF($E$2=0.8,1,IF($E$2=0.7,1-7%,1+10%)))
   *(1-SUMPRODUCT(
        (DESC_PROV[LINEA]=$B$2)*
        (DESC_PROV[LISTA]=$C$2)*
        (DESC_PROV[DESCUENTO])
   ))
   *(1+VLOOKUP($C$2,LISTAS[],2,FALSE))
   *(1+VLOOKUP($C$2,LISTAS[],3,FALSE))
)
/5,0)*5,0)</f>
        <v>556285</v>
      </c>
    </row>
    <row r="19" spans="1:18" ht="16.899999999999999">
      <c r="A19" s="259" t="s">
        <v>216</v>
      </c>
      <c r="B19" s="64">
        <v>365210</v>
      </c>
      <c r="C19" s="64">
        <v>3927</v>
      </c>
      <c r="D19" s="64">
        <v>5438</v>
      </c>
      <c r="E19" s="64">
        <v>7161</v>
      </c>
      <c r="F19" s="64">
        <v>5986</v>
      </c>
      <c r="G19" s="64">
        <v>15503</v>
      </c>
      <c r="H19" s="64">
        <v>23190</v>
      </c>
      <c r="I19" s="64">
        <v>34020</v>
      </c>
      <c r="J19" s="2"/>
      <c r="K19" s="259" t="s">
        <v>216</v>
      </c>
      <c r="L19" s="65">
        <f>IFERROR(
ROUND(
IF($A$2="COSTO",
   ((B19*(1+IFERROR(VLOOKUP($D$2,COLORES[],2,FALSE),0)) + E19)
   *IF($E$2=0.8,1,IF($E$2=0.7,1-7%,1+10%)))
   *(1-SUMPRODUCT(
        (DESC_PROV[LINEA]=$B$2)*
        (DESC_PROV[LISTA]=$C$2)*
        (DESC_PROV[DESCUENTO])
   )),
   ((B19*(1+IFERROR(VLOOKUP($D$2,COLORES[],2,FALSE),0)) + E19)
   *IF($E$2=0.8,1,IF($E$2=0.7,1-7%,1+10%)))
   *(1-SUMPRODUCT(
        (DESC_PROV[LINEA]=$B$2)*
        (DESC_PROV[LISTA]=$C$2)*
        (DESC_PROV[DESCUENTO])
   ))
   *(1+VLOOKUP($C$2,LISTAS[],2,FALSE))
   *(1+VLOOKUP($C$2,LISTAS[],3,FALSE))
)
/5,0)*5,0)</f>
        <v>477210</v>
      </c>
      <c r="M19" s="65">
        <f>IFERROR(
ROUND(
IF($A$2="COSTO",
   ((B19*(1+IFERROR(VLOOKUP($D$2,COLORES[],2,FALSE),0)) + D19)
   *IF($E$2=0.8,1,IF($E$2=0.7,1-7%,1+10%)))
   *(1-SUMPRODUCT(
        (DESC_PROV[LINEA]=$B$2)*
        (DESC_PROV[LISTA]=$C$2)*
        (DESC_PROV[DESCUENTO])
   )),
   ((B19*(1+IFERROR(VLOOKUP($D$2,COLORES[],2,FALSE),0)) + D19)
   *IF($E$2=0.8,1,IF($E$2=0.7,1-7%,1+10%)))
   *(1-SUMPRODUCT(
        (DESC_PROV[LINEA]=$B$2)*
        (DESC_PROV[LISTA]=$C$2)*
        (DESC_PROV[DESCUENTO])
   ))
   *(1+VLOOKUP($C$2,LISTAS[],2,FALSE))
   *(1+VLOOKUP($C$2,LISTAS[],3,FALSE))
)
/5,0)*5,0)</f>
        <v>475000</v>
      </c>
      <c r="N19" s="65">
        <f>IFERROR(
ROUND(
IF($A$2="COSTO",
   ((B19*(1+IFERROR(VLOOKUP($D$2,COLORES[],2,FALSE),0)) + E19)
   *IF($E$2=0.8,1,IF($E$2=0.7,1-7%,1+10%)))
   *(1-SUMPRODUCT(
        (DESC_PROV[LINEA]=$B$2)*
        (DESC_PROV[LISTA]=$C$2)*
        (DESC_PROV[DESCUENTO])
   )),
   ((B19*(1+IFERROR(VLOOKUP($D$2,COLORES[],2,FALSE),0)) + E19)
   *IF($E$2=0.8,1,IF($E$2=0.7,1-7%,1+10%)))
   *(1-SUMPRODUCT(
        (DESC_PROV[LINEA]=$B$2)*
        (DESC_PROV[LISTA]=$C$2)*
        (DESC_PROV[DESCUENTO])
   ))
   *(1+VLOOKUP($C$2,LISTAS[],2,FALSE))
   *(1+VLOOKUP($C$2,LISTAS[],3,FALSE))
)
/5,0)*5,0)</f>
        <v>477210</v>
      </c>
      <c r="O19" s="65">
        <f>IFERROR(
ROUND(
IF($A$2="COSTO",
   ((B19*(1+IFERROR(VLOOKUP($D$2,COLORES[],2,FALSE),0)) + F19)
   *IF($E$2=0.8,1,IF($E$2=0.7,1-7%,1+10%)))
   *(1-SUMPRODUCT(
        (DESC_PROV[LINEA]=$B$2)*
        (DESC_PROV[LISTA]=$C$2)*
        (DESC_PROV[DESCUENTO])
   )),
   ((B19*(1+IFERROR(VLOOKUP($D$2,COLORES[],2,FALSE),0)) + F19)
   *IF($E$2=0.8,1,IF($E$2=0.7,1-7%,1+10%)))
   *(1-SUMPRODUCT(
        (DESC_PROV[LINEA]=$B$2)*
        (DESC_PROV[LISTA]=$C$2)*
        (DESC_PROV[DESCUENTO])
   ))
   *(1+VLOOKUP($C$2,LISTAS[],2,FALSE))
   *(1+VLOOKUP($C$2,LISTAS[],3,FALSE))
)
/5,0)*5,0)</f>
        <v>475705</v>
      </c>
      <c r="P19" s="65">
        <f>IFERROR(
ROUND(
IF($A$2="COSTO",
   ((B19*(1+IFERROR(VLOOKUP($D$2,COLORES[],2,FALSE),0)) + G19)
   *IF($E$2=0.8,1,IF($E$2=0.7,1-7%,1+10%)))
   *(1-SUMPRODUCT(
        (DESC_PROV[LINEA]=$B$2)*
        (DESC_PROV[LISTA]=$C$2)*
        (DESC_PROV[DESCUENTO])
   )),
   ((B19*(1+IFERROR(VLOOKUP($D$2,COLORES[],2,FALSE),0)) + G19)
   *IF($E$2=0.8,1,IF($E$2=0.7,1-7%,1+10%)))
   *(1-SUMPRODUCT(
        (DESC_PROV[LINEA]=$B$2)*
        (DESC_PROV[LISTA]=$C$2)*
        (DESC_PROV[DESCUENTO])
   ))
   *(1+VLOOKUP($C$2,LISTAS[],2,FALSE))
   *(1+VLOOKUP($C$2,LISTAS[],3,FALSE))
)
/5,0)*5,0)</f>
        <v>487900</v>
      </c>
      <c r="Q19" s="65">
        <f>IFERROR(
ROUND(
IF($A$2="COSTO",
   ((B19*(1+IFERROR(VLOOKUP($D$2,COLORES[],2,FALSE),0)) + H19)
   *IF($E$2=0.8,1,IF($E$2=0.7,1-7%,1+10%)))
   *(1-SUMPRODUCT(
        (DESC_PROV[LINEA]=$B$2)*
        (DESC_PROV[LISTA]=$C$2)*
        (DESC_PROV[DESCUENTO])
   )),
   ((B19*(1+IFERROR(VLOOKUP($D$2,COLORES[],2,FALSE),0)) + H19)
   *IF($E$2=0.8,1,IF($E$2=0.7,1-7%,1+10%)))
   *(1-SUMPRODUCT(
        (DESC_PROV[LINEA]=$B$2)*
        (DESC_PROV[LISTA]=$C$2)*
        (DESC_PROV[DESCUENTO])
   ))
   *(1+VLOOKUP($C$2,LISTAS[],2,FALSE))
   *(1+VLOOKUP($C$2,LISTAS[],3,FALSE))
)
/5,0)*5,0)</f>
        <v>497750</v>
      </c>
      <c r="R19" s="65">
        <f>IFERROR(
ROUND(
IF($A$2="COSTO",
   ((B19*(1+IFERROR(VLOOKUP($D$2,COLORES[],2,FALSE),0)) + D19 + I19 + D19)
   *IF($E$2=0.8,1,IF($E$2=0.7,1-7%,1+10%)))
   *(1-SUMPRODUCT(
        (DESC_PROV[LINEA]=$B$2)*
        (DESC_PROV[LISTA]=$C$2)*
        (DESC_PROV[DESCUENTO])
   )),
   ((B19*(1+IFERROR(VLOOKUP($D$2,COLORES[],2,FALSE),0)) + D19 + I19 + D19)
   *IF($E$2=0.8,1,IF($E$2=0.7,1-7%,1+10%)))
   *(1-SUMPRODUCT(
        (DESC_PROV[LINEA]=$B$2)*
        (DESC_PROV[LISTA]=$C$2)*
        (DESC_PROV[DESCUENTO])
   ))
   *(1+VLOOKUP($C$2,LISTAS[],2,FALSE))
   *(1+VLOOKUP($C$2,LISTAS[],3,FALSE))
)
/5,0)*5,0)</f>
        <v>525565</v>
      </c>
    </row>
    <row r="20" spans="1:18" ht="16.899999999999999">
      <c r="A20" s="259" t="s">
        <v>217</v>
      </c>
      <c r="B20" s="64">
        <v>416021</v>
      </c>
      <c r="C20" s="64">
        <v>3927</v>
      </c>
      <c r="D20" s="64">
        <v>0</v>
      </c>
      <c r="E20" s="64">
        <v>0</v>
      </c>
      <c r="F20" s="64">
        <v>5986</v>
      </c>
      <c r="G20" s="64">
        <v>15503</v>
      </c>
      <c r="H20" s="64">
        <v>0</v>
      </c>
      <c r="I20" s="64">
        <v>0</v>
      </c>
      <c r="J20" s="2"/>
      <c r="K20" s="259" t="s">
        <v>217</v>
      </c>
      <c r="L20" s="65">
        <f>IFERROR(
ROUND(
IF($A$2="COSTO",
   ((B20*(1+IFERROR(VLOOKUP($D$2,COLORES[],2,FALSE),0)) + E20)
   *IF($E$2=0.8,1,IF($E$2=0.7,1-7%,1+10%)))
   *(1-SUMPRODUCT(
        (DESC_PROV[LINEA]=$B$2)*
        (DESC_PROV[LISTA]=$C$2)*
        (DESC_PROV[DESCUENTO])
   )),
   ((B20*(1+IFERROR(VLOOKUP($D$2,COLORES[],2,FALSE),0)) + E20)
   *IF($E$2=0.8,1,IF($E$2=0.7,1-7%,1+10%)))
   *(1-SUMPRODUCT(
        (DESC_PROV[LINEA]=$B$2)*
        (DESC_PROV[LISTA]=$C$2)*
        (DESC_PROV[DESCUENTO])
   ))
   *(1+VLOOKUP($C$2,LISTAS[],2,FALSE))
   *(1+VLOOKUP($C$2,LISTAS[],3,FALSE))
)
/5,0)*5,0)</f>
        <v>533150</v>
      </c>
      <c r="M20" s="65" t="s">
        <v>204</v>
      </c>
      <c r="N20" s="65" t="s">
        <v>204</v>
      </c>
      <c r="O20" s="65">
        <f>IFERROR(
ROUND(
IF($A$2="COSTO",
   ((B20*(1+IFERROR(VLOOKUP($D$2,COLORES[],2,FALSE),0)) + F20)
   *IF($E$2=0.8,1,IF($E$2=0.7,1-7%,1+10%)))
   *(1-SUMPRODUCT(
        (DESC_PROV[LINEA]=$B$2)*
        (DESC_PROV[LISTA]=$C$2)*
        (DESC_PROV[DESCUENTO])
   )),
   ((B20*(1+IFERROR(VLOOKUP($D$2,COLORES[],2,FALSE),0)) + F20)
   *IF($E$2=0.8,1,IF($E$2=0.7,1-7%,1+10%)))
   *(1-SUMPRODUCT(
        (DESC_PROV[LINEA]=$B$2)*
        (DESC_PROV[LISTA]=$C$2)*
        (DESC_PROV[DESCUENTO])
   ))
   *(1+VLOOKUP($C$2,LISTAS[],2,FALSE))
   *(1+VLOOKUP($C$2,LISTAS[],3,FALSE))
)
/5,0)*5,0)</f>
        <v>540820</v>
      </c>
      <c r="P20" s="65">
        <f>IFERROR(
ROUND(
IF($A$2="COSTO",
   ((B20*(1+IFERROR(VLOOKUP($D$2,COLORES[],2,FALSE),0)) + G20)
   *IF($E$2=0.8,1,IF($E$2=0.7,1-7%,1+10%)))
   *(1-SUMPRODUCT(
        (DESC_PROV[LINEA]=$B$2)*
        (DESC_PROV[LISTA]=$C$2)*
        (DESC_PROV[DESCUENTO])
   )),
   ((B20*(1+IFERROR(VLOOKUP($D$2,COLORES[],2,FALSE),0)) + G20)
   *IF($E$2=0.8,1,IF($E$2=0.7,1-7%,1+10%)))
   *(1-SUMPRODUCT(
        (DESC_PROV[LINEA]=$B$2)*
        (DESC_PROV[LISTA]=$C$2)*
        (DESC_PROV[DESCUENTO])
   ))
   *(1+VLOOKUP($C$2,LISTAS[],2,FALSE))
   *(1+VLOOKUP($C$2,LISTAS[],3,FALSE))
)
/5,0)*5,0)</f>
        <v>553015</v>
      </c>
      <c r="Q20" s="65" t="s">
        <v>204</v>
      </c>
      <c r="R20" s="65" t="s">
        <v>204</v>
      </c>
    </row>
    <row r="21" spans="1:18" ht="16.899999999999999">
      <c r="A21" s="259" t="s">
        <v>218</v>
      </c>
      <c r="B21" s="64">
        <v>335002</v>
      </c>
      <c r="C21" s="64">
        <v>15715</v>
      </c>
      <c r="D21" s="64">
        <v>20394</v>
      </c>
      <c r="E21" s="64">
        <v>26862</v>
      </c>
      <c r="F21" s="64">
        <v>22453</v>
      </c>
      <c r="G21" s="64">
        <v>58139</v>
      </c>
      <c r="H21" s="64">
        <v>86993</v>
      </c>
      <c r="I21" s="64">
        <v>133560</v>
      </c>
      <c r="J21" s="2"/>
      <c r="K21" s="259" t="s">
        <v>218</v>
      </c>
      <c r="L21" s="65">
        <f>IFERROR(
ROUND(
IF($A$2="COSTO",
   ((B21*(1+IFERROR(VLOOKUP($D$2,COLORES[],2,FALSE),0)) + E21)
   *IF($E$2=0.8,1,IF($E$2=0.7,1-7%,1+10%)))
   *(1-SUMPRODUCT(
        (DESC_PROV[LINEA]=$B$2)*
        (DESC_PROV[LISTA]=$C$2)*
        (DESC_PROV[DESCUENTO])
   )),
   ((B21*(1+IFERROR(VLOOKUP($D$2,COLORES[],2,FALSE),0)) + E21)
   *IF($E$2=0.8,1,IF($E$2=0.7,1-7%,1+10%)))
   *(1-SUMPRODUCT(
        (DESC_PROV[LINEA]=$B$2)*
        (DESC_PROV[LISTA]=$C$2)*
        (DESC_PROV[DESCUENTO])
   ))
   *(1+VLOOKUP($C$2,LISTAS[],2,FALSE))
   *(1+VLOOKUP($C$2,LISTAS[],3,FALSE))
)
/5,0)*5,0)</f>
        <v>463745</v>
      </c>
      <c r="M21" s="65">
        <f>IFERROR(
ROUND(
IF($A$2="COSTO",
   ((B21*(1+IFERROR(VLOOKUP($D$2,COLORES[],2,FALSE),0)) + D21)
   *IF($E$2=0.8,1,IF($E$2=0.7,1-7%,1+10%)))
   *(1-SUMPRODUCT(
        (DESC_PROV[LINEA]=$B$2)*
        (DESC_PROV[LISTA]=$C$2)*
        (DESC_PROV[DESCUENTO])
   )),
   ((B21*(1+IFERROR(VLOOKUP($D$2,COLORES[],2,FALSE),0)) + D21)
   *IF($E$2=0.8,1,IF($E$2=0.7,1-7%,1+10%)))
   *(1-SUMPRODUCT(
        (DESC_PROV[LINEA]=$B$2)*
        (DESC_PROV[LISTA]=$C$2)*
        (DESC_PROV[DESCUENTO])
   ))
   *(1+VLOOKUP($C$2,LISTAS[],2,FALSE))
   *(1+VLOOKUP($C$2,LISTAS[],3,FALSE))
)
/5,0)*5,0)</f>
        <v>455455</v>
      </c>
      <c r="N21" s="65">
        <f>IFERROR(
ROUND(
IF($A$2="COSTO",
   ((B21*(1+IFERROR(VLOOKUP($D$2,COLORES[],2,FALSE),0)) + E21)
   *IF($E$2=0.8,1,IF($E$2=0.7,1-7%,1+10%)))
   *(1-SUMPRODUCT(
        (DESC_PROV[LINEA]=$B$2)*
        (DESC_PROV[LISTA]=$C$2)*
        (DESC_PROV[DESCUENTO])
   )),
   ((B21*(1+IFERROR(VLOOKUP($D$2,COLORES[],2,FALSE),0)) + E21)
   *IF($E$2=0.8,1,IF($E$2=0.7,1-7%,1+10%)))
   *(1-SUMPRODUCT(
        (DESC_PROV[LINEA]=$B$2)*
        (DESC_PROV[LISTA]=$C$2)*
        (DESC_PROV[DESCUENTO])
   ))
   *(1+VLOOKUP($C$2,LISTAS[],2,FALSE))
   *(1+VLOOKUP($C$2,LISTAS[],3,FALSE))
)
/5,0)*5,0)</f>
        <v>463745</v>
      </c>
      <c r="O21" s="65">
        <f>IFERROR(
ROUND(
IF($A$2="COSTO",
   ((B21*(1+IFERROR(VLOOKUP($D$2,COLORES[],2,FALSE),0)) + F21)
   *IF($E$2=0.8,1,IF($E$2=0.7,1-7%,1+10%)))
   *(1-SUMPRODUCT(
        (DESC_PROV[LINEA]=$B$2)*
        (DESC_PROV[LISTA]=$C$2)*
        (DESC_PROV[DESCUENTO])
   )),
   ((B21*(1+IFERROR(VLOOKUP($D$2,COLORES[],2,FALSE),0)) + F21)
   *IF($E$2=0.8,1,IF($E$2=0.7,1-7%,1+10%)))
   *(1-SUMPRODUCT(
        (DESC_PROV[LINEA]=$B$2)*
        (DESC_PROV[LISTA]=$C$2)*
        (DESC_PROV[DESCUENTO])
   ))
   *(1+VLOOKUP($C$2,LISTAS[],2,FALSE))
   *(1+VLOOKUP($C$2,LISTAS[],3,FALSE))
)
/5,0)*5,0)</f>
        <v>458095</v>
      </c>
      <c r="P21" s="65">
        <f>IFERROR(
ROUND(
IF($A$2="COSTO",
   ((B21*(1+IFERROR(VLOOKUP($D$2,COLORES[],2,FALSE),0)) + G21)
   *IF($E$2=0.8,1,IF($E$2=0.7,1-7%,1+10%)))
   *(1-SUMPRODUCT(
        (DESC_PROV[LINEA]=$B$2)*
        (DESC_PROV[LISTA]=$C$2)*
        (DESC_PROV[DESCUENTO])
   )),
   ((B21*(1+IFERROR(VLOOKUP($D$2,COLORES[],2,FALSE),0)) + G21)
   *IF($E$2=0.8,1,IF($E$2=0.7,1-7%,1+10%)))
   *(1-SUMPRODUCT(
        (DESC_PROV[LINEA]=$B$2)*
        (DESC_PROV[LISTA]=$C$2)*
        (DESC_PROV[DESCUENTO])
   ))
   *(1+VLOOKUP($C$2,LISTAS[],2,FALSE))
   *(1+VLOOKUP($C$2,LISTAS[],3,FALSE))
)
/5,0)*5,0)</f>
        <v>503825</v>
      </c>
      <c r="Q21" s="65">
        <f>IFERROR(
ROUND(
IF($A$2="COSTO",
   ((B21*(1+IFERROR(VLOOKUP($D$2,COLORES[],2,FALSE),0)) + H21)
   *IF($E$2=0.8,1,IF($E$2=0.7,1-7%,1+10%)))
   *(1-SUMPRODUCT(
        (DESC_PROV[LINEA]=$B$2)*
        (DESC_PROV[LISTA]=$C$2)*
        (DESC_PROV[DESCUENTO])
   )),
   ((B21*(1+IFERROR(VLOOKUP($D$2,COLORES[],2,FALSE),0)) + H21)
   *IF($E$2=0.8,1,IF($E$2=0.7,1-7%,1+10%)))
   *(1-SUMPRODUCT(
        (DESC_PROV[LINEA]=$B$2)*
        (DESC_PROV[LISTA]=$C$2)*
        (DESC_PROV[DESCUENTO])
   ))
   *(1+VLOOKUP($C$2,LISTAS[],2,FALSE))
   *(1+VLOOKUP($C$2,LISTAS[],3,FALSE))
)
/5,0)*5,0)</f>
        <v>540805</v>
      </c>
      <c r="R21" s="65">
        <f>IFERROR(
ROUND(
IF($A$2="COSTO",
   ((B21*(1+IFERROR(VLOOKUP($D$2,COLORES[],2,FALSE),0)) + D21 + I21 + D21)
   *IF($E$2=0.8,1,IF($E$2=0.7,1-7%,1+10%)))
   *(1-SUMPRODUCT(
        (DESC_PROV[LINEA]=$B$2)*
        (DESC_PROV[LISTA]=$C$2)*
        (DESC_PROV[DESCUENTO])
   )),
   ((B21*(1+IFERROR(VLOOKUP($D$2,COLORES[],2,FALSE),0)) + D21 + I21 + D21)
   *IF($E$2=0.8,1,IF($E$2=0.7,1-7%,1+10%)))
   *(1-SUMPRODUCT(
        (DESC_PROV[LINEA]=$B$2)*
        (DESC_PROV[LISTA]=$C$2)*
        (DESC_PROV[DESCUENTO])
   ))
   *(1+VLOOKUP($C$2,LISTAS[],2,FALSE))
   *(1+VLOOKUP($C$2,LISTAS[],3,FALSE))
)
/5,0)*5,0)</f>
        <v>652750</v>
      </c>
    </row>
    <row r="22" spans="1:18" ht="16.899999999999999">
      <c r="A22" s="259" t="s">
        <v>219</v>
      </c>
      <c r="B22" s="64">
        <v>301874</v>
      </c>
      <c r="C22" s="64">
        <v>15715</v>
      </c>
      <c r="D22" s="64">
        <v>20394</v>
      </c>
      <c r="E22" s="64">
        <v>26862</v>
      </c>
      <c r="F22" s="64">
        <v>22453</v>
      </c>
      <c r="G22" s="64">
        <v>58139</v>
      </c>
      <c r="H22" s="64">
        <v>86993</v>
      </c>
      <c r="I22" s="64">
        <v>57960</v>
      </c>
      <c r="J22" s="2"/>
      <c r="K22" s="259" t="s">
        <v>219</v>
      </c>
      <c r="L22" s="65">
        <f>IFERROR(
ROUND(
IF($A$2="COSTO",
   ((B22*(1+IFERROR(VLOOKUP($D$2,COLORES[],2,FALSE),0)) + E22)
   *IF($E$2=0.8,1,IF($E$2=0.7,1-7%,1+10%)))
   *(1-SUMPRODUCT(
        (DESC_PROV[LINEA]=$B$2)*
        (DESC_PROV[LISTA]=$C$2)*
        (DESC_PROV[DESCUENTO])
   )),
   ((B22*(1+IFERROR(VLOOKUP($D$2,COLORES[],2,FALSE),0)) + E22)
   *IF($E$2=0.8,1,IF($E$2=0.7,1-7%,1+10%)))
   *(1-SUMPRODUCT(
        (DESC_PROV[LINEA]=$B$2)*
        (DESC_PROV[LISTA]=$C$2)*
        (DESC_PROV[DESCUENTO])
   ))
   *(1+VLOOKUP($C$2,LISTAS[],2,FALSE))
   *(1+VLOOKUP($C$2,LISTAS[],3,FALSE))
)
/5,0)*5,0)</f>
        <v>421290</v>
      </c>
      <c r="M22" s="65">
        <f>IFERROR(
ROUND(
IF($A$2="COSTO",
   ((B22*(1+IFERROR(VLOOKUP($D$2,COLORES[],2,FALSE),0)) + D22)
   *IF($E$2=0.8,1,IF($E$2=0.7,1-7%,1+10%)))
   *(1-SUMPRODUCT(
        (DESC_PROV[LINEA]=$B$2)*
        (DESC_PROV[LISTA]=$C$2)*
        (DESC_PROV[DESCUENTO])
   )),
   ((B22*(1+IFERROR(VLOOKUP($D$2,COLORES[],2,FALSE),0)) + D22)
   *IF($E$2=0.8,1,IF($E$2=0.7,1-7%,1+10%)))
   *(1-SUMPRODUCT(
        (DESC_PROV[LINEA]=$B$2)*
        (DESC_PROV[LISTA]=$C$2)*
        (DESC_PROV[DESCUENTO])
   ))
   *(1+VLOOKUP($C$2,LISTAS[],2,FALSE))
   *(1+VLOOKUP($C$2,LISTAS[],3,FALSE))
)
/5,0)*5,0)</f>
        <v>413000</v>
      </c>
      <c r="N22" s="65">
        <f>IFERROR(
ROUND(
IF($A$2="COSTO",
   ((B22*(1+IFERROR(VLOOKUP($D$2,COLORES[],2,FALSE),0)) + E22)
   *IF($E$2=0.8,1,IF($E$2=0.7,1-7%,1+10%)))
   *(1-SUMPRODUCT(
        (DESC_PROV[LINEA]=$B$2)*
        (DESC_PROV[LISTA]=$C$2)*
        (DESC_PROV[DESCUENTO])
   )),
   ((B22*(1+IFERROR(VLOOKUP($D$2,COLORES[],2,FALSE),0)) + E22)
   *IF($E$2=0.8,1,IF($E$2=0.7,1-7%,1+10%)))
   *(1-SUMPRODUCT(
        (DESC_PROV[LINEA]=$B$2)*
        (DESC_PROV[LISTA]=$C$2)*
        (DESC_PROV[DESCUENTO])
   ))
   *(1+VLOOKUP($C$2,LISTAS[],2,FALSE))
   *(1+VLOOKUP($C$2,LISTAS[],3,FALSE))
)
/5,0)*5,0)</f>
        <v>421290</v>
      </c>
      <c r="O22" s="65">
        <f>IFERROR(
ROUND(
IF($A$2="COSTO",
   ((B22*(1+IFERROR(VLOOKUP($D$2,COLORES[],2,FALSE),0)) + F22)
   *IF($E$2=0.8,1,IF($E$2=0.7,1-7%,1+10%)))
   *(1-SUMPRODUCT(
        (DESC_PROV[LINEA]=$B$2)*
        (DESC_PROV[LISTA]=$C$2)*
        (DESC_PROV[DESCUENTO])
   )),
   ((B22*(1+IFERROR(VLOOKUP($D$2,COLORES[],2,FALSE),0)) + F22)
   *IF($E$2=0.8,1,IF($E$2=0.7,1-7%,1+10%)))
   *(1-SUMPRODUCT(
        (DESC_PROV[LINEA]=$B$2)*
        (DESC_PROV[LISTA]=$C$2)*
        (DESC_PROV[DESCUENTO])
   ))
   *(1+VLOOKUP($C$2,LISTAS[],2,FALSE))
   *(1+VLOOKUP($C$2,LISTAS[],3,FALSE))
)
/5,0)*5,0)</f>
        <v>415640</v>
      </c>
      <c r="P22" s="65">
        <f>IFERROR(
ROUND(
IF($A$2="COSTO",
   ((B22*(1+IFERROR(VLOOKUP($D$2,COLORES[],2,FALSE),0)) + G22)
   *IF($E$2=0.8,1,IF($E$2=0.7,1-7%,1+10%)))
   *(1-SUMPRODUCT(
        (DESC_PROV[LINEA]=$B$2)*
        (DESC_PROV[LISTA]=$C$2)*
        (DESC_PROV[DESCUENTO])
   )),
   ((B22*(1+IFERROR(VLOOKUP($D$2,COLORES[],2,FALSE),0)) + G22)
   *IF($E$2=0.8,1,IF($E$2=0.7,1-7%,1+10%)))
   *(1-SUMPRODUCT(
        (DESC_PROV[LINEA]=$B$2)*
        (DESC_PROV[LISTA]=$C$2)*
        (DESC_PROV[DESCUENTO])
   ))
   *(1+VLOOKUP($C$2,LISTAS[],2,FALSE))
   *(1+VLOOKUP($C$2,LISTAS[],3,FALSE))
)
/5,0)*5,0)</f>
        <v>461370</v>
      </c>
      <c r="Q22" s="65">
        <f>IFERROR(
ROUND(
IF($A$2="COSTO",
   ((B22*(1+IFERROR(VLOOKUP($D$2,COLORES[],2,FALSE),0)) + H22)
   *IF($E$2=0.8,1,IF($E$2=0.7,1-7%,1+10%)))
   *(1-SUMPRODUCT(
        (DESC_PROV[LINEA]=$B$2)*
        (DESC_PROV[LISTA]=$C$2)*
        (DESC_PROV[DESCUENTO])
   )),
   ((B22*(1+IFERROR(VLOOKUP($D$2,COLORES[],2,FALSE),0)) + H22)
   *IF($E$2=0.8,1,IF($E$2=0.7,1-7%,1+10%)))
   *(1-SUMPRODUCT(
        (DESC_PROV[LINEA]=$B$2)*
        (DESC_PROV[LISTA]=$C$2)*
        (DESC_PROV[DESCUENTO])
   ))
   *(1+VLOOKUP($C$2,LISTAS[],2,FALSE))
   *(1+VLOOKUP($C$2,LISTAS[],3,FALSE))
)
/5,0)*5,0)</f>
        <v>498350</v>
      </c>
      <c r="R22" s="65">
        <f>IFERROR(
ROUND(
IF($A$2="COSTO",
   ((B22*(1+IFERROR(VLOOKUP($D$2,COLORES[],2,FALSE),0)) + D22 + I22 + D22)
   *IF($E$2=0.8,1,IF($E$2=0.7,1-7%,1+10%)))
   *(1-SUMPRODUCT(
        (DESC_PROV[LINEA]=$B$2)*
        (DESC_PROV[LISTA]=$C$2)*
        (DESC_PROV[DESCUENTO])
   )),
   ((B22*(1+IFERROR(VLOOKUP($D$2,COLORES[],2,FALSE),0)) + D22 + I22 + D22)
   *IF($E$2=0.8,1,IF($E$2=0.7,1-7%,1+10%)))
   *(1-SUMPRODUCT(
        (DESC_PROV[LINEA]=$B$2)*
        (DESC_PROV[LISTA]=$C$2)*
        (DESC_PROV[DESCUENTO])
   ))
   *(1+VLOOKUP($C$2,LISTAS[],2,FALSE))
   *(1+VLOOKUP($C$2,LISTAS[],3,FALSE))
)
/5,0)*5,0)</f>
        <v>513415</v>
      </c>
    </row>
    <row r="23" spans="1:18" ht="17.25" thickBot="1">
      <c r="A23" s="260" t="s">
        <v>266</v>
      </c>
      <c r="B23" s="64">
        <v>391082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2"/>
      <c r="K23" s="260" t="s">
        <v>266</v>
      </c>
      <c r="L23" s="65">
        <f>IFERROR(
ROUND(
IF($A$2="COSTO",
   ((B23*(1+IFERROR(VLOOKUP($D$2,COLORES[],2,FALSE),0)) + E23)
   *IF($E$2=0.8,1,IF($E$2=0.7,1-7%,1+10%)))
   *(1-SUMPRODUCT(
        (DESC_PROV[LINEA]=$B$2)*
        (DESC_PROV[LISTA]=$C$2)*
        (DESC_PROV[DESCUENTO])
   )),
   ((B23*(1+IFERROR(VLOOKUP($D$2,COLORES[],2,FALSE),0)) + E23)
   *IF($E$2=0.8,1,IF($E$2=0.7,1-7%,1+10%)))
   *(1-SUMPRODUCT(
        (DESC_PROV[LINEA]=$B$2)*
        (DESC_PROV[LISTA]=$C$2)*
        (DESC_PROV[DESCUENTO])
   ))
   *(1+VLOOKUP($C$2,LISTAS[],2,FALSE))
   *(1+VLOOKUP($C$2,LISTAS[],3,FALSE))
)
/5,0)*5,0)</f>
        <v>501185</v>
      </c>
      <c r="M23" s="65" t="s">
        <v>204</v>
      </c>
      <c r="N23" s="65" t="s">
        <v>204</v>
      </c>
      <c r="O23" s="65" t="s">
        <v>204</v>
      </c>
      <c r="P23" s="65" t="s">
        <v>204</v>
      </c>
      <c r="Q23" s="65" t="s">
        <v>204</v>
      </c>
      <c r="R23" s="65" t="s">
        <v>204</v>
      </c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4.65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7.649999999999999" thickTop="1" thickBot="1">
      <c r="A26" s="261" t="s">
        <v>221</v>
      </c>
      <c r="B26" s="135"/>
      <c r="C26" s="2"/>
      <c r="D26" s="2"/>
      <c r="E26" s="2"/>
      <c r="F26" s="2"/>
      <c r="G26" s="2"/>
      <c r="H26" s="2"/>
      <c r="I26" s="2"/>
      <c r="J26" s="2"/>
      <c r="K26" s="261" t="s">
        <v>221</v>
      </c>
      <c r="L26" s="2"/>
      <c r="M26" s="2"/>
      <c r="N26" s="2"/>
      <c r="O26" s="2"/>
      <c r="P26" s="2"/>
      <c r="Q26" s="2"/>
      <c r="R26" s="2"/>
    </row>
    <row r="27" spans="1:18" ht="17.649999999999999" thickTop="1" thickBot="1">
      <c r="A27" s="261" t="s">
        <v>222</v>
      </c>
      <c r="B27" s="135">
        <v>16500</v>
      </c>
      <c r="C27" s="2"/>
      <c r="D27" s="308" t="s">
        <v>223</v>
      </c>
      <c r="E27" s="309"/>
      <c r="F27" s="310"/>
      <c r="G27" s="2"/>
      <c r="H27" s="2"/>
      <c r="I27" s="2"/>
      <c r="J27" s="2"/>
      <c r="K27" s="261" t="s">
        <v>222</v>
      </c>
      <c r="L27" s="136">
        <f>IFERROR(
ROUND(
IF($A$2="COSTO",
   (B27*(1+IFERROR(VLOOKUP($D$2,COLORES[],2,FALSE),0)))
   *IF($E$2=0.8,1,IF($E$2=0.7,1-7%,1+10%))
   *(1-SUMPRODUCT(
        (DESC_PROV[LINEA]=$B$2)*
        (DESC_PROV[LISTA]=$C$2)*
        (DESC_PROV[DESCUENTO])
   )),
   (B27*(1+IFERROR(VLOOKUP($D$2,COLORES[],2,FALSE),0)))
   *IF($E$2=0.8,1,IF($E$2=0.7,1-7%,1+10%))
   *(1-SUMPRODUCT(
        (DESC_PROV[LINEA]=$B$2)*
        (DESC_PROV[LISTA]=$C$2)*
        (DESC_PROV[DESCUENTO])
   ))
   *(1+VLOOKUP($C$2,LISTAS[],2,FALSE))
   *(1+VLOOKUP($C$2,LISTAS[],3,FALSE))
)
/5,0)*5,0)</f>
        <v>21145</v>
      </c>
      <c r="M27" s="308" t="s">
        <v>223</v>
      </c>
      <c r="N27" s="309"/>
      <c r="O27" s="310"/>
      <c r="P27" s="2"/>
      <c r="Q27" s="2"/>
      <c r="R27" s="2"/>
    </row>
    <row r="28" spans="1:18" ht="17.649999999999999" thickTop="1" thickBot="1">
      <c r="A28" s="261" t="s">
        <v>224</v>
      </c>
      <c r="B28" s="135">
        <v>16500</v>
      </c>
      <c r="C28" s="2"/>
      <c r="D28" s="305" t="s">
        <v>225</v>
      </c>
      <c r="E28" s="306"/>
      <c r="F28" s="307"/>
      <c r="G28" s="2"/>
      <c r="H28" s="2"/>
      <c r="I28" s="2"/>
      <c r="J28" s="2"/>
      <c r="K28" s="261" t="s">
        <v>224</v>
      </c>
      <c r="L28" s="136">
        <f>IFERROR(
ROUND(
IF($A$2="COSTO",
   (B28*(1+IFERROR(VLOOKUP($D$2,COLORES[],2,FALSE),0)))
   *IF($E$2=0.8,1,IF($E$2=0.7,1-7%,1+10%))
   *(1-SUMPRODUCT(
        (DESC_PROV[LINEA]=$B$2)*
        (DESC_PROV[LISTA]=$C$2)*
        (DESC_PROV[DESCUENTO])
   )),
   (B28*(1+IFERROR(VLOOKUP($D$2,COLORES[],2,FALSE),0)))
   *IF($E$2=0.8,1,IF($E$2=0.7,1-7%,1+10%))
   *(1-SUMPRODUCT(
        (DESC_PROV[LINEA]=$B$2)*
        (DESC_PROV[LISTA]=$C$2)*
        (DESC_PROV[DESCUENTO])
   ))
   *(1+VLOOKUP($C$2,LISTAS[],2,FALSE))
   *(1+VLOOKUP($C$2,LISTAS[],3,FALSE))
)
/5,0)*5,0)</f>
        <v>21145</v>
      </c>
      <c r="M28" s="305" t="s">
        <v>225</v>
      </c>
      <c r="N28" s="306"/>
      <c r="O28" s="307"/>
      <c r="P28" s="2"/>
      <c r="Q28" s="2"/>
      <c r="R28" s="2"/>
    </row>
    <row r="29" spans="1:18" ht="17.649999999999999" thickTop="1" thickBot="1">
      <c r="A29" s="261" t="s">
        <v>267</v>
      </c>
      <c r="B29" s="135">
        <v>14000</v>
      </c>
      <c r="C29" s="2"/>
      <c r="D29" s="2"/>
      <c r="E29" s="2"/>
      <c r="F29" s="2"/>
      <c r="G29" s="2"/>
      <c r="H29" s="2"/>
      <c r="I29" s="2"/>
      <c r="J29" s="2"/>
      <c r="K29" s="261" t="s">
        <v>267</v>
      </c>
      <c r="L29" s="136">
        <f>IFERROR(
ROUND(
IF($A$2="COSTO",
   (B29*(1+IFERROR(VLOOKUP($D$2,COLORES[],2,FALSE),0)))
   *IF($E$2=0.8,1,IF($E$2=0.7,1-7%,1+10%))
   *(1-SUMPRODUCT(
        (DESC_PROV[LINEA]=$B$2)*
        (DESC_PROV[LISTA]=$C$2)*
        (DESC_PROV[DESCUENTO])
   )),
   (B29*(1+IFERROR(VLOOKUP($D$2,COLORES[],2,FALSE),0)))
   *IF($E$2=0.8,1,IF($E$2=0.7,1-7%,1+10%))
   *(1-SUMPRODUCT(
        (DESC_PROV[LINEA]=$B$2)*
        (DESC_PROV[LISTA]=$C$2)*
        (DESC_PROV[DESCUENTO])
   ))
   *(1+VLOOKUP($C$2,LISTAS[],2,FALSE))
   *(1+VLOOKUP($C$2,LISTAS[],3,FALSE))
)
/5,0)*5,0)</f>
        <v>17940</v>
      </c>
      <c r="M29" s="2"/>
      <c r="N29" s="2"/>
      <c r="O29" s="2"/>
      <c r="P29" s="2"/>
      <c r="Q29" s="2"/>
      <c r="R29" s="2"/>
    </row>
    <row r="30" spans="1:18" ht="14.65" thickTop="1"/>
  </sheetData>
  <mergeCells count="6">
    <mergeCell ref="D28:F28"/>
    <mergeCell ref="M28:O28"/>
    <mergeCell ref="A5:I5"/>
    <mergeCell ref="K5:R5"/>
    <mergeCell ref="D27:F27"/>
    <mergeCell ref="M27:O2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0000000}">
          <x14:formula1>
            <xm:f>CONFIG!$F$10:$F$12</xm:f>
          </x14:formula1>
          <xm:sqref>E2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FF0000"/>
  </sheetPr>
  <dimension ref="A1:J45"/>
  <sheetViews>
    <sheetView zoomScale="70" zoomScaleNormal="70" workbookViewId="0">
      <selection activeCell="B42" sqref="B42:E45"/>
    </sheetView>
  </sheetViews>
  <sheetFormatPr baseColWidth="10" defaultRowHeight="14.25"/>
  <cols>
    <col min="1" max="1" width="11.73046875" customWidth="1"/>
    <col min="2" max="2" width="8.73046875"/>
    <col min="3" max="3" width="12.73046875" customWidth="1"/>
    <col min="4" max="7" width="8.73046875"/>
    <col min="8" max="8" width="12.73046875" customWidth="1"/>
    <col min="9" max="10" width="8.73046875"/>
  </cols>
  <sheetData>
    <row r="1" spans="1:10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0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10" ht="14.65" thickBot="1"/>
    <row r="5" spans="1:10" ht="21">
      <c r="A5" s="311" t="s">
        <v>269</v>
      </c>
      <c r="B5" s="312"/>
      <c r="C5" s="312"/>
      <c r="D5" s="312"/>
      <c r="E5" s="313"/>
      <c r="F5" s="2"/>
      <c r="G5" s="311" t="s">
        <v>269</v>
      </c>
      <c r="H5" s="312"/>
      <c r="I5" s="312"/>
      <c r="J5" s="313"/>
    </row>
    <row r="6" spans="1:10">
      <c r="A6" s="149" t="s">
        <v>4</v>
      </c>
      <c r="B6" s="150" t="s">
        <v>270</v>
      </c>
      <c r="C6" s="150" t="s">
        <v>253</v>
      </c>
      <c r="D6" s="150" t="s">
        <v>198</v>
      </c>
      <c r="E6" s="151" t="s">
        <v>259</v>
      </c>
      <c r="F6" s="2"/>
      <c r="G6" s="149" t="s">
        <v>4</v>
      </c>
      <c r="H6" s="150" t="s">
        <v>123</v>
      </c>
      <c r="I6" s="150" t="s">
        <v>255</v>
      </c>
      <c r="J6" s="151" t="s">
        <v>259</v>
      </c>
    </row>
    <row r="7" spans="1:10">
      <c r="A7" s="149" t="s">
        <v>271</v>
      </c>
      <c r="B7" s="64">
        <v>144222</v>
      </c>
      <c r="C7" s="64">
        <v>61992</v>
      </c>
      <c r="D7" s="64">
        <v>15708</v>
      </c>
      <c r="E7" s="64">
        <v>50203</v>
      </c>
      <c r="F7" s="2"/>
      <c r="G7" s="149" t="s">
        <v>271</v>
      </c>
      <c r="H7" s="65">
        <f t="array" ref="H7">IFERROR(
ROUND(
IF($A$2="COSTO",
   ((B7*(1+IFERROR(VLOOKUP($D$2,COLORES[],2,FALSE),0)))+D7)
   *(1-IFERROR(_xlfn.XLOOKUP(1,(DESC_PROV[LINEA]=$B$2)*(DESC_PROV[LISTA]=$C$2),DESC_PROV[DESCUENTO]),0)),
   ((B7*(1+IFERROR(VLOOKUP($D$2,COLORES[],2,FALSE),0)))+D7)
   *(1-IFERROR(_xlfn.XLOOKUP(1,(DESC_PROV[LINEA]=$B$2)*(DESC_PROV[LISTA]=$C$2),DESC_PROV[DESCUENTO]),0))
   *(1+VLOOKUP($C$2,LISTAS[],2,FALSE))
   *(1+VLOOKUP($C$2,LISTAS[],3,FALSE))
)
/5,0)*5,0)</f>
        <v>204955</v>
      </c>
      <c r="I7" s="65">
        <f t="array" ref="I7">IFERROR(
ROUND(
IF($A$2="COSTO",
   ((B7*(1+IFERROR(VLOOKUP($D$2,COLORES[],2,FALSE),0)))+(D7+C7+D7))
   *(1-IFERROR(_xlfn.XLOOKUP(1,(DESC_PROV[LINEA]=$B$2)*(DESC_PROV[LISTA]=$C$2),DESC_PROV[DESCUENTO]),0)),
   ((B7*(1+IFERROR(VLOOKUP($D$2,COLORES[],2,FALSE),0)))+(D7+C7+D7))
   *(1-IFERROR(_xlfn.XLOOKUP(1,(DESC_PROV[LINEA]=$B$2)*(DESC_PROV[LISTA]=$C$2),DESC_PROV[DESCUENTO]),0))
   *(1+VLOOKUP($C$2,LISTAS[],2,FALSE))
   *(1+VLOOKUP($C$2,LISTAS[],3,FALSE))
)
/5,0)*5,0)</f>
        <v>304530</v>
      </c>
      <c r="J7" s="66">
        <f t="array" ref="J7">IFERROR(
ROUND(
IF($A$2="COSTO",
   ((B7*(1+IFERROR(VLOOKUP($D$2,COLORES[],2,FALSE),0)))+E7)
   *(1-IFERROR(_xlfn.XLOOKUP(1,(DESC_PROV[LINEA]=$B$2)*(DESC_PROV[LISTA]=$C$2),DESC_PROV[DESCUENTO]),0)),
   ((B7*(1+IFERROR(VLOOKUP($D$2,COLORES[],2,FALSE),0)))+E7)
   *(1-IFERROR(_xlfn.XLOOKUP(1,(DESC_PROV[LINEA]=$B$2)*(DESC_PROV[LISTA]=$C$2),DESC_PROV[DESCUENTO]),0))
   *(1+VLOOKUP($C$2,LISTAS[],2,FALSE))
   *(1+VLOOKUP($C$2,LISTAS[],3,FALSE))
)
/5,0)*5,0)</f>
        <v>249165</v>
      </c>
    </row>
    <row r="8" spans="1:10">
      <c r="A8" s="149" t="s">
        <v>272</v>
      </c>
      <c r="B8" s="64">
        <v>154959</v>
      </c>
      <c r="C8" s="64">
        <v>69741</v>
      </c>
      <c r="D8" s="64">
        <v>18124</v>
      </c>
      <c r="E8" s="64">
        <v>60570</v>
      </c>
      <c r="F8" s="2"/>
      <c r="G8" s="149" t="s">
        <v>272</v>
      </c>
      <c r="H8" s="65">
        <f t="array" ref="H8">IFERROR(
ROUND(
IF($A$2="COSTO",
   ((B8*(1+IFERROR(VLOOKUP($D$2,COLORES[],2,FALSE),0)))+D8)
   *(1-IFERROR(_xlfn.XLOOKUP(1,(DESC_PROV[LINEA]=$B$2)*(DESC_PROV[LISTA]=$C$2),DESC_PROV[DESCUENTO]),0)),
   ((B8*(1+IFERROR(VLOOKUP($D$2,COLORES[],2,FALSE),0)))+D8)
   *(1-IFERROR(_xlfn.XLOOKUP(1,(DESC_PROV[LINEA]=$B$2)*(DESC_PROV[LISTA]=$C$2),DESC_PROV[DESCUENTO]),0))
   *(1+VLOOKUP($C$2,LISTAS[],2,FALSE))
   *(1+VLOOKUP($C$2,LISTAS[],3,FALSE))
)
/5,0)*5,0)</f>
        <v>221815</v>
      </c>
      <c r="I8" s="65">
        <f t="array" ref="I8">IFERROR(
ROUND(
IF($A$2="COSTO",
   ((B8*(1+IFERROR(VLOOKUP($D$2,COLORES[],2,FALSE),0)))+(D8+C8+D8))
   *(1-IFERROR(_xlfn.XLOOKUP(1,(DESC_PROV[LINEA]=$B$2)*(DESC_PROV[LISTA]=$C$2),DESC_PROV[DESCUENTO]),0)),
   ((B8*(1+IFERROR(VLOOKUP($D$2,COLORES[],2,FALSE),0)))+(D8+C8+D8))
   *(1-IFERROR(_xlfn.XLOOKUP(1,(DESC_PROV[LINEA]=$B$2)*(DESC_PROV[LISTA]=$C$2),DESC_PROV[DESCUENTO]),0))
   *(1+VLOOKUP($C$2,LISTAS[],2,FALSE))
   *(1+VLOOKUP($C$2,LISTAS[],3,FALSE))
)
/5,0)*5,0)</f>
        <v>334415</v>
      </c>
      <c r="J8" s="66">
        <f t="array" ref="J8">IFERROR(
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/5,0)*5,0)</f>
        <v>276210</v>
      </c>
    </row>
    <row r="9" spans="1:10">
      <c r="A9" s="149" t="s">
        <v>273</v>
      </c>
      <c r="B9" s="64">
        <v>164244</v>
      </c>
      <c r="C9" s="64">
        <v>77490</v>
      </c>
      <c r="D9" s="64">
        <v>22209</v>
      </c>
      <c r="E9" s="64">
        <v>74200</v>
      </c>
      <c r="F9" s="2"/>
      <c r="G9" s="149" t="s">
        <v>273</v>
      </c>
      <c r="H9" s="65">
        <f t="array" ref="H9">IFERROR(
ROUND(
IF($A$2="COSTO",
   ((B9*(1+IFERROR(VLOOKUP($D$2,COLORES[],2,FALSE),0)))+D9)
   *(1-IFERROR(_xlfn.XLOOKUP(1,(DESC_PROV[LINEA]=$B$2)*(DESC_PROV[LISTA]=$C$2),DESC_PROV[DESCUENTO]),0)),
   ((B9*(1+IFERROR(VLOOKUP($D$2,COLORES[],2,FALSE),0)))+D9)
   *(1-IFERROR(_xlfn.XLOOKUP(1,(DESC_PROV[LINEA]=$B$2)*(DESC_PROV[LISTA]=$C$2),DESC_PROV[DESCUENTO]),0))
   *(1+VLOOKUP($C$2,LISTAS[],2,FALSE))
   *(1+VLOOKUP($C$2,LISTAS[],3,FALSE))
)
/5,0)*5,0)</f>
        <v>238945</v>
      </c>
      <c r="I9" s="65">
        <f t="array" ref="I9">IFERROR(
ROUND(
IF($A$2="COSTO",
   ((B9*(1+IFERROR(VLOOKUP($D$2,COLORES[],2,FALSE),0)))+(D9+C9+D9))
   *(1-IFERROR(_xlfn.XLOOKUP(1,(DESC_PROV[LINEA]=$B$2)*(DESC_PROV[LISTA]=$C$2),DESC_PROV[DESCUENTO]),0)),
   ((B9*(1+IFERROR(VLOOKUP($D$2,COLORES[],2,FALSE),0)))+(D9+C9+D9))
   *(1-IFERROR(_xlfn.XLOOKUP(1,(DESC_PROV[LINEA]=$B$2)*(DESC_PROV[LISTA]=$C$2),DESC_PROV[DESCUENTO]),0))
   *(1+VLOOKUP($C$2,LISTAS[],2,FALSE))
   *(1+VLOOKUP($C$2,LISTAS[],3,FALSE))
)
/5,0)*5,0)</f>
        <v>366715</v>
      </c>
      <c r="J9" s="66">
        <f t="array" ref="J9">IFERROR(
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/5,0)*5,0)</f>
        <v>305575</v>
      </c>
    </row>
    <row r="10" spans="1:10">
      <c r="A10" s="149" t="s">
        <v>274</v>
      </c>
      <c r="B10" s="64">
        <v>170596</v>
      </c>
      <c r="C10" s="64">
        <v>82656</v>
      </c>
      <c r="D10" s="64">
        <v>24935</v>
      </c>
      <c r="E10" s="64">
        <v>83282</v>
      </c>
      <c r="F10" s="2"/>
      <c r="G10" s="149" t="s">
        <v>274</v>
      </c>
      <c r="H10" s="65">
        <f t="array" ref="H10">IFERROR(
ROUND(
IF($A$2="COSTO",
   ((B10*(1+IFERROR(VLOOKUP($D$2,COLORES[],2,FALSE),0)))+D10)
   *(1-IFERROR(_xlfn.XLOOKUP(1,(DESC_PROV[LINEA]=$B$2)*(DESC_PROV[LISTA]=$C$2),DESC_PROV[DESCUENTO]),0)),
   ((B10*(1+IFERROR(VLOOKUP($D$2,COLORES[],2,FALSE),0)))+D10)
   *(1-IFERROR(_xlfn.XLOOKUP(1,(DESC_PROV[LINEA]=$B$2)*(DESC_PROV[LISTA]=$C$2),DESC_PROV[DESCUENTO]),0))
   *(1+VLOOKUP($C$2,LISTAS[],2,FALSE))
   *(1+VLOOKUP($C$2,LISTAS[],3,FALSE))
)
/5,0)*5,0)</f>
        <v>250580</v>
      </c>
      <c r="I10" s="65">
        <f t="array" ref="I10">IFERROR(
ROUND(
IF($A$2="COSTO",
   ((B10*(1+IFERROR(VLOOKUP($D$2,COLORES[],2,FALSE),0)))+(D10+C10+D10))
   *(1-IFERROR(_xlfn.XLOOKUP(1,(DESC_PROV[LINEA]=$B$2)*(DESC_PROV[LISTA]=$C$2),DESC_PROV[DESCUENTO]),0)),
   ((B10*(1+IFERROR(VLOOKUP($D$2,COLORES[],2,FALSE),0)))+(D10+C10+D10))
   *(1-IFERROR(_xlfn.XLOOKUP(1,(DESC_PROV[LINEA]=$B$2)*(DESC_PROV[LISTA]=$C$2),DESC_PROV[DESCUENTO]),0))
   *(1+VLOOKUP($C$2,LISTAS[],2,FALSE))
   *(1+VLOOKUP($C$2,LISTAS[],3,FALSE))
)
/5,0)*5,0)</f>
        <v>388465</v>
      </c>
      <c r="J10" s="66">
        <f t="array" ref="J10">IFERROR(
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/5,0)*5,0)</f>
        <v>325355</v>
      </c>
    </row>
    <row r="11" spans="1:10">
      <c r="A11" s="149" t="s">
        <v>175</v>
      </c>
      <c r="B11" s="64">
        <v>152076</v>
      </c>
      <c r="C11" s="64">
        <v>67158</v>
      </c>
      <c r="D11" s="64">
        <v>16553</v>
      </c>
      <c r="E11" s="64">
        <v>54955</v>
      </c>
      <c r="F11" s="2"/>
      <c r="G11" s="149" t="s">
        <v>175</v>
      </c>
      <c r="H11" s="65">
        <f t="array" ref="H11">IFERROR(
ROUND(
IF($A$2="COSTO",
   ((B11*(1+IFERROR(VLOOKUP($D$2,COLORES[],2,FALSE),0)))+D11)
   *(1-IFERROR(_xlfn.XLOOKUP(1,(DESC_PROV[LINEA]=$B$2)*(DESC_PROV[LISTA]=$C$2),DESC_PROV[DESCUENTO]),0)),
   ((B11*(1+IFERROR(VLOOKUP($D$2,COLORES[],2,FALSE),0)))+D11)
   *(1-IFERROR(_xlfn.XLOOKUP(1,(DESC_PROV[LINEA]=$B$2)*(DESC_PROV[LISTA]=$C$2),DESC_PROV[DESCUENTO]),0))
   *(1+VLOOKUP($C$2,LISTAS[],2,FALSE))
   *(1+VLOOKUP($C$2,LISTAS[],3,FALSE))
)
/5,0)*5,0)</f>
        <v>216105</v>
      </c>
      <c r="I11" s="65">
        <f t="array" ref="I11">IFERROR(
ROUND(
IF($A$2="COSTO",
   ((B11*(1+IFERROR(VLOOKUP($D$2,COLORES[],2,FALSE),0)))+(D11+C11+D11))
   *(1-IFERROR(_xlfn.XLOOKUP(1,(DESC_PROV[LINEA]=$B$2)*(DESC_PROV[LISTA]=$C$2),DESC_PROV[DESCUENTO]),0)),
   ((B11*(1+IFERROR(VLOOKUP($D$2,COLORES[],2,FALSE),0)))+(D11+C11+D11))
   *(1-IFERROR(_xlfn.XLOOKUP(1,(DESC_PROV[LINEA]=$B$2)*(DESC_PROV[LISTA]=$C$2),DESC_PROV[DESCUENTO]),0))
   *(1+VLOOKUP($C$2,LISTAS[],2,FALSE))
   *(1+VLOOKUP($C$2,LISTAS[],3,FALSE))
)
/5,0)*5,0)</f>
        <v>323385</v>
      </c>
      <c r="J11" s="66">
        <f t="array" ref="J11">IFERROR(
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/5,0)*5,0)</f>
        <v>265320</v>
      </c>
    </row>
    <row r="12" spans="1:10">
      <c r="A12" s="149" t="s">
        <v>275</v>
      </c>
      <c r="B12" s="64">
        <v>158569</v>
      </c>
      <c r="C12" s="64">
        <v>72324</v>
      </c>
      <c r="D12" s="64">
        <v>20183</v>
      </c>
      <c r="E12" s="64">
        <v>67065</v>
      </c>
      <c r="F12" s="2"/>
      <c r="G12" s="149" t="s">
        <v>275</v>
      </c>
      <c r="H12" s="65">
        <f t="array" ref="H12">IFERROR(
ROUND(
IF($A$2="COSTO",
   ((B12*(1+IFERROR(VLOOKUP($D$2,COLORES[],2,FALSE),0)))+D12)
   *(1-IFERROR(_xlfn.XLOOKUP(1,(DESC_PROV[LINEA]=$B$2)*(DESC_PROV[LISTA]=$C$2),DESC_PROV[DESCUENTO]),0)),
   ((B12*(1+IFERROR(VLOOKUP($D$2,COLORES[],2,FALSE),0)))+D12)
   *(1-IFERROR(_xlfn.XLOOKUP(1,(DESC_PROV[LINEA]=$B$2)*(DESC_PROV[LISTA]=$C$2),DESC_PROV[DESCUENTO]),0))
   *(1+VLOOKUP($C$2,LISTAS[],2,FALSE))
   *(1+VLOOKUP($C$2,LISTAS[],3,FALSE))
)
/5,0)*5,0)</f>
        <v>229080</v>
      </c>
      <c r="I12" s="65">
        <f t="array" ref="I12">IFERROR(
ROUND(
IF($A$2="COSTO",
   ((B12*(1+IFERROR(VLOOKUP($D$2,COLORES[],2,FALSE),0)))+(D12+C12+D12))
   *(1-IFERROR(_xlfn.XLOOKUP(1,(DESC_PROV[LINEA]=$B$2)*(DESC_PROV[LISTA]=$C$2),DESC_PROV[DESCUENTO]),0)),
   ((B12*(1+IFERROR(VLOOKUP($D$2,COLORES[],2,FALSE),0)))+(D12+C12+D12))
   *(1-IFERROR(_xlfn.XLOOKUP(1,(DESC_PROV[LINEA]=$B$2)*(DESC_PROV[LISTA]=$C$2),DESC_PROV[DESCUENTO]),0))
   *(1+VLOOKUP($C$2,LISTAS[],2,FALSE))
   *(1+VLOOKUP($C$2,LISTAS[],3,FALSE))
)
/5,0)*5,0)</f>
        <v>347630</v>
      </c>
      <c r="J12" s="66">
        <f t="array" ref="J12">IFERROR(
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/5,0)*5,0)</f>
        <v>289160</v>
      </c>
    </row>
    <row r="13" spans="1:10">
      <c r="A13" s="149" t="s">
        <v>276</v>
      </c>
      <c r="B13" s="64">
        <v>169835</v>
      </c>
      <c r="C13" s="64">
        <v>80073</v>
      </c>
      <c r="D13" s="64">
        <v>24466</v>
      </c>
      <c r="E13" s="64">
        <v>81769</v>
      </c>
      <c r="F13" s="2"/>
      <c r="G13" s="149" t="s">
        <v>276</v>
      </c>
      <c r="H13" s="65">
        <f t="array" ref="H13">IFERROR(
ROUND(
IF($A$2="COSTO",
   ((B13*(1+IFERROR(VLOOKUP($D$2,COLORES[],2,FALSE),0)))+D13)
   *(1-IFERROR(_xlfn.XLOOKUP(1,(DESC_PROV[LINEA]=$B$2)*(DESC_PROV[LISTA]=$C$2),DESC_PROV[DESCUENTO]),0)),
   ((B13*(1+IFERROR(VLOOKUP($D$2,COLORES[],2,FALSE),0)))+D13)
   *(1-IFERROR(_xlfn.XLOOKUP(1,(DESC_PROV[LINEA]=$B$2)*(DESC_PROV[LISTA]=$C$2),DESC_PROV[DESCUENTO]),0))
   *(1+VLOOKUP($C$2,LISTAS[],2,FALSE))
   *(1+VLOOKUP($C$2,LISTAS[],3,FALSE))
)
/5,0)*5,0)</f>
        <v>249005</v>
      </c>
      <c r="I13" s="65">
        <f t="array" ref="I13">IFERROR(
ROUND(
IF($A$2="COSTO",
   ((B13*(1+IFERROR(VLOOKUP($D$2,COLORES[],2,FALSE),0)))+(D13+C13+D13))
   *(1-IFERROR(_xlfn.XLOOKUP(1,(DESC_PROV[LINEA]=$B$2)*(DESC_PROV[LISTA]=$C$2),DESC_PROV[DESCUENTO]),0)),
   ((B13*(1+IFERROR(VLOOKUP($D$2,COLORES[],2,FALSE),0)))+(D13+C13+D13))
   *(1-IFERROR(_xlfn.XLOOKUP(1,(DESC_PROV[LINEA]=$B$2)*(DESC_PROV[LISTA]=$C$2),DESC_PROV[DESCUENTO]),0))
   *(1+VLOOKUP($C$2,LISTAS[],2,FALSE))
   *(1+VLOOKUP($C$2,LISTAS[],3,FALSE))
)
/5,0)*5,0)</f>
        <v>382975</v>
      </c>
      <c r="J13" s="66">
        <f t="array" ref="J13">IFERROR(
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/5,0)*5,0)</f>
        <v>322440</v>
      </c>
    </row>
    <row r="14" spans="1:10">
      <c r="A14" s="149" t="s">
        <v>277</v>
      </c>
      <c r="B14" s="64">
        <v>179119</v>
      </c>
      <c r="C14" s="64">
        <v>87822</v>
      </c>
      <c r="D14" s="64">
        <v>29905</v>
      </c>
      <c r="E14" s="64">
        <v>99909</v>
      </c>
      <c r="F14" s="2"/>
      <c r="G14" s="149" t="s">
        <v>277</v>
      </c>
      <c r="H14" s="65">
        <f t="array" ref="H14">IFERROR(
ROUND(
IF($A$2="COSTO",
   ((B14*(1+IFERROR(VLOOKUP($D$2,COLORES[],2,FALSE),0)))+D14)
   *(1-IFERROR(_xlfn.XLOOKUP(1,(DESC_PROV[LINEA]=$B$2)*(DESC_PROV[LISTA]=$C$2),DESC_PROV[DESCUENTO]),0)),
   ((B14*(1+IFERROR(VLOOKUP($D$2,COLORES[],2,FALSE),0)))+D14)
   *(1-IFERROR(_xlfn.XLOOKUP(1,(DESC_PROV[LINEA]=$B$2)*(DESC_PROV[LISTA]=$C$2),DESC_PROV[DESCUENTO]),0))
   *(1+VLOOKUP($C$2,LISTAS[],2,FALSE))
   *(1+VLOOKUP($C$2,LISTAS[],3,FALSE))
)
/5,0)*5,0)</f>
        <v>267875</v>
      </c>
      <c r="I14" s="65">
        <f t="array" ref="I14">IFERROR(
ROUND(
IF($A$2="COSTO",
   ((B14*(1+IFERROR(VLOOKUP($D$2,COLORES[],2,FALSE),0)))+(D14+C14+D14))
   *(1-IFERROR(_xlfn.XLOOKUP(1,(DESC_PROV[LINEA]=$B$2)*(DESC_PROV[LISTA]=$C$2),DESC_PROV[DESCUENTO]),0)),
   ((B14*(1+IFERROR(VLOOKUP($D$2,COLORES[],2,FALSE),0)))+(D14+C14+D14))
   *(1-IFERROR(_xlfn.XLOOKUP(1,(DESC_PROV[LINEA]=$B$2)*(DESC_PROV[LISTA]=$C$2),DESC_PROV[DESCUENTO]),0))
   *(1+VLOOKUP($C$2,LISTAS[],2,FALSE))
   *(1+VLOOKUP($C$2,LISTAS[],3,FALSE))
)
/5,0)*5,0)</f>
        <v>418745</v>
      </c>
      <c r="J14" s="66">
        <f t="array" ref="J14">IFERROR(
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/5,0)*5,0)</f>
        <v>357585</v>
      </c>
    </row>
    <row r="15" spans="1:10">
      <c r="A15" s="149" t="s">
        <v>278</v>
      </c>
      <c r="B15" s="64">
        <v>185471</v>
      </c>
      <c r="C15" s="64">
        <v>92988</v>
      </c>
      <c r="D15" s="64">
        <v>33535</v>
      </c>
      <c r="E15" s="64">
        <v>112026</v>
      </c>
      <c r="F15" s="2"/>
      <c r="G15" s="149" t="s">
        <v>278</v>
      </c>
      <c r="H15" s="65">
        <f t="array" ref="H15">IFERROR(
ROUND(
IF($A$2="COSTO",
   ((B15*(1+IFERROR(VLOOKUP($D$2,COLORES[],2,FALSE),0)))+D15)
   *(1-IFERROR(_xlfn.XLOOKUP(1,(DESC_PROV[LINEA]=$B$2)*(DESC_PROV[LISTA]=$C$2),DESC_PROV[DESCUENTO]),0)),
   ((B15*(1+IFERROR(VLOOKUP($D$2,COLORES[],2,FALSE),0)))+D15)
   *(1-IFERROR(_xlfn.XLOOKUP(1,(DESC_PROV[LINEA]=$B$2)*(DESC_PROV[LISTA]=$C$2),DESC_PROV[DESCUENTO]),0))
   *(1+VLOOKUP($C$2,LISTAS[],2,FALSE))
   *(1+VLOOKUP($C$2,LISTAS[],3,FALSE))
)
/5,0)*5,0)</f>
        <v>280665</v>
      </c>
      <c r="I15" s="65">
        <f t="array" ref="I15">IFERROR(
ROUND(
IF($A$2="COSTO",
   ((B15*(1+IFERROR(VLOOKUP($D$2,COLORES[],2,FALSE),0)))+(D15+C15+D15))
   *(1-IFERROR(_xlfn.XLOOKUP(1,(DESC_PROV[LINEA]=$B$2)*(DESC_PROV[LISTA]=$C$2),DESC_PROV[DESCUENTO]),0)),
   ((B15*(1+IFERROR(VLOOKUP($D$2,COLORES[],2,FALSE),0)))+(D15+C15+D15))
   *(1-IFERROR(_xlfn.XLOOKUP(1,(DESC_PROV[LINEA]=$B$2)*(DESC_PROV[LISTA]=$C$2),DESC_PROV[DESCUENTO]),0))
   *(1+VLOOKUP($C$2,LISTAS[],2,FALSE))
   *(1+VLOOKUP($C$2,LISTAS[],3,FALSE))
)
/5,0)*5,0)</f>
        <v>442810</v>
      </c>
      <c r="J15" s="66">
        <f t="array" ref="J15">IFERROR(
ROUND(
IF($A$2="COSTO",
   ((B15*(1+IFERROR(VLOOKUP($D$2,COLORES[],2,FALSE),0)))+E15)
   *(1-IFERROR(_xlfn.XLOOKUP(1,(DESC_PROV[LINEA]=$B$2)*(DESC_PROV[LISTA]=$C$2),DESC_PROV[DESCUENTO]),0)),
   ((B15*(1+IFERROR(VLOOKUP($D$2,COLORES[],2,FALSE),0)))+E15)
   *(1-IFERROR(_xlfn.XLOOKUP(1,(DESC_PROV[LINEA]=$B$2)*(DESC_PROV[LISTA]=$C$2),DESC_PROV[DESCUENTO]),0))
   *(1+VLOOKUP($C$2,LISTAS[],2,FALSE))
   *(1+VLOOKUP($C$2,LISTAS[],3,FALSE))
)
/5,0)*5,0)</f>
        <v>381255</v>
      </c>
    </row>
    <row r="16" spans="1:10">
      <c r="A16" s="149" t="s">
        <v>15</v>
      </c>
      <c r="B16" s="64">
        <v>166951</v>
      </c>
      <c r="C16" s="64">
        <v>77490</v>
      </c>
      <c r="D16" s="64">
        <v>20196</v>
      </c>
      <c r="E16" s="64">
        <v>65886</v>
      </c>
      <c r="F16" s="2"/>
      <c r="G16" s="149" t="s">
        <v>15</v>
      </c>
      <c r="H16" s="65">
        <f t="array" ref="H16">IFERROR(
ROUND(
IF($A$2="COSTO",
   ((B16*(1+IFERROR(VLOOKUP($D$2,COLORES[],2,FALSE),0)))+D16)
   *(1-IFERROR(_xlfn.XLOOKUP(1,(DESC_PROV[LINEA]=$B$2)*(DESC_PROV[LISTA]=$C$2),DESC_PROV[DESCUENTO]),0)),
   ((B16*(1+IFERROR(VLOOKUP($D$2,COLORES[],2,FALSE),0)))+D16)
   *(1-IFERROR(_xlfn.XLOOKUP(1,(DESC_PROV[LINEA]=$B$2)*(DESC_PROV[LISTA]=$C$2),DESC_PROV[DESCUENTO]),0))
   *(1+VLOOKUP($C$2,LISTAS[],2,FALSE))
   *(1+VLOOKUP($C$2,LISTAS[],3,FALSE))
)
/5,0)*5,0)</f>
        <v>239835</v>
      </c>
      <c r="I16" s="65">
        <f t="array" ref="I16">IFERROR(
ROUND(
IF($A$2="COSTO",
   ((B16*(1+IFERROR(VLOOKUP($D$2,COLORES[],2,FALSE),0)))+(D16+C16+D16))
   *(1-IFERROR(_xlfn.XLOOKUP(1,(DESC_PROV[LINEA]=$B$2)*(DESC_PROV[LISTA]=$C$2),DESC_PROV[DESCUENTO]),0)),
   ((B16*(1+IFERROR(VLOOKUP($D$2,COLORES[],2,FALSE),0)))+(D16+C16+D16))
   *(1-IFERROR(_xlfn.XLOOKUP(1,(DESC_PROV[LINEA]=$B$2)*(DESC_PROV[LISTA]=$C$2),DESC_PROV[DESCUENTO]),0))
   *(1+VLOOKUP($C$2,LISTAS[],2,FALSE))
   *(1+VLOOKUP($C$2,LISTAS[],3,FALSE))
)
/5,0)*5,0)</f>
        <v>365025</v>
      </c>
      <c r="J16" s="66">
        <f t="array" ref="J16">IFERROR(
ROUND(
IF($A$2="COSTO",
   ((B16*(1+IFERROR(VLOOKUP($D$2,COLORES[],2,FALSE),0)))+E16)
   *(1-IFERROR(_xlfn.XLOOKUP(1,(DESC_PROV[LINEA]=$B$2)*(DESC_PROV[LISTA]=$C$2),DESC_PROV[DESCUENTO]),0)),
   ((B16*(1+IFERROR(VLOOKUP($D$2,COLORES[],2,FALSE),0)))+E16)
   *(1-IFERROR(_xlfn.XLOOKUP(1,(DESC_PROV[LINEA]=$B$2)*(DESC_PROV[LISTA]=$C$2),DESC_PROV[DESCUENTO]),0))
   *(1+VLOOKUP($C$2,LISTAS[],2,FALSE))
   *(1+VLOOKUP($C$2,LISTAS[],3,FALSE))
)
/5,0)*5,0)</f>
        <v>298390</v>
      </c>
    </row>
    <row r="17" spans="1:10">
      <c r="A17" s="149" t="s">
        <v>102</v>
      </c>
      <c r="B17" s="64">
        <v>173444</v>
      </c>
      <c r="C17" s="64">
        <v>82656</v>
      </c>
      <c r="D17" s="64">
        <v>24730</v>
      </c>
      <c r="E17" s="64">
        <v>75676</v>
      </c>
      <c r="F17" s="2"/>
      <c r="G17" s="149" t="s">
        <v>102</v>
      </c>
      <c r="H17" s="65">
        <f t="array" ref="H17">IFERROR(
ROUND(
IF($A$2="COSTO",
   ((B17*(1+IFERROR(VLOOKUP($D$2,COLORES[],2,FALSE),0)))+D17)
   *(1-IFERROR(_xlfn.XLOOKUP(1,(DESC_PROV[LINEA]=$B$2)*(DESC_PROV[LISTA]=$C$2),DESC_PROV[DESCUENTO]),0)),
   ((B17*(1+IFERROR(VLOOKUP($D$2,COLORES[],2,FALSE),0)))+D17)
   *(1-IFERROR(_xlfn.XLOOKUP(1,(DESC_PROV[LINEA]=$B$2)*(DESC_PROV[LISTA]=$C$2),DESC_PROV[DESCUENTO]),0))
   *(1+VLOOKUP($C$2,LISTAS[],2,FALSE))
   *(1+VLOOKUP($C$2,LISTAS[],3,FALSE))
)
/5,0)*5,0)</f>
        <v>253970</v>
      </c>
      <c r="I17" s="65">
        <f t="array" ref="I17">IFERROR(
ROUND(
IF($A$2="COSTO",
   ((B17*(1+IFERROR(VLOOKUP($D$2,COLORES[],2,FALSE),0)))+(D17+C17+D17))
   *(1-IFERROR(_xlfn.XLOOKUP(1,(DESC_PROV[LINEA]=$B$2)*(DESC_PROV[LISTA]=$C$2),DESC_PROV[DESCUENTO]),0)),
   ((B17*(1+IFERROR(VLOOKUP($D$2,COLORES[],2,FALSE),0)))+(D17+C17+D17))
   *(1-IFERROR(_xlfn.XLOOKUP(1,(DESC_PROV[LINEA]=$B$2)*(DESC_PROV[LISTA]=$C$2),DESC_PROV[DESCUENTO]),0))
   *(1+VLOOKUP($C$2,LISTAS[],2,FALSE))
   *(1+VLOOKUP($C$2,LISTAS[],3,FALSE))
)
/5,0)*5,0)</f>
        <v>391585</v>
      </c>
      <c r="J17" s="66">
        <f t="array" ref="J17">IFERROR(
ROUND(
IF($A$2="COSTO",
   ((B17*(1+IFERROR(VLOOKUP($D$2,COLORES[],2,FALSE),0)))+E17)
   *(1-IFERROR(_xlfn.XLOOKUP(1,(DESC_PROV[LINEA]=$B$2)*(DESC_PROV[LISTA]=$C$2),DESC_PROV[DESCUENTO]),0)),
   ((B17*(1+IFERROR(VLOOKUP($D$2,COLORES[],2,FALSE),0)))+E17)
   *(1-IFERROR(_xlfn.XLOOKUP(1,(DESC_PROV[LINEA]=$B$2)*(DESC_PROV[LISTA]=$C$2),DESC_PROV[DESCUENTO]),0))
   *(1+VLOOKUP($C$2,LISTAS[],2,FALSE))
   *(1+VLOOKUP($C$2,LISTAS[],3,FALSE))
)
/5,0)*5,0)</f>
        <v>319255</v>
      </c>
    </row>
    <row r="18" spans="1:10">
      <c r="A18" s="149" t="s">
        <v>16</v>
      </c>
      <c r="B18" s="64">
        <v>184710</v>
      </c>
      <c r="C18" s="64">
        <v>90405</v>
      </c>
      <c r="D18" s="64">
        <v>30809</v>
      </c>
      <c r="E18" s="64">
        <v>89338</v>
      </c>
      <c r="F18" s="2"/>
      <c r="G18" s="149" t="s">
        <v>16</v>
      </c>
      <c r="H18" s="65">
        <f t="array" ref="H18">IFERROR(
ROUND(
IF($A$2="COSTO",
   ((B18*(1+IFERROR(VLOOKUP($D$2,COLORES[],2,FALSE),0)))+D18)
   *(1-IFERROR(_xlfn.XLOOKUP(1,(DESC_PROV[LINEA]=$B$2)*(DESC_PROV[LISTA]=$C$2),DESC_PROV[DESCUENTO]),0)),
   ((B18*(1+IFERROR(VLOOKUP($D$2,COLORES[],2,FALSE),0)))+D18)
   *(1-IFERROR(_xlfn.XLOOKUP(1,(DESC_PROV[LINEA]=$B$2)*(DESC_PROV[LISTA]=$C$2),DESC_PROV[DESCUENTO]),0))
   *(1+VLOOKUP($C$2,LISTAS[],2,FALSE))
   *(1+VLOOKUP($C$2,LISTAS[],3,FALSE))
)
/5,0)*5,0)</f>
        <v>276195</v>
      </c>
      <c r="I18" s="65">
        <f t="array" ref="I18">IFERROR(
ROUND(
IF($A$2="COSTO",
   ((B18*(1+IFERROR(VLOOKUP($D$2,COLORES[],2,FALSE),0)))+(D18+C18+D18))
   *(1-IFERROR(_xlfn.XLOOKUP(1,(DESC_PROV[LINEA]=$B$2)*(DESC_PROV[LISTA]=$C$2),DESC_PROV[DESCUENTO]),0)),
   ((B18*(1+IFERROR(VLOOKUP($D$2,COLORES[],2,FALSE),0)))+(D18+C18+D18))
   *(1-IFERROR(_xlfn.XLOOKUP(1,(DESC_PROV[LINEA]=$B$2)*(DESC_PROV[LISTA]=$C$2),DESC_PROV[DESCUENTO]),0))
   *(1+VLOOKUP($C$2,LISTAS[],2,FALSE))
   *(1+VLOOKUP($C$2,LISTAS[],3,FALSE))
)
/5,0)*5,0)</f>
        <v>431535</v>
      </c>
      <c r="J18" s="66">
        <f t="array" ref="J18">IFERROR(
ROUND(
IF($A$2="COSTO",
   ((B18*(1+IFERROR(VLOOKUP($D$2,COLORES[],2,FALSE),0)))+E18)
   *(1-IFERROR(_xlfn.XLOOKUP(1,(DESC_PROV[LINEA]=$B$2)*(DESC_PROV[LISTA]=$C$2),DESC_PROV[DESCUENTO]),0)),
   ((B18*(1+IFERROR(VLOOKUP($D$2,COLORES[],2,FALSE),0)))+E18)
   *(1-IFERROR(_xlfn.XLOOKUP(1,(DESC_PROV[LINEA]=$B$2)*(DESC_PROV[LISTA]=$C$2),DESC_PROV[DESCUENTO]),0))
   *(1+VLOOKUP($C$2,LISTAS[],2,FALSE))
   *(1+VLOOKUP($C$2,LISTAS[],3,FALSE))
)
/5,0)*5,0)</f>
        <v>351205</v>
      </c>
    </row>
    <row r="19" spans="1:10">
      <c r="A19" s="149" t="s">
        <v>103</v>
      </c>
      <c r="B19" s="64">
        <v>191175</v>
      </c>
      <c r="C19" s="64">
        <v>98154</v>
      </c>
      <c r="D19" s="64">
        <v>37607</v>
      </c>
      <c r="E19" s="64">
        <v>114160</v>
      </c>
      <c r="F19" s="2"/>
      <c r="G19" s="149" t="s">
        <v>103</v>
      </c>
      <c r="H19" s="65">
        <f t="array" ref="H19">IFERROR(
ROUND(
IF($A$2="COSTO",
   ((B19*(1+IFERROR(VLOOKUP($D$2,COLORES[],2,FALSE),0)))+D19)
   *(1-IFERROR(_xlfn.XLOOKUP(1,(DESC_PROV[LINEA]=$B$2)*(DESC_PROV[LISTA]=$C$2),DESC_PROV[DESCUENTO]),0)),
   ((B19*(1+IFERROR(VLOOKUP($D$2,COLORES[],2,FALSE),0)))+D19)
   *(1-IFERROR(_xlfn.XLOOKUP(1,(DESC_PROV[LINEA]=$B$2)*(DESC_PROV[LISTA]=$C$2),DESC_PROV[DESCUENTO]),0))
   *(1+VLOOKUP($C$2,LISTAS[],2,FALSE))
   *(1+VLOOKUP($C$2,LISTAS[],3,FALSE))
)
/5,0)*5,0)</f>
        <v>293195</v>
      </c>
      <c r="I19" s="65">
        <f t="array" ref="I19">IFERROR(
ROUND(
IF($A$2="COSTO",
   ((B19*(1+IFERROR(VLOOKUP($D$2,COLORES[],2,FALSE),0)))+(D19+C19+D19))
   *(1-IFERROR(_xlfn.XLOOKUP(1,(DESC_PROV[LINEA]=$B$2)*(DESC_PROV[LISTA]=$C$2),DESC_PROV[DESCUENTO]),0)),
   ((B19*(1+IFERROR(VLOOKUP($D$2,COLORES[],2,FALSE),0)))+(D19+C19+D19))
   *(1-IFERROR(_xlfn.XLOOKUP(1,(DESC_PROV[LINEA]=$B$2)*(DESC_PROV[LISTA]=$C$2),DESC_PROV[DESCUENTO]),0))
   *(1+VLOOKUP($C$2,LISTAS[],2,FALSE))
   *(1+VLOOKUP($C$2,LISTAS[],3,FALSE))
)
/5,0)*5,0)</f>
        <v>467175</v>
      </c>
      <c r="J19" s="66">
        <f t="array" ref="J19">IFERROR(
ROUND(
IF($A$2="COSTO",
   ((B19*(1+IFERROR(VLOOKUP($D$2,COLORES[],2,FALSE),0)))+E19)
   *(1-IFERROR(_xlfn.XLOOKUP(1,(DESC_PROV[LINEA]=$B$2)*(DESC_PROV[LISTA]=$C$2),DESC_PROV[DESCUENTO]),0)),
   ((B19*(1+IFERROR(VLOOKUP($D$2,COLORES[],2,FALSE),0)))+E19)
   *(1-IFERROR(_xlfn.XLOOKUP(1,(DESC_PROV[LINEA]=$B$2)*(DESC_PROV[LISTA]=$C$2),DESC_PROV[DESCUENTO]),0))
   *(1+VLOOKUP($C$2,LISTAS[],2,FALSE))
   *(1+VLOOKUP($C$2,LISTAS[],3,FALSE))
)
/5,0)*5,0)</f>
        <v>391300</v>
      </c>
    </row>
    <row r="20" spans="1:10">
      <c r="A20" s="149" t="s">
        <v>104</v>
      </c>
      <c r="B20" s="64">
        <v>200347</v>
      </c>
      <c r="C20" s="64">
        <v>103320</v>
      </c>
      <c r="D20" s="64">
        <v>42141</v>
      </c>
      <c r="E20" s="64">
        <v>125799</v>
      </c>
      <c r="F20" s="2"/>
      <c r="G20" s="149" t="s">
        <v>104</v>
      </c>
      <c r="H20" s="65">
        <f t="array" ref="H20">IFERROR(
ROUND(
IF($A$2="COSTO",
   ((B20*(1+IFERROR(VLOOKUP($D$2,COLORES[],2,FALSE),0)))+D20)
   *(1-IFERROR(_xlfn.XLOOKUP(1,(DESC_PROV[LINEA]=$B$2)*(DESC_PROV[LISTA]=$C$2),DESC_PROV[DESCUENTO]),0)),
   ((B20*(1+IFERROR(VLOOKUP($D$2,COLORES[],2,FALSE),0)))+D20)
   *(1-IFERROR(_xlfn.XLOOKUP(1,(DESC_PROV[LINEA]=$B$2)*(DESC_PROV[LISTA]=$C$2),DESC_PROV[DESCUENTO]),0))
   *(1+VLOOKUP($C$2,LISTAS[],2,FALSE))
   *(1+VLOOKUP($C$2,LISTAS[],3,FALSE))
)
/5,0)*5,0)</f>
        <v>310760</v>
      </c>
      <c r="I20" s="65">
        <f t="array" ref="I20">IFERROR(
ROUND(
IF($A$2="COSTO",
   ((B20*(1+IFERROR(VLOOKUP($D$2,COLORES[],2,FALSE),0)))+(D20+C20+D20))
   *(1-IFERROR(_xlfn.XLOOKUP(1,(DESC_PROV[LINEA]=$B$2)*(DESC_PROV[LISTA]=$C$2),DESC_PROV[DESCUENTO]),0)),
   ((B20*(1+IFERROR(VLOOKUP($D$2,COLORES[],2,FALSE),0)))+(D20+C20+D20))
   *(1-IFERROR(_xlfn.XLOOKUP(1,(DESC_PROV[LINEA]=$B$2)*(DESC_PROV[LISTA]=$C$2),DESC_PROV[DESCUENTO]),0))
   *(1+VLOOKUP($C$2,LISTAS[],2,FALSE))
   *(1+VLOOKUP($C$2,LISTAS[],3,FALSE))
)
/5,0)*5,0)</f>
        <v>497170</v>
      </c>
      <c r="J20" s="66">
        <f t="array" ref="J20">IFERROR(
ROUND(
IF($A$2="COSTO",
   ((B20*(1+IFERROR(VLOOKUP($D$2,COLORES[],2,FALSE),0)))+E20)
   *(1-IFERROR(_xlfn.XLOOKUP(1,(DESC_PROV[LINEA]=$B$2)*(DESC_PROV[LISTA]=$C$2),DESC_PROV[DESCUENTO]),0)),
   ((B20*(1+IFERROR(VLOOKUP($D$2,COLORES[],2,FALSE),0)))+E20)
   *(1-IFERROR(_xlfn.XLOOKUP(1,(DESC_PROV[LINEA]=$B$2)*(DESC_PROV[LISTA]=$C$2),DESC_PROV[DESCUENTO]),0))
   *(1+VLOOKUP($C$2,LISTAS[],2,FALSE))
   *(1+VLOOKUP($C$2,LISTAS[],3,FALSE))
)
/5,0)*5,0)</f>
        <v>417970</v>
      </c>
    </row>
    <row r="21" spans="1:10">
      <c r="A21" s="149" t="s">
        <v>58</v>
      </c>
      <c r="B21" s="64">
        <v>174777</v>
      </c>
      <c r="C21" s="64">
        <v>82656</v>
      </c>
      <c r="D21" s="64">
        <v>22466</v>
      </c>
      <c r="E21" s="64">
        <v>80013</v>
      </c>
      <c r="F21" s="2"/>
      <c r="G21" s="149" t="s">
        <v>58</v>
      </c>
      <c r="H21" s="65">
        <f t="array" ref="H21">IFERROR(
ROUND(
IF($A$2="COSTO",
   ((B21*(1+IFERROR(VLOOKUP($D$2,COLORES[],2,FALSE),0)))+D21)
   *(1-IFERROR(_xlfn.XLOOKUP(1,(DESC_PROV[LINEA]=$B$2)*(DESC_PROV[LISTA]=$C$2),DESC_PROV[DESCUENTO]),0)),
   ((B21*(1+IFERROR(VLOOKUP($D$2,COLORES[],2,FALSE),0)))+D21)
   *(1-IFERROR(_xlfn.XLOOKUP(1,(DESC_PROV[LINEA]=$B$2)*(DESC_PROV[LISTA]=$C$2),DESC_PROV[DESCUENTO]),0))
   *(1+VLOOKUP($C$2,LISTAS[],2,FALSE))
   *(1+VLOOKUP($C$2,LISTAS[],3,FALSE))
)
/5,0)*5,0)</f>
        <v>252775</v>
      </c>
      <c r="I21" s="65">
        <f t="array" ref="I21">IFERROR(
ROUND(
IF($A$2="COSTO",
   ((B21*(1+IFERROR(VLOOKUP($D$2,COLORES[],2,FALSE),0)))+(D21+C21+D21))
   *(1-IFERROR(_xlfn.XLOOKUP(1,(DESC_PROV[LINEA]=$B$2)*(DESC_PROV[LISTA]=$C$2),DESC_PROV[DESCUENTO]),0)),
   ((B21*(1+IFERROR(VLOOKUP($D$2,COLORES[],2,FALSE),0)))+(D21+C21+D21))
   *(1-IFERROR(_xlfn.XLOOKUP(1,(DESC_PROV[LINEA]=$B$2)*(DESC_PROV[LISTA]=$C$2),DESC_PROV[DESCUENTO]),0))
   *(1+VLOOKUP($C$2,LISTAS[],2,FALSE))
   *(1+VLOOKUP($C$2,LISTAS[],3,FALSE))
)
/5,0)*5,0)</f>
        <v>387495</v>
      </c>
      <c r="J21" s="66">
        <f t="array" ref="J21">IFERROR(
ROUND(
IF($A$2="COSTO",
   ((B21*(1+IFERROR(VLOOKUP($D$2,COLORES[],2,FALSE),0)))+E21)
   *(1-IFERROR(_xlfn.XLOOKUP(1,(DESC_PROV[LINEA]=$B$2)*(DESC_PROV[LISTA]=$C$2),DESC_PROV[DESCUENTO]),0)),
   ((B21*(1+IFERROR(VLOOKUP($D$2,COLORES[],2,FALSE),0)))+E21)
   *(1-IFERROR(_xlfn.XLOOKUP(1,(DESC_PROV[LINEA]=$B$2)*(DESC_PROV[LISTA]=$C$2),DESC_PROV[DESCUENTO]),0))
   *(1+VLOOKUP($C$2,LISTAS[],2,FALSE))
   *(1+VLOOKUP($C$2,LISTAS[],3,FALSE))
)
/5,0)*5,0)</f>
        <v>326525</v>
      </c>
    </row>
    <row r="22" spans="1:10">
      <c r="A22" s="149" t="s">
        <v>59</v>
      </c>
      <c r="B22" s="64">
        <v>181270</v>
      </c>
      <c r="C22" s="64">
        <v>87822</v>
      </c>
      <c r="D22" s="64">
        <v>26994</v>
      </c>
      <c r="E22" s="64">
        <v>89362</v>
      </c>
      <c r="F22" s="2"/>
      <c r="G22" s="149" t="s">
        <v>59</v>
      </c>
      <c r="H22" s="65">
        <f t="array" ref="H22">IFERROR(
ROUND(
IF($A$2="COSTO",
   ((B22*(1+IFERROR(VLOOKUP($D$2,COLORES[],2,FALSE),0)))+D22)
   *(1-IFERROR(_xlfn.XLOOKUP(1,(DESC_PROV[LINEA]=$B$2)*(DESC_PROV[LISTA]=$C$2),DESC_PROV[DESCUENTO]),0)),
   ((B22*(1+IFERROR(VLOOKUP($D$2,COLORES[],2,FALSE),0)))+D22)
   *(1-IFERROR(_xlfn.XLOOKUP(1,(DESC_PROV[LINEA]=$B$2)*(DESC_PROV[LISTA]=$C$2),DESC_PROV[DESCUENTO]),0))
   *(1+VLOOKUP($C$2,LISTAS[],2,FALSE))
   *(1+VLOOKUP($C$2,LISTAS[],3,FALSE))
)
/5,0)*5,0)</f>
        <v>266900</v>
      </c>
      <c r="I22" s="65">
        <f t="array" ref="I22">IFERROR(
ROUND(
IF($A$2="COSTO",
   ((B22*(1+IFERROR(VLOOKUP($D$2,COLORES[],2,FALSE),0)))+(D22+C22+D22))
   *(1-IFERROR(_xlfn.XLOOKUP(1,(DESC_PROV[LINEA]=$B$2)*(DESC_PROV[LISTA]=$C$2),DESC_PROV[DESCUENTO]),0)),
   ((B22*(1+IFERROR(VLOOKUP($D$2,COLORES[],2,FALSE),0)))+(D22+C22+D22))
   *(1-IFERROR(_xlfn.XLOOKUP(1,(DESC_PROV[LINEA]=$B$2)*(DESC_PROV[LISTA]=$C$2),DESC_PROV[DESCUENTO]),0))
   *(1+VLOOKUP($C$2,LISTAS[],2,FALSE))
   *(1+VLOOKUP($C$2,LISTAS[],3,FALSE))
)
/5,0)*5,0)</f>
        <v>414040</v>
      </c>
      <c r="J22" s="66">
        <f t="array" ref="J22">IFERROR(
ROUND(
IF($A$2="COSTO",
   ((B22*(1+IFERROR(VLOOKUP($D$2,COLORES[],2,FALSE),0)))+E22)
   *(1-IFERROR(_xlfn.XLOOKUP(1,(DESC_PROV[LINEA]=$B$2)*(DESC_PROV[LISTA]=$C$2),DESC_PROV[DESCUENTO]),0)),
   ((B22*(1+IFERROR(VLOOKUP($D$2,COLORES[],2,FALSE),0)))+E22)
   *(1-IFERROR(_xlfn.XLOOKUP(1,(DESC_PROV[LINEA]=$B$2)*(DESC_PROV[LISTA]=$C$2),DESC_PROV[DESCUENTO]),0))
   *(1+VLOOKUP($C$2,LISTAS[],2,FALSE))
   *(1+VLOOKUP($C$2,LISTAS[],3,FALSE))
)
/5,0)*5,0)</f>
        <v>346825</v>
      </c>
    </row>
    <row r="23" spans="1:10">
      <c r="A23" s="149" t="s">
        <v>60</v>
      </c>
      <c r="B23" s="64">
        <v>192543</v>
      </c>
      <c r="C23" s="64">
        <v>95571</v>
      </c>
      <c r="D23" s="64">
        <v>33073</v>
      </c>
      <c r="E23" s="64">
        <v>103135</v>
      </c>
      <c r="F23" s="2"/>
      <c r="G23" s="149" t="s">
        <v>60</v>
      </c>
      <c r="H23" s="65">
        <f t="array" ref="H23">IFERROR(
ROUND(
IF($A$2="COSTO",
   ((B23*(1+IFERROR(VLOOKUP($D$2,COLORES[],2,FALSE),0)))+D23)
   *(1-IFERROR(_xlfn.XLOOKUP(1,(DESC_PROV[LINEA]=$B$2)*(DESC_PROV[LISTA]=$C$2),DESC_PROV[DESCUENTO]),0)),
   ((B23*(1+IFERROR(VLOOKUP($D$2,COLORES[],2,FALSE),0)))+D23)
   *(1-IFERROR(_xlfn.XLOOKUP(1,(DESC_PROV[LINEA]=$B$2)*(DESC_PROV[LISTA]=$C$2),DESC_PROV[DESCUENTO]),0))
   *(1+VLOOKUP($C$2,LISTAS[],2,FALSE))
   *(1+VLOOKUP($C$2,LISTAS[],3,FALSE))
)
/5,0)*5,0)</f>
        <v>289135</v>
      </c>
      <c r="I23" s="65">
        <f t="array" ref="I23">IFERROR(
ROUND(
IF($A$2="COSTO",
   ((B23*(1+IFERROR(VLOOKUP($D$2,COLORES[],2,FALSE),0)))+(D23+C23+D23))
   *(1-IFERROR(_xlfn.XLOOKUP(1,(DESC_PROV[LINEA]=$B$2)*(DESC_PROV[LISTA]=$C$2),DESC_PROV[DESCUENTO]),0)),
   ((B23*(1+IFERROR(VLOOKUP($D$2,COLORES[],2,FALSE),0)))+(D23+C23+D23))
   *(1-IFERROR(_xlfn.XLOOKUP(1,(DESC_PROV[LINEA]=$B$2)*(DESC_PROV[LISTA]=$C$2),DESC_PROV[DESCUENTO]),0))
   *(1+VLOOKUP($C$2,LISTAS[],2,FALSE))
   *(1+VLOOKUP($C$2,LISTAS[],3,FALSE))
)
/5,0)*5,0)</f>
        <v>454000</v>
      </c>
      <c r="J23" s="66">
        <f t="array" ref="J23">IFERROR(
ROUND(
IF($A$2="COSTO",
   ((B23*(1+IFERROR(VLOOKUP($D$2,COLORES[],2,FALSE),0)))+E23)
   *(1-IFERROR(_xlfn.XLOOKUP(1,(DESC_PROV[LINEA]=$B$2)*(DESC_PROV[LISTA]=$C$2),DESC_PROV[DESCUENTO]),0)),
   ((B23*(1+IFERROR(VLOOKUP($D$2,COLORES[],2,FALSE),0)))+E23)
   *(1-IFERROR(_xlfn.XLOOKUP(1,(DESC_PROV[LINEA]=$B$2)*(DESC_PROV[LISTA]=$C$2),DESC_PROV[DESCUENTO]),0))
   *(1+VLOOKUP($C$2,LISTAS[],2,FALSE))
   *(1+VLOOKUP($C$2,LISTAS[],3,FALSE))
)
/5,0)*5,0)</f>
        <v>378925</v>
      </c>
    </row>
    <row r="24" spans="1:10">
      <c r="A24" s="149" t="s">
        <v>61</v>
      </c>
      <c r="B24" s="64">
        <v>199000</v>
      </c>
      <c r="C24" s="64">
        <v>103320</v>
      </c>
      <c r="D24" s="64">
        <v>39871</v>
      </c>
      <c r="E24" s="64">
        <v>128280</v>
      </c>
      <c r="F24" s="2"/>
      <c r="G24" s="149" t="s">
        <v>61</v>
      </c>
      <c r="H24" s="65">
        <f t="array" ref="H24">IFERROR(
ROUND(
IF($A$2="COSTO",
   ((B24*(1+IFERROR(VLOOKUP($D$2,COLORES[],2,FALSE),0)))+D24)
   *(1-IFERROR(_xlfn.XLOOKUP(1,(DESC_PROV[LINEA]=$B$2)*(DESC_PROV[LISTA]=$C$2),DESC_PROV[DESCUENTO]),0)),
   ((B24*(1+IFERROR(VLOOKUP($D$2,COLORES[],2,FALSE),0)))+D24)
   *(1-IFERROR(_xlfn.XLOOKUP(1,(DESC_PROV[LINEA]=$B$2)*(DESC_PROV[LISTA]=$C$2),DESC_PROV[DESCUENTO]),0))
   *(1+VLOOKUP($C$2,LISTAS[],2,FALSE))
   *(1+VLOOKUP($C$2,LISTAS[],3,FALSE))
)
/5,0)*5,0)</f>
        <v>306125</v>
      </c>
      <c r="I24" s="65">
        <f t="array" ref="I24">IFERROR(
ROUND(
IF($A$2="COSTO",
   ((B24*(1+IFERROR(VLOOKUP($D$2,COLORES[],2,FALSE),0)))+(D24+C24+D24))
   *(1-IFERROR(_xlfn.XLOOKUP(1,(DESC_PROV[LINEA]=$B$2)*(DESC_PROV[LISTA]=$C$2),DESC_PROV[DESCUENTO]),0)),
   ((B24*(1+IFERROR(VLOOKUP($D$2,COLORES[],2,FALSE),0)))+(D24+C24+D24))
   *(1-IFERROR(_xlfn.XLOOKUP(1,(DESC_PROV[LINEA]=$B$2)*(DESC_PROV[LISTA]=$C$2),DESC_PROV[DESCUENTO]),0))
   *(1+VLOOKUP($C$2,LISTAS[],2,FALSE))
   *(1+VLOOKUP($C$2,LISTAS[],3,FALSE))
)
/5,0)*5,0)</f>
        <v>489630</v>
      </c>
      <c r="J24" s="66">
        <f t="array" ref="J24">IFERROR(
ROUND(
IF($A$2="COSTO",
   ((B24*(1+IFERROR(VLOOKUP($D$2,COLORES[],2,FALSE),0)))+E24)
   *(1-IFERROR(_xlfn.XLOOKUP(1,(DESC_PROV[LINEA]=$B$2)*(DESC_PROV[LISTA]=$C$2),DESC_PROV[DESCUENTO]),0)),
   ((B24*(1+IFERROR(VLOOKUP($D$2,COLORES[],2,FALSE),0)))+E24)
   *(1-IFERROR(_xlfn.XLOOKUP(1,(DESC_PROV[LINEA]=$B$2)*(DESC_PROV[LISTA]=$C$2),DESC_PROV[DESCUENTO]),0))
   *(1+VLOOKUP($C$2,LISTAS[],2,FALSE))
   *(1+VLOOKUP($C$2,LISTAS[],3,FALSE))
)
/5,0)*5,0)</f>
        <v>419420</v>
      </c>
    </row>
    <row r="25" spans="1:10">
      <c r="A25" s="149" t="s">
        <v>62</v>
      </c>
      <c r="B25" s="64">
        <v>208179</v>
      </c>
      <c r="C25" s="64">
        <v>108486</v>
      </c>
      <c r="D25" s="64">
        <v>44405</v>
      </c>
      <c r="E25" s="64">
        <v>139534</v>
      </c>
      <c r="F25" s="2"/>
      <c r="G25" s="149" t="s">
        <v>62</v>
      </c>
      <c r="H25" s="65">
        <f t="array" ref="H25">IFERROR(
ROUND(
IF($A$2="COSTO",
   ((B25*(1+IFERROR(VLOOKUP($D$2,COLORES[],2,FALSE),0)))+D25)
   *(1-IFERROR(_xlfn.XLOOKUP(1,(DESC_PROV[LINEA]=$B$2)*(DESC_PROV[LISTA]=$C$2),DESC_PROV[DESCUENTO]),0)),
   ((B25*(1+IFERROR(VLOOKUP($D$2,COLORES[],2,FALSE),0)))+D25)
   *(1-IFERROR(_xlfn.XLOOKUP(1,(DESC_PROV[LINEA]=$B$2)*(DESC_PROV[LISTA]=$C$2),DESC_PROV[DESCUENTO]),0))
   *(1+VLOOKUP($C$2,LISTAS[],2,FALSE))
   *(1+VLOOKUP($C$2,LISTAS[],3,FALSE))
)
/5,0)*5,0)</f>
        <v>323695</v>
      </c>
      <c r="I25" s="65">
        <f t="array" ref="I25">IFERROR(
ROUND(
IF($A$2="COSTO",
   ((B25*(1+IFERROR(VLOOKUP($D$2,COLORES[],2,FALSE),0)))+(D25+C25+D25))
   *(1-IFERROR(_xlfn.XLOOKUP(1,(DESC_PROV[LINEA]=$B$2)*(DESC_PROV[LISTA]=$C$2),DESC_PROV[DESCUENTO]),0)),
   ((B25*(1+IFERROR(VLOOKUP($D$2,COLORES[],2,FALSE),0)))+(D25+C25+D25))
   *(1-IFERROR(_xlfn.XLOOKUP(1,(DESC_PROV[LINEA]=$B$2)*(DESC_PROV[LISTA]=$C$2),DESC_PROV[DESCUENTO]),0))
   *(1+VLOOKUP($C$2,LISTAS[],2,FALSE))
   *(1+VLOOKUP($C$2,LISTAS[],3,FALSE))
)
/5,0)*5,0)</f>
        <v>519630</v>
      </c>
      <c r="J25" s="66">
        <f t="array" ref="J25">IFERROR(
ROUND(
IF($A$2="COSTO",
   ((B25*(1+IFERROR(VLOOKUP($D$2,COLORES[],2,FALSE),0)))+E25)
   *(1-IFERROR(_xlfn.XLOOKUP(1,(DESC_PROV[LINEA]=$B$2)*(DESC_PROV[LISTA]=$C$2),DESC_PROV[DESCUENTO]),0)),
   ((B25*(1+IFERROR(VLOOKUP($D$2,COLORES[],2,FALSE),0)))+E25)
   *(1-IFERROR(_xlfn.XLOOKUP(1,(DESC_PROV[LINEA]=$B$2)*(DESC_PROV[LISTA]=$C$2),DESC_PROV[DESCUENTO]),0))
   *(1+VLOOKUP($C$2,LISTAS[],2,FALSE))
   *(1+VLOOKUP($C$2,LISTAS[],3,FALSE))
)
/5,0)*5,0)</f>
        <v>445610</v>
      </c>
    </row>
    <row r="26" spans="1:10">
      <c r="A26" s="149" t="s">
        <v>107</v>
      </c>
      <c r="B26" s="64">
        <v>182398</v>
      </c>
      <c r="C26" s="64">
        <v>87822</v>
      </c>
      <c r="D26" s="64">
        <v>24730</v>
      </c>
      <c r="E26" s="64">
        <v>93854</v>
      </c>
      <c r="F26" s="2"/>
      <c r="G26" s="149" t="s">
        <v>107</v>
      </c>
      <c r="H26" s="65">
        <f t="array" ref="H26">IFERROR(
ROUND(
IF($A$2="COSTO",
   ((B26*(1+IFERROR(VLOOKUP($D$2,COLORES[],2,FALSE),0)))+D26)
   *(1-IFERROR(_xlfn.XLOOKUP(1,(DESC_PROV[LINEA]=$B$2)*(DESC_PROV[LISTA]=$C$2),DESC_PROV[DESCUENTO]),0)),
   ((B26*(1+IFERROR(VLOOKUP($D$2,COLORES[],2,FALSE),0)))+D26)
   *(1-IFERROR(_xlfn.XLOOKUP(1,(DESC_PROV[LINEA]=$B$2)*(DESC_PROV[LISTA]=$C$2),DESC_PROV[DESCUENTO]),0))
   *(1+VLOOKUP($C$2,LISTAS[],2,FALSE))
   *(1+VLOOKUP($C$2,LISTAS[],3,FALSE))
)
/5,0)*5,0)</f>
        <v>265445</v>
      </c>
      <c r="I26" s="65">
        <f t="array" ref="I26">IFERROR(
ROUND(
IF($A$2="COSTO",
   ((B26*(1+IFERROR(VLOOKUP($D$2,COLORES[],2,FALSE),0)))+(D26+C26+D26))
   *(1-IFERROR(_xlfn.XLOOKUP(1,(DESC_PROV[LINEA]=$B$2)*(DESC_PROV[LISTA]=$C$2),DESC_PROV[DESCUENTO]),0)),
   ((B26*(1+IFERROR(VLOOKUP($D$2,COLORES[],2,FALSE),0)))+(D26+C26+D26))
   *(1-IFERROR(_xlfn.XLOOKUP(1,(DESC_PROV[LINEA]=$B$2)*(DESC_PROV[LISTA]=$C$2),DESC_PROV[DESCUENTO]),0))
   *(1+VLOOKUP($C$2,LISTAS[],2,FALSE))
   *(1+VLOOKUP($C$2,LISTAS[],3,FALSE))
)
/5,0)*5,0)</f>
        <v>409685</v>
      </c>
      <c r="J26" s="66">
        <f t="array" ref="J26">IFERROR(
ROUND(
IF($A$2="COSTO",
   ((B26*(1+IFERROR(VLOOKUP($D$2,COLORES[],2,FALSE),0)))+E26)
   *(1-IFERROR(_xlfn.XLOOKUP(1,(DESC_PROV[LINEA]=$B$2)*(DESC_PROV[LISTA]=$C$2),DESC_PROV[DESCUENTO]),0)),
   ((B26*(1+IFERROR(VLOOKUP($D$2,COLORES[],2,FALSE),0)))+E26)
   *(1-IFERROR(_xlfn.XLOOKUP(1,(DESC_PROV[LINEA]=$B$2)*(DESC_PROV[LISTA]=$C$2),DESC_PROV[DESCUENTO]),0))
   *(1+VLOOKUP($C$2,LISTAS[],2,FALSE))
   *(1+VLOOKUP($C$2,LISTAS[],3,FALSE))
)
/5,0)*5,0)</f>
        <v>354030</v>
      </c>
    </row>
    <row r="27" spans="1:10">
      <c r="A27" s="149" t="s">
        <v>108</v>
      </c>
      <c r="B27" s="64">
        <v>189123</v>
      </c>
      <c r="C27" s="64">
        <v>92988</v>
      </c>
      <c r="D27" s="64">
        <v>29258</v>
      </c>
      <c r="E27" s="64">
        <v>103458</v>
      </c>
      <c r="F27" s="2"/>
      <c r="G27" s="149" t="s">
        <v>108</v>
      </c>
      <c r="H27" s="65">
        <f t="array" ref="H27">IFERROR(
ROUND(
IF($A$2="COSTO",
   ((B27*(1+IFERROR(VLOOKUP($D$2,COLORES[],2,FALSE),0)))+D27)
   *(1-IFERROR(_xlfn.XLOOKUP(1,(DESC_PROV[LINEA]=$B$2)*(DESC_PROV[LISTA]=$C$2),DESC_PROV[DESCUENTO]),0)),
   ((B27*(1+IFERROR(VLOOKUP($D$2,COLORES[],2,FALSE),0)))+D27)
   *(1-IFERROR(_xlfn.XLOOKUP(1,(DESC_PROV[LINEA]=$B$2)*(DESC_PROV[LISTA]=$C$2),DESC_PROV[DESCUENTO]),0))
   *(1+VLOOKUP($C$2,LISTAS[],2,FALSE))
   *(1+VLOOKUP($C$2,LISTAS[],3,FALSE))
)
/5,0)*5,0)</f>
        <v>279865</v>
      </c>
      <c r="I27" s="65">
        <f t="array" ref="I27">IFERROR(
ROUND(
IF($A$2="COSTO",
   ((B27*(1+IFERROR(VLOOKUP($D$2,COLORES[],2,FALSE),0)))+(D27+C27+D27))
   *(1-IFERROR(_xlfn.XLOOKUP(1,(DESC_PROV[LINEA]=$B$2)*(DESC_PROV[LISTA]=$C$2),DESC_PROV[DESCUENTO]),0)),
   ((B27*(1+IFERROR(VLOOKUP($D$2,COLORES[],2,FALSE),0)))+(D27+C27+D27))
   *(1-IFERROR(_xlfn.XLOOKUP(1,(DESC_PROV[LINEA]=$B$2)*(DESC_PROV[LISTA]=$C$2),DESC_PROV[DESCUENTO]),0))
   *(1+VLOOKUP($C$2,LISTAS[],2,FALSE))
   *(1+VLOOKUP($C$2,LISTAS[],3,FALSE))
)
/5,0)*5,0)</f>
        <v>436525</v>
      </c>
      <c r="J27" s="66">
        <f t="array" ref="J27">IFERROR(
ROUND(
IF($A$2="COSTO",
   ((B27*(1+IFERROR(VLOOKUP($D$2,COLORES[],2,FALSE),0)))+E27)
   *(1-IFERROR(_xlfn.XLOOKUP(1,(DESC_PROV[LINEA]=$B$2)*(DESC_PROV[LISTA]=$C$2),DESC_PROV[DESCUENTO]),0)),
   ((B27*(1+IFERROR(VLOOKUP($D$2,COLORES[],2,FALSE),0)))+E27)
   *(1-IFERROR(_xlfn.XLOOKUP(1,(DESC_PROV[LINEA]=$B$2)*(DESC_PROV[LISTA]=$C$2),DESC_PROV[DESCUENTO]),0))
   *(1+VLOOKUP($C$2,LISTAS[],2,FALSE))
   *(1+VLOOKUP($C$2,LISTAS[],3,FALSE))
)
/5,0)*5,0)</f>
        <v>374955</v>
      </c>
    </row>
    <row r="28" spans="1:10">
      <c r="A28" s="149" t="s">
        <v>109</v>
      </c>
      <c r="B28" s="64">
        <v>201771</v>
      </c>
      <c r="C28" s="64">
        <v>100737</v>
      </c>
      <c r="D28" s="64">
        <v>35277</v>
      </c>
      <c r="E28" s="64">
        <v>117386</v>
      </c>
      <c r="F28" s="2"/>
      <c r="G28" s="149" t="s">
        <v>109</v>
      </c>
      <c r="H28" s="65">
        <f t="array" ref="H28">IFERROR(
ROUND(
IF($A$2="COSTO",
   ((B28*(1+IFERROR(VLOOKUP($D$2,COLORES[],2,FALSE),0)))+D28)
   *(1-IFERROR(_xlfn.XLOOKUP(1,(DESC_PROV[LINEA]=$B$2)*(DESC_PROV[LISTA]=$C$2),DESC_PROV[DESCUENTO]),0)),
   ((B28*(1+IFERROR(VLOOKUP($D$2,COLORES[],2,FALSE),0)))+D28)
   *(1-IFERROR(_xlfn.XLOOKUP(1,(DESC_PROV[LINEA]=$B$2)*(DESC_PROV[LISTA]=$C$2),DESC_PROV[DESCUENTO]),0))
   *(1+VLOOKUP($C$2,LISTAS[],2,FALSE))
   *(1+VLOOKUP($C$2,LISTAS[],3,FALSE))
)
/5,0)*5,0)</f>
        <v>303785</v>
      </c>
      <c r="I28" s="65">
        <f t="array" ref="I28">IFERROR(
ROUND(
IF($A$2="COSTO",
   ((B28*(1+IFERROR(VLOOKUP($D$2,COLORES[],2,FALSE),0)))+(D28+C28+D28))
   *(1-IFERROR(_xlfn.XLOOKUP(1,(DESC_PROV[LINEA]=$B$2)*(DESC_PROV[LISTA]=$C$2),DESC_PROV[DESCUENTO]),0)),
   ((B28*(1+IFERROR(VLOOKUP($D$2,COLORES[],2,FALSE),0)))+(D28+C28+D28))
   *(1-IFERROR(_xlfn.XLOOKUP(1,(DESC_PROV[LINEA]=$B$2)*(DESC_PROV[LISTA]=$C$2),DESC_PROV[DESCUENTO]),0))
   *(1+VLOOKUP($C$2,LISTAS[],2,FALSE))
   *(1+VLOOKUP($C$2,LISTAS[],3,FALSE))
)
/5,0)*5,0)</f>
        <v>478095</v>
      </c>
      <c r="J28" s="66">
        <f t="array" ref="J28">IFERROR(
ROUND(
IF($A$2="COSTO",
   ((B28*(1+IFERROR(VLOOKUP($D$2,COLORES[],2,FALSE),0)))+E28)
   *(1-IFERROR(_xlfn.XLOOKUP(1,(DESC_PROV[LINEA]=$B$2)*(DESC_PROV[LISTA]=$C$2),DESC_PROV[DESCUENTO]),0)),
   ((B28*(1+IFERROR(VLOOKUP($D$2,COLORES[],2,FALSE),0)))+E28)
   *(1-IFERROR(_xlfn.XLOOKUP(1,(DESC_PROV[LINEA]=$B$2)*(DESC_PROV[LISTA]=$C$2),DESC_PROV[DESCUENTO]),0))
   *(1+VLOOKUP($C$2,LISTAS[],2,FALSE))
   *(1+VLOOKUP($C$2,LISTAS[],3,FALSE))
)
/5,0)*5,0)</f>
        <v>409010</v>
      </c>
    </row>
    <row r="29" spans="1:10">
      <c r="A29" s="149" t="s">
        <v>110</v>
      </c>
      <c r="B29" s="64">
        <v>206798</v>
      </c>
      <c r="C29" s="64">
        <v>108486</v>
      </c>
      <c r="D29" s="64">
        <v>42134</v>
      </c>
      <c r="E29" s="64">
        <v>142072</v>
      </c>
      <c r="F29" s="2"/>
      <c r="G29" s="149" t="s">
        <v>110</v>
      </c>
      <c r="H29" s="65">
        <f t="array" ref="H29">IFERROR(
ROUND(
IF($A$2="COSTO",
   ((B29*(1+IFERROR(VLOOKUP($D$2,COLORES[],2,FALSE),0)))+D29)
   *(1-IFERROR(_xlfn.XLOOKUP(1,(DESC_PROV[LINEA]=$B$2)*(DESC_PROV[LISTA]=$C$2),DESC_PROV[DESCUENTO]),0)),
   ((B29*(1+IFERROR(VLOOKUP($D$2,COLORES[],2,FALSE),0)))+D29)
   *(1-IFERROR(_xlfn.XLOOKUP(1,(DESC_PROV[LINEA]=$B$2)*(DESC_PROV[LISTA]=$C$2),DESC_PROV[DESCUENTO]),0))
   *(1+VLOOKUP($C$2,LISTAS[],2,FALSE))
   *(1+VLOOKUP($C$2,LISTAS[],3,FALSE))
)
/5,0)*5,0)</f>
        <v>319015</v>
      </c>
      <c r="I29" s="65">
        <f t="array" ref="I29">IFERROR(
ROUND(
IF($A$2="COSTO",
   ((B29*(1+IFERROR(VLOOKUP($D$2,COLORES[],2,FALSE),0)))+(D29+C29+D29))
   *(1-IFERROR(_xlfn.XLOOKUP(1,(DESC_PROV[LINEA]=$B$2)*(DESC_PROV[LISTA]=$C$2),DESC_PROV[DESCUENTO]),0)),
   ((B29*(1+IFERROR(VLOOKUP($D$2,COLORES[],2,FALSE),0)))+(D29+C29+D29))
   *(1-IFERROR(_xlfn.XLOOKUP(1,(DESC_PROV[LINEA]=$B$2)*(DESC_PROV[LISTA]=$C$2),DESC_PROV[DESCUENTO]),0))
   *(1+VLOOKUP($C$2,LISTAS[],2,FALSE))
   *(1+VLOOKUP($C$2,LISTAS[],3,FALSE))
)
/5,0)*5,0)</f>
        <v>512040</v>
      </c>
      <c r="J29" s="66">
        <f t="array" ref="J29">IFERROR(
ROUND(
IF($A$2="COSTO",
   ((B29*(1+IFERROR(VLOOKUP($D$2,COLORES[],2,FALSE),0)))+E29)
   *(1-IFERROR(_xlfn.XLOOKUP(1,(DESC_PROV[LINEA]=$B$2)*(DESC_PROV[LISTA]=$C$2),DESC_PROV[DESCUENTO]),0)),
   ((B29*(1+IFERROR(VLOOKUP($D$2,COLORES[],2,FALSE),0)))+E29)
   *(1-IFERROR(_xlfn.XLOOKUP(1,(DESC_PROV[LINEA]=$B$2)*(DESC_PROV[LISTA]=$C$2),DESC_PROV[DESCUENTO]),0))
   *(1+VLOOKUP($C$2,LISTAS[],2,FALSE))
   *(1+VLOOKUP($C$2,LISTAS[],3,FALSE))
)
/5,0)*5,0)</f>
        <v>447090</v>
      </c>
    </row>
    <row r="30" spans="1:10">
      <c r="A30" s="149" t="s">
        <v>111</v>
      </c>
      <c r="B30" s="64">
        <v>216231</v>
      </c>
      <c r="C30" s="64">
        <v>113652</v>
      </c>
      <c r="D30" s="64">
        <v>46669</v>
      </c>
      <c r="E30" s="64">
        <v>153313</v>
      </c>
      <c r="F30" s="2"/>
      <c r="G30" s="149" t="s">
        <v>111</v>
      </c>
      <c r="H30" s="65">
        <f t="array" ref="H30">IFERROR(
ROUND(
IF($A$2="COSTO",
   ((B30*(1+IFERROR(VLOOKUP($D$2,COLORES[],2,FALSE),0)))+D30)
   *(1-IFERROR(_xlfn.XLOOKUP(1,(DESC_PROV[LINEA]=$B$2)*(DESC_PROV[LISTA]=$C$2),DESC_PROV[DESCUENTO]),0)),
   ((B30*(1+IFERROR(VLOOKUP($D$2,COLORES[],2,FALSE),0)))+D30)
   *(1-IFERROR(_xlfn.XLOOKUP(1,(DESC_PROV[LINEA]=$B$2)*(DESC_PROV[LISTA]=$C$2),DESC_PROV[DESCUENTO]),0))
   *(1+VLOOKUP($C$2,LISTAS[],2,FALSE))
   *(1+VLOOKUP($C$2,LISTAS[],3,FALSE))
)
/5,0)*5,0)</f>
        <v>336915</v>
      </c>
      <c r="I30" s="65">
        <f t="array" ref="I30">IFERROR(
ROUND(
IF($A$2="COSTO",
   ((B30*(1+IFERROR(VLOOKUP($D$2,COLORES[],2,FALSE),0)))+(D30+C30+D30))
   *(1-IFERROR(_xlfn.XLOOKUP(1,(DESC_PROV[LINEA]=$B$2)*(DESC_PROV[LISTA]=$C$2),DESC_PROV[DESCUENTO]),0)),
   ((B30*(1+IFERROR(VLOOKUP($D$2,COLORES[],2,FALSE),0)))+(D30+C30+D30))
   *(1-IFERROR(_xlfn.XLOOKUP(1,(DESC_PROV[LINEA]=$B$2)*(DESC_PROV[LISTA]=$C$2),DESC_PROV[DESCUENTO]),0))
   *(1+VLOOKUP($C$2,LISTAS[],2,FALSE))
   *(1+VLOOKUP($C$2,LISTAS[],3,FALSE))
)
/5,0)*5,0)</f>
        <v>542375</v>
      </c>
      <c r="J30" s="66">
        <f t="array" ref="J30">IFERROR(
ROUND(
IF($A$2="COSTO",
   ((B30*(1+IFERROR(VLOOKUP($D$2,COLORES[],2,FALSE),0)))+E30)
   *(1-IFERROR(_xlfn.XLOOKUP(1,(DESC_PROV[LINEA]=$B$2)*(DESC_PROV[LISTA]=$C$2),DESC_PROV[DESCUENTO]),0)),
   ((B30*(1+IFERROR(VLOOKUP($D$2,COLORES[],2,FALSE),0)))+E30)
   *(1-IFERROR(_xlfn.XLOOKUP(1,(DESC_PROV[LINEA]=$B$2)*(DESC_PROV[LISTA]=$C$2),DESC_PROV[DESCUENTO]),0))
   *(1+VLOOKUP($C$2,LISTAS[],2,FALSE))
   *(1+VLOOKUP($C$2,LISTAS[],3,FALSE))
)
/5,0)*5,0)</f>
        <v>473585</v>
      </c>
    </row>
    <row r="31" spans="1:10">
      <c r="A31" s="149" t="s">
        <v>114</v>
      </c>
      <c r="B31" s="64">
        <v>212113</v>
      </c>
      <c r="C31" s="64">
        <v>103320</v>
      </c>
      <c r="D31" s="64">
        <v>30756</v>
      </c>
      <c r="E31" s="64">
        <v>110537</v>
      </c>
      <c r="F31" s="2"/>
      <c r="G31" s="149" t="s">
        <v>114</v>
      </c>
      <c r="H31" s="65">
        <f t="array" ref="H31">IFERROR(
ROUND(
IF($A$2="COSTO",
   ((B31*(1+IFERROR(VLOOKUP($D$2,COLORES[],2,FALSE),0)))+D31)
   *(1-IFERROR(_xlfn.XLOOKUP(1,(DESC_PROV[LINEA]=$B$2)*(DESC_PROV[LISTA]=$C$2),DESC_PROV[DESCUENTO]),0)),
   ((B31*(1+IFERROR(VLOOKUP($D$2,COLORES[],2,FALSE),0)))+D31)
   *(1-IFERROR(_xlfn.XLOOKUP(1,(DESC_PROV[LINEA]=$B$2)*(DESC_PROV[LISTA]=$C$2),DESC_PROV[DESCUENTO]),0))
   *(1+VLOOKUP($C$2,LISTAS[],2,FALSE))
   *(1+VLOOKUP($C$2,LISTAS[],3,FALSE))
)
/5,0)*5,0)</f>
        <v>311245</v>
      </c>
      <c r="I31" s="65">
        <f t="array" ref="I31">IFERROR(
ROUND(
IF($A$2="COSTO",
   ((B31*(1+IFERROR(VLOOKUP($D$2,COLORES[],2,FALSE),0)))+(D31+C31+D31))
   *(1-IFERROR(_xlfn.XLOOKUP(1,(DESC_PROV[LINEA]=$B$2)*(DESC_PROV[LISTA]=$C$2),DESC_PROV[DESCUENTO]),0)),
   ((B31*(1+IFERROR(VLOOKUP($D$2,COLORES[],2,FALSE),0)))+(D31+C31+D31))
   *(1-IFERROR(_xlfn.XLOOKUP(1,(DESC_PROV[LINEA]=$B$2)*(DESC_PROV[LISTA]=$C$2),DESC_PROV[DESCUENTO]),0))
   *(1+VLOOKUP($C$2,LISTAS[],2,FALSE))
   *(1+VLOOKUP($C$2,LISTAS[],3,FALSE))
)
/5,0)*5,0)</f>
        <v>483070</v>
      </c>
      <c r="J31" s="66">
        <f t="array" ref="J31">IFERROR(
ROUND(
IF($A$2="COSTO",
   ((B31*(1+IFERROR(VLOOKUP($D$2,COLORES[],2,FALSE),0)))+E31)
   *(1-IFERROR(_xlfn.XLOOKUP(1,(DESC_PROV[LINEA]=$B$2)*(DESC_PROV[LISTA]=$C$2),DESC_PROV[DESCUENTO]),0)),
   ((B31*(1+IFERROR(VLOOKUP($D$2,COLORES[],2,FALSE),0)))+E31)
   *(1-IFERROR(_xlfn.XLOOKUP(1,(DESC_PROV[LINEA]=$B$2)*(DESC_PROV[LISTA]=$C$2),DESC_PROV[DESCUENTO]),0))
   *(1+VLOOKUP($C$2,LISTAS[],2,FALSE))
   *(1+VLOOKUP($C$2,LISTAS[],3,FALSE))
)
/5,0)*5,0)</f>
        <v>413490</v>
      </c>
    </row>
    <row r="32" spans="1:10">
      <c r="A32" s="149" t="s">
        <v>71</v>
      </c>
      <c r="B32" s="64">
        <v>219248</v>
      </c>
      <c r="C32" s="64">
        <v>108486</v>
      </c>
      <c r="D32" s="64">
        <v>37495</v>
      </c>
      <c r="E32" s="64">
        <v>133256</v>
      </c>
      <c r="F32" s="2"/>
      <c r="G32" s="149" t="s">
        <v>71</v>
      </c>
      <c r="H32" s="65">
        <f t="array" ref="H32">IFERROR(
ROUND(
IF($A$2="COSTO",
   ((B32*(1+IFERROR(VLOOKUP($D$2,COLORES[],2,FALSE),0)))+D32)
   *(1-IFERROR(_xlfn.XLOOKUP(1,(DESC_PROV[LINEA]=$B$2)*(DESC_PROV[LISTA]=$C$2),DESC_PROV[DESCUENTO]),0)),
   ((B32*(1+IFERROR(VLOOKUP($D$2,COLORES[],2,FALSE),0)))+D32)
   *(1-IFERROR(_xlfn.XLOOKUP(1,(DESC_PROV[LINEA]=$B$2)*(DESC_PROV[LISTA]=$C$2),DESC_PROV[DESCUENTO]),0))
   *(1+VLOOKUP($C$2,LISTAS[],2,FALSE))
   *(1+VLOOKUP($C$2,LISTAS[],3,FALSE))
)
/5,0)*5,0)</f>
        <v>329025</v>
      </c>
      <c r="I32" s="65">
        <f t="array" ref="I32">IFERROR(
ROUND(
IF($A$2="COSTO",
   ((B32*(1+IFERROR(VLOOKUP($D$2,COLORES[],2,FALSE),0)))+(D32+C32+D32))
   *(1-IFERROR(_xlfn.XLOOKUP(1,(DESC_PROV[LINEA]=$B$2)*(DESC_PROV[LISTA]=$C$2),DESC_PROV[DESCUENTO]),0)),
   ((B32*(1+IFERROR(VLOOKUP($D$2,COLORES[],2,FALSE),0)))+(D32+C32+D32))
   *(1-IFERROR(_xlfn.XLOOKUP(1,(DESC_PROV[LINEA]=$B$2)*(DESC_PROV[LISTA]=$C$2),DESC_PROV[DESCUENTO]),0))
   *(1+VLOOKUP($C$2,LISTAS[],2,FALSE))
   *(1+VLOOKUP($C$2,LISTAS[],3,FALSE))
)
/5,0)*5,0)</f>
        <v>516105</v>
      </c>
      <c r="J32" s="66">
        <f t="array" ref="J32">IFERROR(
ROUND(
IF($A$2="COSTO",
   ((B32*(1+IFERROR(VLOOKUP($D$2,COLORES[],2,FALSE),0)))+E32)
   *(1-IFERROR(_xlfn.XLOOKUP(1,(DESC_PROV[LINEA]=$B$2)*(DESC_PROV[LISTA]=$C$2),DESC_PROV[DESCUENTO]),0)),
   ((B32*(1+IFERROR(VLOOKUP($D$2,COLORES[],2,FALSE),0)))+E32)
   *(1-IFERROR(_xlfn.XLOOKUP(1,(DESC_PROV[LINEA]=$B$2)*(DESC_PROV[LISTA]=$C$2),DESC_PROV[DESCUENTO]),0))
   *(1+VLOOKUP($C$2,LISTAS[],2,FALSE))
   *(1+VLOOKUP($C$2,LISTAS[],3,FALSE))
)
/5,0)*5,0)</f>
        <v>451750</v>
      </c>
    </row>
    <row r="33" spans="1:10">
      <c r="A33" s="149" t="s">
        <v>72</v>
      </c>
      <c r="B33" s="64">
        <v>231875</v>
      </c>
      <c r="C33" s="64">
        <v>116235</v>
      </c>
      <c r="D33" s="64">
        <v>46669</v>
      </c>
      <c r="E33" s="64">
        <v>167136</v>
      </c>
      <c r="F33" s="2"/>
      <c r="G33" s="149" t="s">
        <v>72</v>
      </c>
      <c r="H33" s="65">
        <f t="array" ref="H33">IFERROR(
ROUND(
IF($A$2="COSTO",
   ((B33*(1+IFERROR(VLOOKUP($D$2,COLORES[],2,FALSE),0)))+D33)
   *(1-IFERROR(_xlfn.XLOOKUP(1,(DESC_PROV[LINEA]=$B$2)*(DESC_PROV[LISTA]=$C$2),DESC_PROV[DESCUENTO]),0)),
   ((B33*(1+IFERROR(VLOOKUP($D$2,COLORES[],2,FALSE),0)))+D33)
   *(1-IFERROR(_xlfn.XLOOKUP(1,(DESC_PROV[LINEA]=$B$2)*(DESC_PROV[LISTA]=$C$2),DESC_PROV[DESCUENTO]),0))
   *(1+VLOOKUP($C$2,LISTAS[],2,FALSE))
   *(1+VLOOKUP($C$2,LISTAS[],3,FALSE))
)
/5,0)*5,0)</f>
        <v>356965</v>
      </c>
      <c r="I33" s="65">
        <f t="array" ref="I33">IFERROR(
ROUND(
IF($A$2="COSTO",
   ((B33*(1+IFERROR(VLOOKUP($D$2,COLORES[],2,FALSE),0)))+(D33+C33+D33))
   *(1-IFERROR(_xlfn.XLOOKUP(1,(DESC_PROV[LINEA]=$B$2)*(DESC_PROV[LISTA]=$C$2),DESC_PROV[DESCUENTO]),0)),
   ((B33*(1+IFERROR(VLOOKUP($D$2,COLORES[],2,FALSE),0)))+(D33+C33+D33))
   *(1-IFERROR(_xlfn.XLOOKUP(1,(DESC_PROV[LINEA]=$B$2)*(DESC_PROV[LISTA]=$C$2),DESC_PROV[DESCUENTO]),0))
   *(1+VLOOKUP($C$2,LISTAS[],2,FALSE))
   *(1+VLOOKUP($C$2,LISTAS[],3,FALSE))
)
/5,0)*5,0)</f>
        <v>565735</v>
      </c>
      <c r="J33" s="66">
        <f t="array" ref="J33">IFERROR(
ROUND(
IF($A$2="COSTO",
   ((B33*(1+IFERROR(VLOOKUP($D$2,COLORES[],2,FALSE),0)))+E33)
   *(1-IFERROR(_xlfn.XLOOKUP(1,(DESC_PROV[LINEA]=$B$2)*(DESC_PROV[LISTA]=$C$2),DESC_PROV[DESCUENTO]),0)),
   ((B33*(1+IFERROR(VLOOKUP($D$2,COLORES[],2,FALSE),0)))+E33)
   *(1-IFERROR(_xlfn.XLOOKUP(1,(DESC_PROV[LINEA]=$B$2)*(DESC_PROV[LISTA]=$C$2),DESC_PROV[DESCUENTO]),0))
   *(1+VLOOKUP($C$2,LISTAS[],2,FALSE))
   *(1+VLOOKUP($C$2,LISTAS[],3,FALSE))
)
/5,0)*5,0)</f>
        <v>511350</v>
      </c>
    </row>
    <row r="34" spans="1:10">
      <c r="A34" s="149" t="s">
        <v>73</v>
      </c>
      <c r="B34" s="64">
        <v>237381</v>
      </c>
      <c r="C34" s="64">
        <v>123984</v>
      </c>
      <c r="D34" s="64">
        <v>56866</v>
      </c>
      <c r="E34" s="64">
        <v>201202</v>
      </c>
      <c r="F34" s="2"/>
      <c r="G34" s="149" t="s">
        <v>73</v>
      </c>
      <c r="H34" s="65">
        <f t="array" ref="H34">IFERROR(
ROUND(
IF($A$2="COSTO",
   ((B34*(1+IFERROR(VLOOKUP($D$2,COLORES[],2,FALSE),0)))+D34)
   *(1-IFERROR(_xlfn.XLOOKUP(1,(DESC_PROV[LINEA]=$B$2)*(DESC_PROV[LISTA]=$C$2),DESC_PROV[DESCUENTO]),0)),
   ((B34*(1+IFERROR(VLOOKUP($D$2,COLORES[],2,FALSE),0)))+D34)
   *(1-IFERROR(_xlfn.XLOOKUP(1,(DESC_PROV[LINEA]=$B$2)*(DESC_PROV[LISTA]=$C$2),DESC_PROV[DESCUENTO]),0))
   *(1+VLOOKUP($C$2,LISTAS[],2,FALSE))
   *(1+VLOOKUP($C$2,LISTAS[],3,FALSE))
)
/5,0)*5,0)</f>
        <v>377090</v>
      </c>
      <c r="I34" s="65">
        <f t="array" ref="I34">IFERROR(
ROUND(
IF($A$2="COSTO",
   ((B34*(1+IFERROR(VLOOKUP($D$2,COLORES[],2,FALSE),0)))+(D34+C34+D34))
   *(1-IFERROR(_xlfn.XLOOKUP(1,(DESC_PROV[LINEA]=$B$2)*(DESC_PROV[LISTA]=$C$2),DESC_PROV[DESCUENTO]),0)),
   ((B34*(1+IFERROR(VLOOKUP($D$2,COLORES[],2,FALSE),0)))+(D34+C34+D34))
   *(1-IFERROR(_xlfn.XLOOKUP(1,(DESC_PROV[LINEA]=$B$2)*(DESC_PROV[LISTA]=$C$2),DESC_PROV[DESCUENTO]),0))
   *(1+VLOOKUP($C$2,LISTAS[],2,FALSE))
   *(1+VLOOKUP($C$2,LISTAS[],3,FALSE))
)
/5,0)*5,0)</f>
        <v>608855</v>
      </c>
      <c r="J34" s="66">
        <f t="array" ref="J34">IFERROR(
ROUND(
IF($A$2="COSTO",
   ((B34*(1+IFERROR(VLOOKUP($D$2,COLORES[],2,FALSE),0)))+E34)
   *(1-IFERROR(_xlfn.XLOOKUP(1,(DESC_PROV[LINEA]=$B$2)*(DESC_PROV[LISTA]=$C$2),DESC_PROV[DESCUENTO]),0)),
   ((B34*(1+IFERROR(VLOOKUP($D$2,COLORES[],2,FALSE),0)))+E34)
   *(1-IFERROR(_xlfn.XLOOKUP(1,(DESC_PROV[LINEA]=$B$2)*(DESC_PROV[LISTA]=$C$2),DESC_PROV[DESCUENTO]),0))
   *(1+VLOOKUP($C$2,LISTAS[],2,FALSE))
   *(1+VLOOKUP($C$2,LISTAS[],3,FALSE))
)
/5,0)*5,0)</f>
        <v>562060</v>
      </c>
    </row>
    <row r="35" spans="1:10">
      <c r="A35" s="149" t="s">
        <v>74</v>
      </c>
      <c r="B35" s="64">
        <v>245960</v>
      </c>
      <c r="C35" s="64">
        <v>129150</v>
      </c>
      <c r="D35" s="64">
        <v>63670</v>
      </c>
      <c r="E35" s="64">
        <v>223921</v>
      </c>
      <c r="F35" s="2"/>
      <c r="G35" s="149" t="s">
        <v>74</v>
      </c>
      <c r="H35" s="65">
        <f t="array" ref="H35">IFERROR(
ROUND(
IF($A$2="COSTO",
   ((B35*(1+IFERROR(VLOOKUP($D$2,COLORES[],2,FALSE),0)))+D35)
   *(1-IFERROR(_xlfn.XLOOKUP(1,(DESC_PROV[LINEA]=$B$2)*(DESC_PROV[LISTA]=$C$2),DESC_PROV[DESCUENTO]),0)),
   ((B35*(1+IFERROR(VLOOKUP($D$2,COLORES[],2,FALSE),0)))+D35)
   *(1-IFERROR(_xlfn.XLOOKUP(1,(DESC_PROV[LINEA]=$B$2)*(DESC_PROV[LISTA]=$C$2),DESC_PROV[DESCUENTO]),0))
   *(1+VLOOKUP($C$2,LISTAS[],2,FALSE))
   *(1+VLOOKUP($C$2,LISTAS[],3,FALSE))
)
/5,0)*5,0)</f>
        <v>396805</v>
      </c>
      <c r="I35" s="65">
        <f t="array" ref="I35">IFERROR(
ROUND(
IF($A$2="COSTO",
   ((B35*(1+IFERROR(VLOOKUP($D$2,COLORES[],2,FALSE),0)))+(D35+C35+D35))
   *(1-IFERROR(_xlfn.XLOOKUP(1,(DESC_PROV[LINEA]=$B$2)*(DESC_PROV[LISTA]=$C$2),DESC_PROV[DESCUENTO]),0)),
   ((B35*(1+IFERROR(VLOOKUP($D$2,COLORES[],2,FALSE),0)))+(D35+C35+D35))
   *(1-IFERROR(_xlfn.XLOOKUP(1,(DESC_PROV[LINEA]=$B$2)*(DESC_PROV[LISTA]=$C$2),DESC_PROV[DESCUENTO]),0))
   *(1+VLOOKUP($C$2,LISTAS[],2,FALSE))
   *(1+VLOOKUP($C$2,LISTAS[],3,FALSE))
)
/5,0)*5,0)</f>
        <v>643910</v>
      </c>
      <c r="J35" s="66">
        <f t="array" ref="J35">IFERROR(
ROUND(
IF($A$2="COSTO",
   ((B35*(1+IFERROR(VLOOKUP($D$2,COLORES[],2,FALSE),0)))+E35)
   *(1-IFERROR(_xlfn.XLOOKUP(1,(DESC_PROV[LINEA]=$B$2)*(DESC_PROV[LISTA]=$C$2),DESC_PROV[DESCUENTO]),0)),
   ((B35*(1+IFERROR(VLOOKUP($D$2,COLORES[],2,FALSE),0)))+E35)
   *(1-IFERROR(_xlfn.XLOOKUP(1,(DESC_PROV[LINEA]=$B$2)*(DESC_PROV[LISTA]=$C$2),DESC_PROV[DESCUENTO]),0))
   *(1+VLOOKUP($C$2,LISTAS[],2,FALSE))
   *(1+VLOOKUP($C$2,LISTAS[],3,FALSE))
)
/5,0)*5,0)</f>
        <v>602170</v>
      </c>
    </row>
    <row r="36" spans="1:10">
      <c r="A36" s="2"/>
      <c r="B36" s="2"/>
      <c r="C36" s="2"/>
      <c r="D36" s="2"/>
      <c r="E36" s="2"/>
      <c r="F36" s="2"/>
      <c r="G36" s="2"/>
      <c r="H36" s="136"/>
      <c r="I36" s="136"/>
      <c r="J36" s="136"/>
    </row>
    <row r="37" spans="1:10">
      <c r="A37" s="2"/>
      <c r="B37" s="2"/>
      <c r="C37" s="2"/>
      <c r="D37" s="2"/>
      <c r="E37" s="2"/>
      <c r="F37" s="2"/>
      <c r="G37" s="2"/>
      <c r="H37" s="136"/>
      <c r="I37" s="136"/>
      <c r="J37" s="136"/>
    </row>
    <row r="38" spans="1:10">
      <c r="A38" s="2"/>
      <c r="B38" s="2"/>
      <c r="C38" s="2"/>
      <c r="D38" s="2"/>
      <c r="E38" s="2"/>
      <c r="F38" s="2"/>
      <c r="G38" s="2"/>
      <c r="H38" s="136"/>
      <c r="I38" s="136"/>
      <c r="J38" s="136"/>
    </row>
    <row r="39" spans="1:10" ht="14.65" thickBot="1">
      <c r="A39" s="2"/>
      <c r="B39" s="2"/>
      <c r="C39" s="2"/>
      <c r="D39" s="2"/>
      <c r="E39" s="2"/>
      <c r="F39" s="2"/>
      <c r="G39" s="2"/>
      <c r="H39" s="136"/>
      <c r="I39" s="136"/>
      <c r="J39" s="136"/>
    </row>
    <row r="40" spans="1:10" ht="21">
      <c r="A40" s="311" t="s">
        <v>280</v>
      </c>
      <c r="B40" s="312"/>
      <c r="C40" s="312"/>
      <c r="D40" s="312"/>
      <c r="E40" s="313"/>
      <c r="F40" s="2"/>
      <c r="G40" s="311" t="s">
        <v>280</v>
      </c>
      <c r="H40" s="312"/>
      <c r="I40" s="312"/>
      <c r="J40" s="313"/>
    </row>
    <row r="41" spans="1:10">
      <c r="A41" s="149" t="s">
        <v>4</v>
      </c>
      <c r="B41" s="150" t="s">
        <v>196</v>
      </c>
      <c r="C41" s="150" t="s">
        <v>253</v>
      </c>
      <c r="D41" s="150" t="s">
        <v>198</v>
      </c>
      <c r="E41" s="151" t="s">
        <v>259</v>
      </c>
      <c r="F41" s="2"/>
      <c r="G41" s="149" t="s">
        <v>4</v>
      </c>
      <c r="H41" s="150" t="s">
        <v>123</v>
      </c>
      <c r="I41" s="150" t="s">
        <v>255</v>
      </c>
      <c r="J41" s="151" t="s">
        <v>259</v>
      </c>
    </row>
    <row r="42" spans="1:10">
      <c r="A42" s="149" t="s">
        <v>274</v>
      </c>
      <c r="B42" s="64">
        <v>260032</v>
      </c>
      <c r="C42" s="64">
        <v>98154</v>
      </c>
      <c r="D42" s="64">
        <v>27199</v>
      </c>
      <c r="E42" s="64">
        <v>96657</v>
      </c>
      <c r="F42" s="2"/>
      <c r="G42" s="149" t="s">
        <v>274</v>
      </c>
      <c r="H42" s="65">
        <f t="array" ref="H42">IFERROR(
ROUND(
IF($A$2="COSTO",
   ((B42*(1+IFERROR(VLOOKUP($D$2,COLORES[],2,FALSE),0)))+D42)
   *(1-IFERROR(_xlfn.XLOOKUP(1,(DESC_PROV[LINEA]=$B$2)*(DESC_PROV[LISTA]=$C$2),DESC_PROV[DESCUENTO]),0)),
   ((B42*(1+IFERROR(VLOOKUP($D$2,COLORES[],2,FALSE),0)))+D42)
   *(1-IFERROR(_xlfn.XLOOKUP(1,(DESC_PROV[LINEA]=$B$2)*(DESC_PROV[LISTA]=$C$2),DESC_PROV[DESCUENTO]),0))
   *(1+VLOOKUP($C$2,LISTAS[],2,FALSE))
   *(1+VLOOKUP($C$2,LISTAS[],3,FALSE))
)
/5,0)*5,0)</f>
        <v>368100</v>
      </c>
      <c r="I42" s="65">
        <f t="array" ref="I42">IFERROR(
ROUND(
IF($A$2="COSTO",
   ((B42*(1+IFERROR(VLOOKUP($D$2,COLORES[],2,FALSE),0)))+(D42+C42+D42))
   *(1-IFERROR(_xlfn.XLOOKUP(1,(DESC_PROV[LINEA]=$B$2)*(DESC_PROV[LISTA]=$C$2),DESC_PROV[DESCUENTO]),0)),
   ((B42*(1+IFERROR(VLOOKUP($D$2,COLORES[],2,FALSE),0)))+(D42+C42+D42))
   *(1-IFERROR(_xlfn.XLOOKUP(1,(DESC_PROV[LINEA]=$B$2)*(DESC_PROV[LISTA]=$C$2),DESC_PROV[DESCUENTO]),0))
   *(1+VLOOKUP($C$2,LISTAS[],2,FALSE))
   *(1+VLOOKUP($C$2,LISTAS[],3,FALSE))
)
/5,0)*5,0)</f>
        <v>528745</v>
      </c>
      <c r="J42" s="66">
        <f t="array" ref="J42">IFERROR(
ROUND(
IF($A$2="COSTO",
   ((B42*(1+IFERROR(VLOOKUP($D$2,COLORES[],2,FALSE),0)))+E42)
   *(1-IFERROR(_xlfn.XLOOKUP(1,(DESC_PROV[LINEA]=$B$2)*(DESC_PROV[LISTA]=$C$2),DESC_PROV[DESCUENTO]),0)),
   ((B42*(1+IFERROR(VLOOKUP($D$2,COLORES[],2,FALSE),0)))+E42)
   *(1-IFERROR(_xlfn.XLOOKUP(1,(DESC_PROV[LINEA]=$B$2)*(DESC_PROV[LISTA]=$C$2),DESC_PROV[DESCUENTO]),0))
   *(1+VLOOKUP($C$2,LISTAS[],2,FALSE))
   *(1+VLOOKUP($C$2,LISTAS[],3,FALSE))
)
/5,0)*5,0)</f>
        <v>457110</v>
      </c>
    </row>
    <row r="43" spans="1:10">
      <c r="A43" s="149" t="s">
        <v>104</v>
      </c>
      <c r="B43" s="64">
        <v>307140</v>
      </c>
      <c r="C43" s="64">
        <v>129150</v>
      </c>
      <c r="D43" s="64">
        <v>45329</v>
      </c>
      <c r="E43" s="64">
        <v>161093</v>
      </c>
      <c r="F43" s="2"/>
      <c r="G43" s="149" t="s">
        <v>104</v>
      </c>
      <c r="H43" s="65">
        <f t="array" ref="H43">IFERROR(
ROUND(
IF($A$2="COSTO",
   ((B43*(1+IFERROR(VLOOKUP($D$2,COLORES[],2,FALSE),0)))+D43)
   *(1-IFERROR(_xlfn.XLOOKUP(1,(DESC_PROV[LINEA]=$B$2)*(DESC_PROV[LISTA]=$C$2),DESC_PROV[DESCUENTO]),0)),
   ((B43*(1+IFERROR(VLOOKUP($D$2,COLORES[],2,FALSE),0)))+D43)
   *(1-IFERROR(_xlfn.XLOOKUP(1,(DESC_PROV[LINEA]=$B$2)*(DESC_PROV[LISTA]=$C$2),DESC_PROV[DESCUENTO]),0))
   *(1+VLOOKUP($C$2,LISTAS[],2,FALSE))
   *(1+VLOOKUP($C$2,LISTAS[],3,FALSE))
)
/5,0)*5,0)</f>
        <v>451705</v>
      </c>
      <c r="I43" s="65">
        <f t="array" ref="I43">IFERROR(
ROUND(
IF($A$2="COSTO",
   ((B43*(1+IFERROR(VLOOKUP($D$2,COLORES[],2,FALSE),0)))+(D43+C43+D43))
   *(1-IFERROR(_xlfn.XLOOKUP(1,(DESC_PROV[LINEA]=$B$2)*(DESC_PROV[LISTA]=$C$2),DESC_PROV[DESCUENTO]),0)),
   ((B43*(1+IFERROR(VLOOKUP($D$2,COLORES[],2,FALSE),0)))+(D43+C43+D43))
   *(1-IFERROR(_xlfn.XLOOKUP(1,(DESC_PROV[LINEA]=$B$2)*(DESC_PROV[LISTA]=$C$2),DESC_PROV[DESCUENTO]),0))
   *(1+VLOOKUP($C$2,LISTAS[],2,FALSE))
   *(1+VLOOKUP($C$2,LISTAS[],3,FALSE))
)
/5,0)*5,0)</f>
        <v>675305</v>
      </c>
      <c r="J43" s="66">
        <f t="array" ref="J43">IFERROR(
ROUND(
IF($A$2="COSTO",
   ((B43*(1+IFERROR(VLOOKUP($D$2,COLORES[],2,FALSE),0)))+E43)
   *(1-IFERROR(_xlfn.XLOOKUP(1,(DESC_PROV[LINEA]=$B$2)*(DESC_PROV[LISTA]=$C$2),DESC_PROV[DESCUENTO]),0)),
   ((B43*(1+IFERROR(VLOOKUP($D$2,COLORES[],2,FALSE),0)))+E43)
   *(1-IFERROR(_xlfn.XLOOKUP(1,(DESC_PROV[LINEA]=$B$2)*(DESC_PROV[LISTA]=$C$2),DESC_PROV[DESCUENTO]),0))
   *(1+VLOOKUP($C$2,LISTAS[],2,FALSE))
   *(1+VLOOKUP($C$2,LISTAS[],3,FALSE))
)
/5,0)*5,0)</f>
        <v>600060</v>
      </c>
    </row>
    <row r="44" spans="1:10">
      <c r="A44" s="149" t="s">
        <v>62</v>
      </c>
      <c r="B44" s="64">
        <v>324913</v>
      </c>
      <c r="C44" s="64">
        <v>136899</v>
      </c>
      <c r="D44" s="64">
        <v>49856</v>
      </c>
      <c r="E44" s="64">
        <v>177203</v>
      </c>
      <c r="F44" s="2"/>
      <c r="G44" s="149" t="s">
        <v>62</v>
      </c>
      <c r="H44" s="65">
        <f t="array" ref="H44">IFERROR(
ROUND(
IF($A$2="COSTO",
   ((B44*(1+IFERROR(VLOOKUP($D$2,COLORES[],2,FALSE),0)))+D44)
   *(1-IFERROR(_xlfn.XLOOKUP(1,(DESC_PROV[LINEA]=$B$2)*(DESC_PROV[LISTA]=$C$2),DESC_PROV[DESCUENTO]),0)),
   ((B44*(1+IFERROR(VLOOKUP($D$2,COLORES[],2,FALSE),0)))+D44)
   *(1-IFERROR(_xlfn.XLOOKUP(1,(DESC_PROV[LINEA]=$B$2)*(DESC_PROV[LISTA]=$C$2),DESC_PROV[DESCUENTO]),0))
   *(1+VLOOKUP($C$2,LISTAS[],2,FALSE))
   *(1+VLOOKUP($C$2,LISTAS[],3,FALSE))
)
/5,0)*5,0)</f>
        <v>480280</v>
      </c>
      <c r="I44" s="65">
        <f t="array" ref="I44">IFERROR(
ROUND(
IF($A$2="COSTO",
   ((B44*(1+IFERROR(VLOOKUP($D$2,COLORES[],2,FALSE),0)))+(D44+C44+D44))
   *(1-IFERROR(_xlfn.XLOOKUP(1,(DESC_PROV[LINEA]=$B$2)*(DESC_PROV[LISTA]=$C$2),DESC_PROV[DESCUENTO]),0)),
   ((B44*(1+IFERROR(VLOOKUP($D$2,COLORES[],2,FALSE),0)))+(D44+C44+D44))
   *(1-IFERROR(_xlfn.XLOOKUP(1,(DESC_PROV[LINEA]=$B$2)*(DESC_PROV[LISTA]=$C$2),DESC_PROV[DESCUENTO]),0))
   *(1+VLOOKUP($C$2,LISTAS[],2,FALSE))
   *(1+VLOOKUP($C$2,LISTAS[],3,FALSE))
)
/5,0)*5,0)</f>
        <v>719615</v>
      </c>
      <c r="J44" s="66">
        <f t="array" ref="J44">IFERROR(
ROUND(
IF($A$2="COSTO",
   ((B44*(1+IFERROR(VLOOKUP($D$2,COLORES[],2,FALSE),0)))+E44)
   *(1-IFERROR(_xlfn.XLOOKUP(1,(DESC_PROV[LINEA]=$B$2)*(DESC_PROV[LISTA]=$C$2),DESC_PROV[DESCUENTO]),0)),
   ((B44*(1+IFERROR(VLOOKUP($D$2,COLORES[],2,FALSE),0)))+E44)
   *(1-IFERROR(_xlfn.XLOOKUP(1,(DESC_PROV[LINEA]=$B$2)*(DESC_PROV[LISTA]=$C$2),DESC_PROV[DESCUENTO]),0))
   *(1+VLOOKUP($C$2,LISTAS[],2,FALSE))
   *(1+VLOOKUP($C$2,LISTAS[],3,FALSE))
)
/5,0)*5,0)</f>
        <v>643480</v>
      </c>
    </row>
    <row r="45" spans="1:10" ht="14.65" thickBot="1">
      <c r="A45" s="152" t="s">
        <v>74</v>
      </c>
      <c r="B45" s="64">
        <v>365825</v>
      </c>
      <c r="C45" s="64">
        <v>167895</v>
      </c>
      <c r="D45" s="64">
        <v>67993</v>
      </c>
      <c r="E45" s="64">
        <v>241639</v>
      </c>
      <c r="F45" s="2"/>
      <c r="G45" s="152" t="s">
        <v>74</v>
      </c>
      <c r="H45" s="65">
        <f t="array" ref="H45">IFERROR(
ROUND(
IF($A$2="COSTO",
   ((B45*(1+IFERROR(VLOOKUP($D$2,COLORES[],2,FALSE),0)))+D45)
   *(1-IFERROR(_xlfn.XLOOKUP(1,(DESC_PROV[LINEA]=$B$2)*(DESC_PROV[LISTA]=$C$2),DESC_PROV[DESCUENTO]),0)),
   ((B45*(1+IFERROR(VLOOKUP($D$2,COLORES[],2,FALSE),0)))+D45)
   *(1-IFERROR(_xlfn.XLOOKUP(1,(DESC_PROV[LINEA]=$B$2)*(DESC_PROV[LISTA]=$C$2),DESC_PROV[DESCUENTO]),0))
   *(1+VLOOKUP($C$2,LISTAS[],2,FALSE))
   *(1+VLOOKUP($C$2,LISTAS[],3,FALSE))
)
/5,0)*5,0)</f>
        <v>555955</v>
      </c>
      <c r="I45" s="65">
        <f t="array" ref="I45">IFERROR(
ROUND(
IF($A$2="COSTO",
   ((B45*(1+IFERROR(VLOOKUP($D$2,COLORES[],2,FALSE),0)))+(D45+C45+D45))
   *(1-IFERROR(_xlfn.XLOOKUP(1,(DESC_PROV[LINEA]=$B$2)*(DESC_PROV[LISTA]=$C$2),DESC_PROV[DESCUENTO]),0)),
   ((B45*(1+IFERROR(VLOOKUP($D$2,COLORES[],2,FALSE),0)))+(D45+C45+D45))
   *(1-IFERROR(_xlfn.XLOOKUP(1,(DESC_PROV[LINEA]=$B$2)*(DESC_PROV[LISTA]=$C$2),DESC_PROV[DESCUENTO]),0))
   *(1+VLOOKUP($C$2,LISTAS[],2,FALSE))
   *(1+VLOOKUP($C$2,LISTAS[],3,FALSE))
)
/5,0)*5,0)</f>
        <v>858255</v>
      </c>
      <c r="J45" s="66">
        <f t="array" ref="J45">IFERROR(
ROUND(
IF($A$2="COSTO",
   ((B45*(1+IFERROR(VLOOKUP($D$2,COLORES[],2,FALSE),0)))+E45)
   *(1-IFERROR(_xlfn.XLOOKUP(1,(DESC_PROV[LINEA]=$B$2)*(DESC_PROV[LISTA]=$C$2),DESC_PROV[DESCUENTO]),0)),
   ((B45*(1+IFERROR(VLOOKUP($D$2,COLORES[],2,FALSE),0)))+E45)
   *(1-IFERROR(_xlfn.XLOOKUP(1,(DESC_PROV[LINEA]=$B$2)*(DESC_PROV[LISTA]=$C$2),DESC_PROV[DESCUENTO]),0))
   *(1+VLOOKUP($C$2,LISTAS[],2,FALSE))
   *(1+VLOOKUP($C$2,LISTAS[],3,FALSE))
)
/5,0)*5,0)</f>
        <v>778490</v>
      </c>
    </row>
  </sheetData>
  <mergeCells count="4">
    <mergeCell ref="A5:E5"/>
    <mergeCell ref="G5:J5"/>
    <mergeCell ref="A40:E40"/>
    <mergeCell ref="G40:J40"/>
  </mergeCell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FF0000"/>
  </sheetPr>
  <dimension ref="A1:I54"/>
  <sheetViews>
    <sheetView zoomScale="70" zoomScaleNormal="70" workbookViewId="0">
      <selection activeCell="B21" sqref="B21"/>
    </sheetView>
  </sheetViews>
  <sheetFormatPr baseColWidth="10" defaultRowHeight="14.25"/>
  <cols>
    <col min="1" max="1" width="11.1328125" customWidth="1"/>
    <col min="2" max="2" width="12" customWidth="1"/>
    <col min="3" max="3" width="10" customWidth="1"/>
    <col min="4" max="5" width="8.73046875"/>
    <col min="6" max="6" width="11.1328125" customWidth="1"/>
    <col min="7" max="7" width="12" customWidth="1"/>
    <col min="8" max="8" width="10" customWidth="1"/>
    <col min="9" max="9" width="8.73046875"/>
  </cols>
  <sheetData>
    <row r="1" spans="1:9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9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</row>
    <row r="4" spans="1:9" ht="14.65" thickBot="1"/>
    <row r="5" spans="1:9" ht="25.9" thickBot="1">
      <c r="A5" s="302" t="s">
        <v>282</v>
      </c>
      <c r="B5" s="303"/>
      <c r="C5" s="303"/>
      <c r="D5" s="304"/>
      <c r="E5" s="124"/>
      <c r="F5" s="302" t="s">
        <v>282</v>
      </c>
      <c r="G5" s="303"/>
      <c r="H5" s="303"/>
      <c r="I5" s="304"/>
    </row>
    <row r="6" spans="1:9" ht="14.65" thickBot="1">
      <c r="A6" s="124"/>
      <c r="B6" s="124"/>
      <c r="C6" s="124"/>
      <c r="D6" s="124"/>
      <c r="E6" s="124"/>
      <c r="F6" s="124"/>
      <c r="G6" s="124"/>
      <c r="H6" s="124"/>
      <c r="I6" s="124"/>
    </row>
    <row r="7" spans="1:9" ht="18.399999999999999" thickBot="1">
      <c r="A7" s="159" t="s">
        <v>24</v>
      </c>
      <c r="B7" s="160" t="s">
        <v>283</v>
      </c>
      <c r="C7" s="160" t="s">
        <v>284</v>
      </c>
      <c r="D7" s="161" t="s">
        <v>285</v>
      </c>
      <c r="E7" s="124"/>
      <c r="F7" s="159" t="s">
        <v>24</v>
      </c>
      <c r="G7" s="160" t="s">
        <v>283</v>
      </c>
      <c r="H7" s="160" t="s">
        <v>284</v>
      </c>
      <c r="I7" s="161" t="s">
        <v>285</v>
      </c>
    </row>
    <row r="8" spans="1:9" ht="15" thickTop="1" thickBot="1">
      <c r="A8" s="162" t="s">
        <v>97</v>
      </c>
      <c r="B8" s="154">
        <v>62242</v>
      </c>
      <c r="C8" s="154">
        <v>69409</v>
      </c>
      <c r="D8" s="155">
        <v>2</v>
      </c>
      <c r="E8" s="124"/>
      <c r="F8" s="162" t="s">
        <v>97</v>
      </c>
      <c r="G8" s="156">
        <f t="array" ref="G8">IFERROR(
ROUND(
IF($A$2="COSTO",
   (B8*(1+VLOOKUP($D$2,COLORES[],2,FALSE))
    *VLOOKUP("CORREDIZO",MARCOANCHO[],2,FALSE))
   *(1-IFERROR(_xlfn.XLOOKUP(1,(DESC_PROV[LINEA]=$B$2)*(DESC_PROV[LISTA]=$C$2),DESC_PROV[DESCUENTO]),0)),
   (B8*(1+VLOOKUP($D$2,COLORES[],2,FALSE))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77195</v>
      </c>
      <c r="H8" s="156">
        <f t="array" ref="H8">IFERROR(
ROUND(
IF($A$2="COSTO",
   (C8*(1+VLOOKUP($D$2,COLORES[],2,FALSE))
    *VLOOKUP("ABRIR",MARCOANCHO[],2,FALSE))
   *(1-IFERROR(_xlfn.XLOOKUP(1,(DESC_PROV[LINEA]=$B$2)*(DESC_PROV[LISTA]=$C$2),DESC_PROV[DESCUENTO]),0)),
   (C8*(1+VLOOKUP($D$2,COLORES[],2,FALSE))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90385</v>
      </c>
      <c r="I8" s="155">
        <v>2</v>
      </c>
    </row>
    <row r="9" spans="1:9" ht="15" thickTop="1" thickBot="1">
      <c r="A9" s="162" t="s">
        <v>98</v>
      </c>
      <c r="B9" s="154">
        <v>75677</v>
      </c>
      <c r="C9" s="154">
        <v>83607</v>
      </c>
      <c r="D9" s="155">
        <v>2</v>
      </c>
      <c r="E9" s="124"/>
      <c r="F9" s="162" t="s">
        <v>98</v>
      </c>
      <c r="G9" s="156">
        <f t="array" ref="G9">IFERROR(
ROUND(
IF($A$2="COSTO",
   (B9*(1+VLOOKUP($D$2,COLORES[],2,FALSE))
    *VLOOKUP("CORREDIZO",MARCOANCHO[],2,FALSE))
   *(1-IFERROR(_xlfn.XLOOKUP(1,(DESC_PROV[LINEA]=$B$2)*(DESC_PROV[LISTA]=$C$2),DESC_PROV[DESCUENTO]),0)),
   (B9*(1+VLOOKUP($D$2,COLORES[],2,FALSE))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93855</v>
      </c>
      <c r="H9" s="156">
        <f t="array" ref="H9">IFERROR(
ROUND(
IF($A$2="COSTO",
   (C9*(1+VLOOKUP($D$2,COLORES[],2,FALSE))
    *VLOOKUP("ABRIR",MARCOANCHO[],2,FALSE))
   *(1-IFERROR(_xlfn.XLOOKUP(1,(DESC_PROV[LINEA]=$B$2)*(DESC_PROV[LISTA]=$C$2),DESC_PROV[DESCUENTO]),0)),
   (C9*(1+VLOOKUP($D$2,COLORES[],2,FALSE))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108875</v>
      </c>
      <c r="I9" s="155">
        <v>2</v>
      </c>
    </row>
    <row r="10" spans="1:9" ht="15" thickTop="1" thickBot="1">
      <c r="A10" s="162" t="s">
        <v>99</v>
      </c>
      <c r="B10" s="154">
        <v>93409</v>
      </c>
      <c r="C10" s="154">
        <v>104104</v>
      </c>
      <c r="D10" s="155" t="s">
        <v>286</v>
      </c>
      <c r="E10" s="124"/>
      <c r="F10" s="162" t="s">
        <v>99</v>
      </c>
      <c r="G10" s="156">
        <f t="array" ref="G10">IFERROR(
ROUND(
IF($A$2="COSTO",
   (B10*(1+VLOOKUP($D$2,COLORES[],2,FALSE))
    *VLOOKUP("CORREDIZO",MARCOANCHO[],2,FALSE))
   *(1-IFERROR(_xlfn.XLOOKUP(1,(DESC_PROV[LINEA]=$B$2)*(DESC_PROV[LISTA]=$C$2),DESC_PROV[DESCUENTO]),0)),
   (B10*(1+VLOOKUP($D$2,COLORES[],2,FALSE))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115845</v>
      </c>
      <c r="H10" s="156">
        <f t="array" ref="H10">IFERROR(
ROUND(
IF($A$2="COSTO",
   (C10*(1+VLOOKUP($D$2,COLORES[],2,FALSE))
    *VLOOKUP("ABRIR",MARCOANCHO[],2,FALSE))
   *(1-IFERROR(_xlfn.XLOOKUP(1,(DESC_PROV[LINEA]=$B$2)*(DESC_PROV[LISTA]=$C$2),DESC_PROV[DESCUENTO]),0)),
   (C10*(1+VLOOKUP($D$2,COLORES[],2,FALSE))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135565</v>
      </c>
      <c r="I10" s="155" t="s">
        <v>286</v>
      </c>
    </row>
    <row r="11" spans="1:9" ht="15" thickTop="1" thickBot="1">
      <c r="A11" s="162" t="s">
        <v>100</v>
      </c>
      <c r="B11" s="154">
        <v>112034</v>
      </c>
      <c r="C11" s="154">
        <v>124490</v>
      </c>
      <c r="D11" s="155">
        <v>3</v>
      </c>
      <c r="E11" s="124"/>
      <c r="F11" s="162" t="s">
        <v>100</v>
      </c>
      <c r="G11" s="156">
        <f t="array" ref="G11">IFERROR(
ROUND(
IF($A$2="COSTO",
   (B11*(1+VLOOKUP($D$2,COLORES[],2,FALSE))
    *VLOOKUP("CORREDIZO",MARCOANCHO[],2,FALSE))
   *(1-IFERROR(_xlfn.XLOOKUP(1,(DESC_PROV[LINEA]=$B$2)*(DESC_PROV[LISTA]=$C$2),DESC_PROV[DESCUENTO]),0)),
   (B11*(1+VLOOKUP($D$2,COLORES[],2,FALSE))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138945</v>
      </c>
      <c r="H11" s="156">
        <f t="array" ref="H11">IFERROR(
ROUND(
IF($A$2="COSTO",
   (C11*(1+VLOOKUP($D$2,COLORES[],2,FALSE))
    *VLOOKUP("ABRIR",MARCOANCHO[],2,FALSE))
   *(1-IFERROR(_xlfn.XLOOKUP(1,(DESC_PROV[LINEA]=$B$2)*(DESC_PROV[LISTA]=$C$2),DESC_PROV[DESCUENTO]),0)),
   (C11*(1+VLOOKUP($D$2,COLORES[],2,FALSE))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162110</v>
      </c>
      <c r="I11" s="155">
        <v>3</v>
      </c>
    </row>
    <row r="12" spans="1:9" ht="15" thickTop="1" thickBot="1">
      <c r="A12" s="162" t="s">
        <v>101</v>
      </c>
      <c r="B12" s="154">
        <v>124490</v>
      </c>
      <c r="C12" s="154">
        <v>138799</v>
      </c>
      <c r="D12" s="155">
        <v>3</v>
      </c>
      <c r="E12" s="124"/>
      <c r="F12" s="162" t="s">
        <v>101</v>
      </c>
      <c r="G12" s="156">
        <f t="array" ref="G12">IFERROR(
ROUND(
IF($A$2="COSTO",
   (B12*(1+VLOOKUP($D$2,COLORES[],2,FALSE))
    *VLOOKUP("CORREDIZO",MARCOANCHO[],2,FALSE))
   *(1-IFERROR(_xlfn.XLOOKUP(1,(DESC_PROV[LINEA]=$B$2)*(DESC_PROV[LISTA]=$C$2),DESC_PROV[DESCUENTO]),0)),
   (B12*(1+VLOOKUP($D$2,COLORES[],2,FALSE))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154390</v>
      </c>
      <c r="H12" s="156">
        <f t="array" ref="H12">IFERROR(
ROUND(
IF($A$2="COSTO",
   (C12*(1+VLOOKUP($D$2,COLORES[],2,FALSE))
    *VLOOKUP("ABRIR",MARCOANCHO[],2,FALSE))
   *(1-IFERROR(_xlfn.XLOOKUP(1,(DESC_PROV[LINEA]=$B$2)*(DESC_PROV[LISTA]=$C$2),DESC_PROV[DESCUENTO]),0)),
   (C12*(1+VLOOKUP($D$2,COLORES[],2,FALSE))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180745</v>
      </c>
      <c r="I12" s="155">
        <v>3</v>
      </c>
    </row>
    <row r="13" spans="1:9" ht="15" thickTop="1" thickBot="1">
      <c r="A13" s="162" t="s">
        <v>51</v>
      </c>
      <c r="B13" s="154">
        <v>93409</v>
      </c>
      <c r="C13" s="154">
        <v>104104</v>
      </c>
      <c r="D13" s="155">
        <v>2</v>
      </c>
      <c r="E13" s="124"/>
      <c r="F13" s="162" t="s">
        <v>51</v>
      </c>
      <c r="G13" s="156">
        <f t="array" ref="G13">IFERROR(
ROUND(
IF($A$2="COSTO",
   (B13*(1+VLOOKUP($D$2,COLORES[],2,FALSE))
    *VLOOKUP("CORREDIZO",MARCOANCHO[],2,FALSE))
   *(1-IFERROR(_xlfn.XLOOKUP(1,(DESC_PROV[LINEA]=$B$2)*(DESC_PROV[LISTA]=$C$2),DESC_PROV[DESCUENTO]),0)),
   (B13*(1+VLOOKUP($D$2,COLORES[],2,FALSE))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115845</v>
      </c>
      <c r="H13" s="156">
        <f t="array" ref="H13">IFERROR(
ROUND(
IF($A$2="COSTO",
   (C13*(1+VLOOKUP($D$2,COLORES[],2,FALSE))
    *VLOOKUP("ABRIR",MARCOANCHO[],2,FALSE))
   *(1-IFERROR(_xlfn.XLOOKUP(1,(DESC_PROV[LINEA]=$B$2)*(DESC_PROV[LISTA]=$C$2),DESC_PROV[DESCUENTO]),0)),
   (C13*(1+VLOOKUP($D$2,COLORES[],2,FALSE))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135565</v>
      </c>
      <c r="I13" s="155">
        <v>2</v>
      </c>
    </row>
    <row r="14" spans="1:9" ht="15" thickTop="1" thickBot="1">
      <c r="A14" s="162" t="s">
        <v>52</v>
      </c>
      <c r="B14" s="154">
        <v>112034</v>
      </c>
      <c r="C14" s="154">
        <v>155651</v>
      </c>
      <c r="D14" s="155">
        <v>2</v>
      </c>
      <c r="E14" s="124"/>
      <c r="F14" s="162" t="s">
        <v>52</v>
      </c>
      <c r="G14" s="156">
        <f t="array" ref="G14">IFERROR(
ROUND(
IF($A$2="COSTO",
   (B14*(1+VLOOKUP($D$2,COLORES[],2,FALSE))
    *VLOOKUP("CORREDIZO",MARCOANCHO[],2,FALSE))
   *(1-IFERROR(_xlfn.XLOOKUP(1,(DESC_PROV[LINEA]=$B$2)*(DESC_PROV[LISTA]=$C$2),DESC_PROV[DESCUENTO]),0)),
   (B14*(1+VLOOKUP($D$2,COLORES[],2,FALSE))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138945</v>
      </c>
      <c r="H14" s="156">
        <f t="array" ref="H14">IFERROR(
ROUND(
IF($A$2="COSTO",
   (C14*(1+VLOOKUP($D$2,COLORES[],2,FALSE))
    *VLOOKUP("ABRIR",MARCOANCHO[],2,FALSE))
   *(1-IFERROR(_xlfn.XLOOKUP(1,(DESC_PROV[LINEA]=$B$2)*(DESC_PROV[LISTA]=$C$2),DESC_PROV[DESCUENTO]),0)),
   (C14*(1+VLOOKUP($D$2,COLORES[],2,FALSE))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202690</v>
      </c>
      <c r="I14" s="155">
        <v>2</v>
      </c>
    </row>
    <row r="15" spans="1:9" ht="15" thickTop="1" thickBot="1">
      <c r="A15" s="162" t="s">
        <v>53</v>
      </c>
      <c r="B15" s="154">
        <v>147597</v>
      </c>
      <c r="C15" s="154">
        <v>163438</v>
      </c>
      <c r="D15" s="155">
        <v>3</v>
      </c>
      <c r="E15" s="124"/>
      <c r="F15" s="162" t="s">
        <v>53</v>
      </c>
      <c r="G15" s="156">
        <f t="array" ref="G15">IFERROR(
ROUND(
IF($A$2="COSTO",
   (B15*(1+VLOOKUP($D$2,COLORES[],2,FALSE))
    *VLOOKUP("CORREDIZO",MARCOANCHO[],2,FALSE))
   *(1-IFERROR(_xlfn.XLOOKUP(1,(DESC_PROV[LINEA]=$B$2)*(DESC_PROV[LISTA]=$C$2),DESC_PROV[DESCUENTO]),0)),
   (B15*(1+VLOOKUP($D$2,COLORES[],2,FALSE))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183050</v>
      </c>
      <c r="H15" s="156">
        <f t="array" ref="H15">IFERROR(
ROUND(
IF($A$2="COSTO",
   (C15*(1+VLOOKUP($D$2,COLORES[],2,FALSE))
    *VLOOKUP("ABRIR",MARCOANCHO[],2,FALSE))
   *(1-IFERROR(_xlfn.XLOOKUP(1,(DESC_PROV[LINEA]=$B$2)*(DESC_PROV[LISTA]=$C$2),DESC_PROV[DESCUENTO]),0)),
   (C15*(1+VLOOKUP($D$2,COLORES[],2,FALSE))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212830</v>
      </c>
      <c r="I15" s="155">
        <v>3</v>
      </c>
    </row>
    <row r="16" spans="1:9" ht="15" thickTop="1" thickBot="1">
      <c r="A16" s="162" t="s">
        <v>54</v>
      </c>
      <c r="B16" s="154">
        <v>176514</v>
      </c>
      <c r="C16" s="154">
        <v>196174</v>
      </c>
      <c r="D16" s="155">
        <v>3</v>
      </c>
      <c r="E16" s="124"/>
      <c r="F16" s="162" t="s">
        <v>54</v>
      </c>
      <c r="G16" s="156">
        <f t="array" ref="G16">IFERROR(
ROUND(
IF($A$2="COSTO",
   (B16*(1+VLOOKUP($D$2,COLORES[],2,FALSE))
    *VLOOKUP("CORREDIZO",MARCOANCHO[],2,FALSE))
   *(1-IFERROR(_xlfn.XLOOKUP(1,(DESC_PROV[LINEA]=$B$2)*(DESC_PROV[LISTA]=$C$2),DESC_PROV[DESCUENTO]),0)),
   (B16*(1+VLOOKUP($D$2,COLORES[],2,FALSE))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218915</v>
      </c>
      <c r="H16" s="156">
        <f t="array" ref="H16">IFERROR(
ROUND(
IF($A$2="COSTO",
   (C16*(1+VLOOKUP($D$2,COLORES[],2,FALSE))
    *VLOOKUP("ABRIR",MARCOANCHO[],2,FALSE))
   *(1-IFERROR(_xlfn.XLOOKUP(1,(DESC_PROV[LINEA]=$B$2)*(DESC_PROV[LISTA]=$C$2),DESC_PROV[DESCUENTO]),0)),
   (C16*(1+VLOOKUP($D$2,COLORES[],2,FALSE))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255460</v>
      </c>
      <c r="I16" s="155">
        <v>3</v>
      </c>
    </row>
    <row r="17" spans="1:9" ht="15" thickTop="1" thickBot="1">
      <c r="A17" s="162" t="s">
        <v>55</v>
      </c>
      <c r="B17" s="154">
        <v>205456</v>
      </c>
      <c r="C17" s="154">
        <v>218606</v>
      </c>
      <c r="D17" s="155">
        <v>3</v>
      </c>
      <c r="E17" s="124"/>
      <c r="F17" s="162" t="s">
        <v>55</v>
      </c>
      <c r="G17" s="156">
        <f t="array" ref="G17">IFERROR(
ROUND(
IF($A$2="COSTO",
   (B17*(1+VLOOKUP($D$2,COLORES[],2,FALSE))
    *VLOOKUP("CORREDIZO",MARCOANCHO[],2,FALSE))
   *(1-IFERROR(_xlfn.XLOOKUP(1,(DESC_PROV[LINEA]=$B$2)*(DESC_PROV[LISTA]=$C$2),DESC_PROV[DESCUENTO]),0)),
   (B17*(1+VLOOKUP($D$2,COLORES[],2,FALSE))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254805</v>
      </c>
      <c r="H17" s="156">
        <f t="array" ref="H17">IFERROR(
ROUND(
IF($A$2="COSTO",
   (C17*(1+VLOOKUP($D$2,COLORES[],2,FALSE))
    *VLOOKUP("ABRIR",MARCOANCHO[],2,FALSE))
   *(1-IFERROR(_xlfn.XLOOKUP(1,(DESC_PROV[LINEA]=$B$2)*(DESC_PROV[LISTA]=$C$2),DESC_PROV[DESCUENTO]),0)),
   (C17*(1+VLOOKUP($D$2,COLORES[],2,FALSE))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284670</v>
      </c>
      <c r="I17" s="155">
        <v>3</v>
      </c>
    </row>
    <row r="18" spans="1:9" ht="15" thickTop="1" thickBot="1">
      <c r="A18" s="162" t="s">
        <v>56</v>
      </c>
      <c r="B18" s="154">
        <v>219871</v>
      </c>
      <c r="C18" s="154">
        <v>240008</v>
      </c>
      <c r="D18" s="155">
        <v>3</v>
      </c>
      <c r="E18" s="124"/>
      <c r="F18" s="162" t="s">
        <v>56</v>
      </c>
      <c r="G18" s="156">
        <f t="array" ref="G18">IFERROR(
ROUND(
IF($A$2="COSTO",
   (B18*(1+VLOOKUP($D$2,COLORES[],2,FALSE))
    *VLOOKUP("CORREDIZO",MARCOANCHO[],2,FALSE))
   *(1-IFERROR(_xlfn.XLOOKUP(1,(DESC_PROV[LINEA]=$B$2)*(DESC_PROV[LISTA]=$C$2),DESC_PROV[DESCUENTO]),0)),
   (B18*(1+VLOOKUP($D$2,COLORES[],2,FALSE))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272685</v>
      </c>
      <c r="H18" s="156">
        <f t="array" ref="H18">IFERROR(
ROUND(
IF($A$2="COSTO",
   (C18*(1+VLOOKUP($D$2,COLORES[],2,FALSE))
    *VLOOKUP("ABRIR",MARCOANCHO[],2,FALSE))
   *(1-IFERROR(_xlfn.XLOOKUP(1,(DESC_PROV[LINEA]=$B$2)*(DESC_PROV[LISTA]=$C$2),DESC_PROV[DESCUENTO]),0)),
   (C18*(1+VLOOKUP($D$2,COLORES[],2,FALSE))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312540</v>
      </c>
      <c r="I18" s="155">
        <v>3</v>
      </c>
    </row>
    <row r="19" spans="1:9" ht="15" thickTop="1" thickBot="1">
      <c r="A19" s="162" t="s">
        <v>57</v>
      </c>
      <c r="B19" s="154">
        <v>224180</v>
      </c>
      <c r="C19" s="154">
        <v>261528</v>
      </c>
      <c r="D19" s="155">
        <v>3</v>
      </c>
      <c r="E19" s="124"/>
      <c r="F19" s="162" t="s">
        <v>57</v>
      </c>
      <c r="G19" s="156">
        <f t="array" ref="G19">IFERROR(
ROUND(
IF($A$2="COSTO",
   (B19*(1+VLOOKUP($D$2,COLORES[],2,FALSE))
    *VLOOKUP("CORREDIZO",MARCOANCHO[],2,FALSE))
   *(1-IFERROR(_xlfn.XLOOKUP(1,(DESC_PROV[LINEA]=$B$2)*(DESC_PROV[LISTA]=$C$2),DESC_PROV[DESCUENTO]),0)),
   (B19*(1+VLOOKUP($D$2,COLORES[],2,FALSE))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278030</v>
      </c>
      <c r="H19" s="156">
        <f t="array" ref="H19">IFERROR(
ROUND(
IF($A$2="COSTO",
   (C19*(1+VLOOKUP($D$2,COLORES[],2,FALSE))
    *VLOOKUP("ABRIR",MARCOANCHO[],2,FALSE))
   *(1-IFERROR(_xlfn.XLOOKUP(1,(DESC_PROV[LINEA]=$B$2)*(DESC_PROV[LISTA]=$C$2),DESC_PROV[DESCUENTO]),0)),
   (C19*(1+VLOOKUP($D$2,COLORES[],2,FALSE))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340565</v>
      </c>
      <c r="I19" s="155">
        <v>3</v>
      </c>
    </row>
    <row r="20" spans="1:9" ht="15" thickTop="1" thickBot="1">
      <c r="A20" s="162" t="s">
        <v>15</v>
      </c>
      <c r="B20" s="154">
        <v>104104</v>
      </c>
      <c r="C20" s="154">
        <v>115667</v>
      </c>
      <c r="D20" s="155">
        <v>2</v>
      </c>
      <c r="E20" s="124"/>
      <c r="F20" s="162" t="s">
        <v>15</v>
      </c>
      <c r="G20" s="156">
        <f t="array" ref="G20">IFERROR(
ROUND(
IF($A$2="COSTO",
   (B20*(1+VLOOKUP($D$2,COLORES[],2,FALSE))
    *VLOOKUP("CORREDIZO",MARCOANCHO[],2,FALSE))
   *(1-IFERROR(_xlfn.XLOOKUP(1,(DESC_PROV[LINEA]=$B$2)*(DESC_PROV[LISTA]=$C$2),DESC_PROV[DESCUENTO]),0)),
   (B20*(1+VLOOKUP($D$2,COLORES[],2,FALSE))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129110</v>
      </c>
      <c r="H20" s="156">
        <f t="array" ref="H20">IFERROR(
ROUND(
IF($A$2="COSTO",
   (C20*(1+VLOOKUP($D$2,COLORES[],2,FALSE))
    *VLOOKUP("ABRIR",MARCOANCHO[],2,FALSE))
   *(1-IFERROR(_xlfn.XLOOKUP(1,(DESC_PROV[LINEA]=$B$2)*(DESC_PROV[LISTA]=$C$2),DESC_PROV[DESCUENTO]),0)),
   (C20*(1+VLOOKUP($D$2,COLORES[],2,FALSE))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150625</v>
      </c>
      <c r="I20" s="155">
        <v>2</v>
      </c>
    </row>
    <row r="21" spans="1:9" ht="15" thickTop="1" thickBot="1">
      <c r="A21" s="162" t="s">
        <v>102</v>
      </c>
      <c r="B21" s="154">
        <v>125469</v>
      </c>
      <c r="C21" s="154">
        <v>138818</v>
      </c>
      <c r="D21" s="155">
        <v>2</v>
      </c>
      <c r="E21" s="124"/>
      <c r="F21" s="162" t="s">
        <v>102</v>
      </c>
      <c r="G21" s="156">
        <f t="array" ref="G21">IFERROR(
ROUND(
IF($A$2="COSTO",
   (B21*(1+VLOOKUP($D$2,COLORES[],2,FALSE))
    *VLOOKUP("CORREDIZO",MARCOANCHO[],2,FALSE))
   *(1-IFERROR(_xlfn.XLOOKUP(1,(DESC_PROV[LINEA]=$B$2)*(DESC_PROV[LISTA]=$C$2),DESC_PROV[DESCUENTO]),0)),
   (B21*(1+VLOOKUP($D$2,COLORES[],2,FALSE))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155605</v>
      </c>
      <c r="H21" s="156">
        <f t="array" ref="H21">IFERROR(
ROUND(
IF($A$2="COSTO",
   (C21*(1+VLOOKUP($D$2,COLORES[],2,FALSE))
    *VLOOKUP("ABRIR",MARCOANCHO[],2,FALSE))
   *(1-IFERROR(_xlfn.XLOOKUP(1,(DESC_PROV[LINEA]=$B$2)*(DESC_PROV[LISTA]=$C$2),DESC_PROV[DESCUENTO]),0)),
   (C21*(1+VLOOKUP($D$2,COLORES[],2,FALSE))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180770</v>
      </c>
      <c r="I21" s="155">
        <v>2</v>
      </c>
    </row>
    <row r="22" spans="1:9" ht="15" thickTop="1" thickBot="1">
      <c r="A22" s="162" t="s">
        <v>16</v>
      </c>
      <c r="B22" s="154">
        <v>151299</v>
      </c>
      <c r="C22" s="154">
        <v>160964</v>
      </c>
      <c r="D22" s="155">
        <v>3</v>
      </c>
      <c r="E22" s="124"/>
      <c r="F22" s="162" t="s">
        <v>16</v>
      </c>
      <c r="G22" s="156">
        <f t="array" ref="G22">IFERROR(
ROUND(
IF($A$2="COSTO",
   (B22*(1+VLOOKUP($D$2,COLORES[],2,FALSE))
    *VLOOKUP("CORREDIZO",MARCOANCHO[],2,FALSE))
   *(1-IFERROR(_xlfn.XLOOKUP(1,(DESC_PROV[LINEA]=$B$2)*(DESC_PROV[LISTA]=$C$2),DESC_PROV[DESCUENTO]),0)),
   (B22*(1+VLOOKUP($D$2,COLORES[],2,FALSE))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187640</v>
      </c>
      <c r="H22" s="156">
        <f t="array" ref="H22">IFERROR(
ROUND(
IF($A$2="COSTO",
   (C22*(1+VLOOKUP($D$2,COLORES[],2,FALSE))
    *VLOOKUP("ABRIR",MARCOANCHO[],2,FALSE))
   *(1-IFERROR(_xlfn.XLOOKUP(1,(DESC_PROV[LINEA]=$B$2)*(DESC_PROV[LISTA]=$C$2),DESC_PROV[DESCUENTO]),0)),
   (C22*(1+VLOOKUP($D$2,COLORES[],2,FALSE))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209610</v>
      </c>
      <c r="I22" s="155">
        <v>3</v>
      </c>
    </row>
    <row r="23" spans="1:9" ht="15" thickTop="1" thickBot="1">
      <c r="A23" s="162" t="s">
        <v>103</v>
      </c>
      <c r="B23" s="154">
        <v>173501</v>
      </c>
      <c r="C23" s="154">
        <v>201723</v>
      </c>
      <c r="D23" s="155">
        <v>3</v>
      </c>
      <c r="E23" s="124"/>
      <c r="F23" s="162" t="s">
        <v>103</v>
      </c>
      <c r="G23" s="156">
        <f t="array" ref="G23">IFERROR(
ROUND(
IF($A$2="COSTO",
   (B23*(1+VLOOKUP($D$2,COLORES[],2,FALSE))
    *VLOOKUP("CORREDIZO",MARCOANCHO[],2,FALSE))
   *(1-IFERROR(_xlfn.XLOOKUP(1,(DESC_PROV[LINEA]=$B$2)*(DESC_PROV[LISTA]=$C$2),DESC_PROV[DESCUENTO]),0)),
   (B23*(1+VLOOKUP($D$2,COLORES[],2,FALSE))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215175</v>
      </c>
      <c r="H23" s="156">
        <f t="array" ref="H23">IFERROR(
ROUND(
IF($A$2="COSTO",
   (C23*(1+VLOOKUP($D$2,COLORES[],2,FALSE))
    *VLOOKUP("ABRIR",MARCOANCHO[],2,FALSE))
   *(1-IFERROR(_xlfn.XLOOKUP(1,(DESC_PROV[LINEA]=$B$2)*(DESC_PROV[LISTA]=$C$2),DESC_PROV[DESCUENTO]),0)),
   (C23*(1+VLOOKUP($D$2,COLORES[],2,FALSE))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262685</v>
      </c>
      <c r="I23" s="155">
        <v>3</v>
      </c>
    </row>
    <row r="24" spans="1:9" ht="15" thickTop="1" thickBot="1">
      <c r="A24" s="162" t="s">
        <v>104</v>
      </c>
      <c r="B24" s="154">
        <v>192126</v>
      </c>
      <c r="C24" s="154">
        <v>224180</v>
      </c>
      <c r="D24" s="155">
        <v>3</v>
      </c>
      <c r="E24" s="124"/>
      <c r="F24" s="162" t="s">
        <v>104</v>
      </c>
      <c r="G24" s="156">
        <f t="array" ref="G24">IFERROR(
ROUND(
IF($A$2="COSTO",
   (B24*(1+VLOOKUP($D$2,COLORES[],2,FALSE))
    *VLOOKUP("CORREDIZO",MARCOANCHO[],2,FALSE))
   *(1-IFERROR(_xlfn.XLOOKUP(1,(DESC_PROV[LINEA]=$B$2)*(DESC_PROV[LISTA]=$C$2),DESC_PROV[DESCUENTO]),0)),
   (B24*(1+VLOOKUP($D$2,COLORES[],2,FALSE))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238275</v>
      </c>
      <c r="H24" s="156">
        <f t="array" ref="H24">IFERROR(
ROUND(
IF($A$2="COSTO",
   (C24*(1+VLOOKUP($D$2,COLORES[],2,FALSE))
    *VLOOKUP("ABRIR",MARCOANCHO[],2,FALSE))
   *(1-IFERROR(_xlfn.XLOOKUP(1,(DESC_PROV[LINEA]=$B$2)*(DESC_PROV[LISTA]=$C$2),DESC_PROV[DESCUENTO]),0)),
   (C24*(1+VLOOKUP($D$2,COLORES[],2,FALSE))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291930</v>
      </c>
      <c r="I24" s="155">
        <v>3</v>
      </c>
    </row>
    <row r="25" spans="1:9" ht="15" thickTop="1" thickBot="1">
      <c r="A25" s="162" t="s">
        <v>105</v>
      </c>
      <c r="B25" s="154">
        <v>211730</v>
      </c>
      <c r="C25" s="154">
        <v>246599</v>
      </c>
      <c r="D25" s="155">
        <v>3</v>
      </c>
      <c r="E25" s="124"/>
      <c r="F25" s="162" t="s">
        <v>105</v>
      </c>
      <c r="G25" s="156">
        <f t="array" ref="G25">IFERROR(
ROUND(
IF($A$2="COSTO",
   (B25*(1+VLOOKUP($D$2,COLORES[],2,FALSE))
    *VLOOKUP("CORREDIZO",MARCOANCHO[],2,FALSE))
   *(1-IFERROR(_xlfn.XLOOKUP(1,(DESC_PROV[LINEA]=$B$2)*(DESC_PROV[LISTA]=$C$2),DESC_PROV[DESCUENTO]),0)),
   (B25*(1+VLOOKUP($D$2,COLORES[],2,FALSE))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262590</v>
      </c>
      <c r="H25" s="156">
        <f t="array" ref="H25">IFERROR(
ROUND(
IF($A$2="COSTO",
   (C25*(1+VLOOKUP($D$2,COLORES[],2,FALSE))
    *VLOOKUP("ABRIR",MARCOANCHO[],2,FALSE))
   *(1-IFERROR(_xlfn.XLOOKUP(1,(DESC_PROV[LINEA]=$B$2)*(DESC_PROV[LISTA]=$C$2),DESC_PROV[DESCUENTO]),0)),
   (C25*(1+VLOOKUP($D$2,COLORES[],2,FALSE))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321125</v>
      </c>
      <c r="I25" s="155">
        <v>3</v>
      </c>
    </row>
    <row r="26" spans="1:9" ht="15" thickTop="1" thickBot="1">
      <c r="A26" s="162" t="s">
        <v>106</v>
      </c>
      <c r="B26" s="154">
        <v>231334</v>
      </c>
      <c r="C26" s="154">
        <v>269043</v>
      </c>
      <c r="D26" s="155">
        <v>3</v>
      </c>
      <c r="E26" s="124"/>
      <c r="F26" s="162" t="s">
        <v>106</v>
      </c>
      <c r="G26" s="156">
        <f t="array" ref="G26">IFERROR(
ROUND(
IF($A$2="COSTO",
   (B26*(1+VLOOKUP($D$2,COLORES[],2,FALSE))
    *VLOOKUP("CORREDIZO",MARCOANCHO[],2,FALSE))
   *(1-IFERROR(_xlfn.XLOOKUP(1,(DESC_PROV[LINEA]=$B$2)*(DESC_PROV[LISTA]=$C$2),DESC_PROV[DESCUENTO]),0)),
   (B26*(1+VLOOKUP($D$2,COLORES[],2,FALSE))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286900</v>
      </c>
      <c r="H26" s="156">
        <f t="array" ref="H26">IFERROR(
ROUND(
IF($A$2="COSTO",
   (C26*(1+VLOOKUP($D$2,COLORES[],2,FALSE))
    *VLOOKUP("ABRIR",MARCOANCHO[],2,FALSE))
   *(1-IFERROR(_xlfn.XLOOKUP(1,(DESC_PROV[LINEA]=$B$2)*(DESC_PROV[LISTA]=$C$2),DESC_PROV[DESCUENTO]),0)),
   (C26*(1+VLOOKUP($D$2,COLORES[],2,FALSE))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350350</v>
      </c>
      <c r="I26" s="155">
        <v>3</v>
      </c>
    </row>
    <row r="27" spans="1:9" ht="15" thickTop="1" thickBot="1">
      <c r="A27" s="162" t="s">
        <v>58</v>
      </c>
      <c r="B27" s="154">
        <v>105865</v>
      </c>
      <c r="C27" s="154">
        <v>117422</v>
      </c>
      <c r="D27" s="155">
        <v>2</v>
      </c>
      <c r="E27" s="124"/>
      <c r="F27" s="162" t="s">
        <v>58</v>
      </c>
      <c r="G27" s="156">
        <f t="array" ref="G27">IFERROR(
ROUND(
IF($A$2="COSTO",
   (B27*(1+VLOOKUP($D$2,COLORES[],2,FALSE))
    *VLOOKUP("CORREDIZO",MARCOANCHO[],2,FALSE))
   *(1-IFERROR(_xlfn.XLOOKUP(1,(DESC_PROV[LINEA]=$B$2)*(DESC_PROV[LISTA]=$C$2),DESC_PROV[DESCUENTO]),0)),
   (B27*(1+VLOOKUP($D$2,COLORES[],2,FALSE))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131295</v>
      </c>
      <c r="H27" s="156">
        <f t="array" ref="H27">IFERROR(
ROUND(
IF($A$2="COSTO",
   (C27*(1+VLOOKUP($D$2,COLORES[],2,FALSE))
    *VLOOKUP("ABRIR",MARCOANCHO[],2,FALSE))
   *(1-IFERROR(_xlfn.XLOOKUP(1,(DESC_PROV[LINEA]=$B$2)*(DESC_PROV[LISTA]=$C$2),DESC_PROV[DESCUENTO]),0)),
   (C27*(1+VLOOKUP($D$2,COLORES[],2,FALSE))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152910</v>
      </c>
      <c r="I27" s="155">
        <v>2</v>
      </c>
    </row>
    <row r="28" spans="1:9" ht="15" thickTop="1" thickBot="1">
      <c r="A28" s="162" t="s">
        <v>59</v>
      </c>
      <c r="B28" s="154">
        <v>126350</v>
      </c>
      <c r="C28" s="154">
        <v>140560</v>
      </c>
      <c r="D28" s="155">
        <v>2</v>
      </c>
      <c r="E28" s="124"/>
      <c r="F28" s="162" t="s">
        <v>59</v>
      </c>
      <c r="G28" s="156">
        <f t="array" ref="G28">IFERROR(
ROUND(
IF($A$2="COSTO",
   (B28*(1+VLOOKUP($D$2,COLORES[],2,FALSE))
    *VLOOKUP("CORREDIZO",MARCOANCHO[],2,FALSE))
   *(1-IFERROR(_xlfn.XLOOKUP(1,(DESC_PROV[LINEA]=$B$2)*(DESC_PROV[LISTA]=$C$2),DESC_PROV[DESCUENTO]),0)),
   (B28*(1+VLOOKUP($D$2,COLORES[],2,FALSE))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156700</v>
      </c>
      <c r="H28" s="156">
        <f t="array" ref="H28">IFERROR(
ROUND(
IF($A$2="COSTO",
   (C28*(1+VLOOKUP($D$2,COLORES[],2,FALSE))
    *VLOOKUP("ABRIR",MARCOANCHO[],2,FALSE))
   *(1-IFERROR(_xlfn.XLOOKUP(1,(DESC_PROV[LINEA]=$B$2)*(DESC_PROV[LISTA]=$C$2),DESC_PROV[DESCUENTO]),0)),
   (C28*(1+VLOOKUP($D$2,COLORES[],2,FALSE))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183040</v>
      </c>
      <c r="I28" s="155">
        <v>2</v>
      </c>
    </row>
    <row r="29" spans="1:9" ht="15" thickTop="1" thickBot="1">
      <c r="A29" s="162" t="s">
        <v>60</v>
      </c>
      <c r="B29" s="154">
        <v>158305</v>
      </c>
      <c r="C29" s="154">
        <v>184958</v>
      </c>
      <c r="D29" s="155">
        <v>3</v>
      </c>
      <c r="E29" s="124"/>
      <c r="F29" s="162" t="s">
        <v>60</v>
      </c>
      <c r="G29" s="156">
        <f t="array" ref="G29">IFERROR(
ROUND(
IF($A$2="COSTO",
   (B29*(1+VLOOKUP($D$2,COLORES[],2,FALSE))
    *VLOOKUP("CORREDIZO",MARCOANCHO[],2,FALSE))
   *(1-IFERROR(_xlfn.XLOOKUP(1,(DESC_PROV[LINEA]=$B$2)*(DESC_PROV[LISTA]=$C$2),DESC_PROV[DESCUENTO]),0)),
   (B29*(1+VLOOKUP($D$2,COLORES[],2,FALSE))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196330</v>
      </c>
      <c r="H29" s="156">
        <f t="array" ref="H29">IFERROR(
ROUND(
IF($A$2="COSTO",
   (C29*(1+VLOOKUP($D$2,COLORES[],2,FALSE))
    *VLOOKUP("ABRIR",MARCOANCHO[],2,FALSE))
   *(1-IFERROR(_xlfn.XLOOKUP(1,(DESC_PROV[LINEA]=$B$2)*(DESC_PROV[LISTA]=$C$2),DESC_PROV[DESCUENTO]),0)),
   (C29*(1+VLOOKUP($D$2,COLORES[],2,FALSE))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240855</v>
      </c>
      <c r="I29" s="155">
        <v>3</v>
      </c>
    </row>
    <row r="30" spans="1:9" ht="15" thickTop="1" thickBot="1">
      <c r="A30" s="162" t="s">
        <v>61</v>
      </c>
      <c r="B30" s="154">
        <v>189472</v>
      </c>
      <c r="C30" s="154">
        <v>221383</v>
      </c>
      <c r="D30" s="155">
        <v>3</v>
      </c>
      <c r="E30" s="124"/>
      <c r="F30" s="162" t="s">
        <v>61</v>
      </c>
      <c r="G30" s="156">
        <f t="array" ref="G30">IFERROR(
ROUND(
IF($A$2="COSTO",
   (B30*(1+VLOOKUP($D$2,COLORES[],2,FALSE))
    *VLOOKUP("CORREDIZO",MARCOANCHO[],2,FALSE))
   *(1-IFERROR(_xlfn.XLOOKUP(1,(DESC_PROV[LINEA]=$B$2)*(DESC_PROV[LISTA]=$C$2),DESC_PROV[DESCUENTO]),0)),
   (B30*(1+VLOOKUP($D$2,COLORES[],2,FALSE))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234985</v>
      </c>
      <c r="H30" s="156">
        <f t="array" ref="H30">IFERROR(
ROUND(
IF($A$2="COSTO",
   (C30*(1+VLOOKUP($D$2,COLORES[],2,FALSE))
    *VLOOKUP("ABRIR",MARCOANCHO[],2,FALSE))
   *(1-IFERROR(_xlfn.XLOOKUP(1,(DESC_PROV[LINEA]=$B$2)*(DESC_PROV[LISTA]=$C$2),DESC_PROV[DESCUENTO]),0)),
   (C30*(1+VLOOKUP($D$2,COLORES[],2,FALSE))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288285</v>
      </c>
      <c r="I30" s="155">
        <v>3</v>
      </c>
    </row>
    <row r="31" spans="1:9" ht="15" thickTop="1" thickBot="1">
      <c r="A31" s="162" t="s">
        <v>62</v>
      </c>
      <c r="B31" s="154">
        <v>211730</v>
      </c>
      <c r="C31" s="154">
        <v>246599</v>
      </c>
      <c r="D31" s="155">
        <v>3</v>
      </c>
      <c r="E31" s="124"/>
      <c r="F31" s="162" t="s">
        <v>62</v>
      </c>
      <c r="G31" s="156">
        <f t="array" ref="G31">IFERROR(
ROUND(
IF($A$2="COSTO",
   (B31*(1+VLOOKUP($D$2,COLORES[],2,FALSE))
    *VLOOKUP("CORREDIZO",MARCOANCHO[],2,FALSE))
   *(1-IFERROR(_xlfn.XLOOKUP(1,(DESC_PROV[LINEA]=$B$2)*(DESC_PROV[LISTA]=$C$2),DESC_PROV[DESCUENTO]),0)),
   (B31*(1+VLOOKUP($D$2,COLORES[],2,FALSE))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262590</v>
      </c>
      <c r="H31" s="156">
        <f t="array" ref="H31">IFERROR(
ROUND(
IF($A$2="COSTO",
   (C31*(1+VLOOKUP($D$2,COLORES[],2,FALSE))
    *VLOOKUP("ABRIR",MARCOANCHO[],2,FALSE))
   *(1-IFERROR(_xlfn.XLOOKUP(1,(DESC_PROV[LINEA]=$B$2)*(DESC_PROV[LISTA]=$C$2),DESC_PROV[DESCUENTO]),0)),
   (C31*(1+VLOOKUP($D$2,COLORES[],2,FALSE))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321125</v>
      </c>
      <c r="I31" s="155">
        <v>3</v>
      </c>
    </row>
    <row r="32" spans="1:9" ht="15" thickTop="1" thickBot="1">
      <c r="A32" s="162" t="s">
        <v>63</v>
      </c>
      <c r="B32" s="154">
        <v>232209</v>
      </c>
      <c r="C32" s="154">
        <v>270884</v>
      </c>
      <c r="D32" s="155">
        <v>3</v>
      </c>
      <c r="E32" s="124"/>
      <c r="F32" s="162" t="s">
        <v>63</v>
      </c>
      <c r="G32" s="156">
        <f t="array" ref="G32">IFERROR(
ROUND(
IF($A$2="COSTO",
   (B32*(1+VLOOKUP($D$2,COLORES[],2,FALSE))
    *VLOOKUP("CORREDIZO",MARCOANCHO[],2,FALSE))
   *(1-IFERROR(_xlfn.XLOOKUP(1,(DESC_PROV[LINEA]=$B$2)*(DESC_PROV[LISTA]=$C$2),DESC_PROV[DESCUENTO]),0)),
   (B32*(1+VLOOKUP($D$2,COLORES[],2,FALSE))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287985</v>
      </c>
      <c r="H32" s="156">
        <f t="array" ref="H32">IFERROR(
ROUND(
IF($A$2="COSTO",
   (C32*(1+VLOOKUP($D$2,COLORES[],2,FALSE))
    *VLOOKUP("ABRIR",MARCOANCHO[],2,FALSE))
   *(1-IFERROR(_xlfn.XLOOKUP(1,(DESC_PROV[LINEA]=$B$2)*(DESC_PROV[LISTA]=$C$2),DESC_PROV[DESCUENTO]),0)),
   (C32*(1+VLOOKUP($D$2,COLORES[],2,FALSE))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352750</v>
      </c>
      <c r="I32" s="155">
        <v>3</v>
      </c>
    </row>
    <row r="33" spans="1:9" ht="15" thickTop="1" thickBot="1">
      <c r="A33" s="162" t="s">
        <v>64</v>
      </c>
      <c r="B33" s="154">
        <v>252594</v>
      </c>
      <c r="C33" s="154">
        <v>294252</v>
      </c>
      <c r="D33" s="155">
        <v>3</v>
      </c>
      <c r="E33" s="124"/>
      <c r="F33" s="162" t="s">
        <v>64</v>
      </c>
      <c r="G33" s="156">
        <f t="array" ref="G33">IFERROR(
ROUND(
IF($A$2="COSTO",
   (B33*(1+VLOOKUP($D$2,COLORES[],2,FALSE))
    *VLOOKUP("CORREDIZO",MARCOANCHO[],2,FALSE))
   *(1-IFERROR(_xlfn.XLOOKUP(1,(DESC_PROV[LINEA]=$B$2)*(DESC_PROV[LISTA]=$C$2),DESC_PROV[DESCUENTO]),0)),
   (B33*(1+VLOOKUP($D$2,COLORES[],2,FALSE))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313265</v>
      </c>
      <c r="H33" s="156">
        <f t="array" ref="H33">IFERROR(
ROUND(
IF($A$2="COSTO",
   (C33*(1+VLOOKUP($D$2,COLORES[],2,FALSE))
    *VLOOKUP("ABRIR",MARCOANCHO[],2,FALSE))
   *(1-IFERROR(_xlfn.XLOOKUP(1,(DESC_PROV[LINEA]=$B$2)*(DESC_PROV[LISTA]=$C$2),DESC_PROV[DESCUENTO]),0)),
   (C33*(1+VLOOKUP($D$2,COLORES[],2,FALSE))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383180</v>
      </c>
      <c r="I33" s="155">
        <v>3</v>
      </c>
    </row>
    <row r="34" spans="1:9" ht="15" thickTop="1" thickBot="1">
      <c r="A34" s="162" t="s">
        <v>107</v>
      </c>
      <c r="B34" s="154">
        <v>125469</v>
      </c>
      <c r="C34" s="154">
        <v>138799</v>
      </c>
      <c r="D34" s="155">
        <v>2</v>
      </c>
      <c r="E34" s="124"/>
      <c r="F34" s="162" t="s">
        <v>107</v>
      </c>
      <c r="G34" s="156">
        <f t="array" ref="G34">IFERROR(
ROUND(
IF($A$2="COSTO",
   (B34*(1+VLOOKUP($D$2,COLORES[],2,FALSE))
    *VLOOKUP("CORREDIZO",MARCOANCHO[],2,FALSE))
   *(1-IFERROR(_xlfn.XLOOKUP(1,(DESC_PROV[LINEA]=$B$2)*(DESC_PROV[LISTA]=$C$2),DESC_PROV[DESCUENTO]),0)),
   (B34*(1+VLOOKUP($D$2,COLORES[],2,FALSE))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155605</v>
      </c>
      <c r="H34" s="156">
        <f t="array" ref="H34">IFERROR(
ROUND(
IF($A$2="COSTO",
   (C34*(1+VLOOKUP($D$2,COLORES[],2,FALSE))
    *VLOOKUP("ABRIR",MARCOANCHO[],2,FALSE))
   *(1-IFERROR(_xlfn.XLOOKUP(1,(DESC_PROV[LINEA]=$B$2)*(DESC_PROV[LISTA]=$C$2),DESC_PROV[DESCUENTO]),0)),
   (C34*(1+VLOOKUP($D$2,COLORES[],2,FALSE))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180745</v>
      </c>
      <c r="I34" s="155">
        <v>2</v>
      </c>
    </row>
    <row r="35" spans="1:9" ht="15" thickTop="1" thickBot="1">
      <c r="A35" s="162" t="s">
        <v>108</v>
      </c>
      <c r="B35" s="154">
        <v>134980</v>
      </c>
      <c r="C35" s="154">
        <v>153016</v>
      </c>
      <c r="D35" s="155">
        <v>2</v>
      </c>
      <c r="E35" s="124"/>
      <c r="F35" s="162" t="s">
        <v>108</v>
      </c>
      <c r="G35" s="156">
        <f t="array" ref="G35">IFERROR(
ROUND(
IF($A$2="COSTO",
   (B35*(1+VLOOKUP($D$2,COLORES[],2,FALSE))
    *VLOOKUP("CORREDIZO",MARCOANCHO[],2,FALSE))
   *(1-IFERROR(_xlfn.XLOOKUP(1,(DESC_PROV[LINEA]=$B$2)*(DESC_PROV[LISTA]=$C$2),DESC_PROV[DESCUENTO]),0)),
   (B35*(1+VLOOKUP($D$2,COLORES[],2,FALSE))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167400</v>
      </c>
      <c r="H35" s="156">
        <f t="array" ref="H35">IFERROR(
ROUND(
IF($A$2="COSTO",
   (C35*(1+VLOOKUP($D$2,COLORES[],2,FALSE))
    *VLOOKUP("ABRIR",MARCOANCHO[],2,FALSE))
   *(1-IFERROR(_xlfn.XLOOKUP(1,(DESC_PROV[LINEA]=$B$2)*(DESC_PROV[LISTA]=$C$2),DESC_PROV[DESCUENTO]),0)),
   (C35*(1+VLOOKUP($D$2,COLORES[],2,FALSE))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199260</v>
      </c>
      <c r="I35" s="155">
        <v>2</v>
      </c>
    </row>
    <row r="36" spans="1:9" ht="15" thickTop="1" thickBot="1">
      <c r="A36" s="162" t="s">
        <v>109</v>
      </c>
      <c r="B36" s="154">
        <v>173501</v>
      </c>
      <c r="C36" s="154">
        <v>201723</v>
      </c>
      <c r="D36" s="155">
        <v>3</v>
      </c>
      <c r="E36" s="124"/>
      <c r="F36" s="162" t="s">
        <v>109</v>
      </c>
      <c r="G36" s="156">
        <f t="array" ref="G36">IFERROR(
ROUND(
IF($A$2="COSTO",
   (B36*(1+VLOOKUP($D$2,COLORES[],2,FALSE))
    *VLOOKUP("CORREDIZO",MARCOANCHO[],2,FALSE))
   *(1-IFERROR(_xlfn.XLOOKUP(1,(DESC_PROV[LINEA]=$B$2)*(DESC_PROV[LISTA]=$C$2),DESC_PROV[DESCUENTO]),0)),
   (B36*(1+VLOOKUP($D$2,COLORES[],2,FALSE))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215175</v>
      </c>
      <c r="H36" s="156">
        <f t="array" ref="H36">IFERROR(
ROUND(
IF($A$2="COSTO",
   (C36*(1+VLOOKUP($D$2,COLORES[],2,FALSE))
    *VLOOKUP("ABRIR",MARCOANCHO[],2,FALSE))
   *(1-IFERROR(_xlfn.XLOOKUP(1,(DESC_PROV[LINEA]=$B$2)*(DESC_PROV[LISTA]=$C$2),DESC_PROV[DESCUENTO]),0)),
   (C36*(1+VLOOKUP($D$2,COLORES[],2,FALSE))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262685</v>
      </c>
      <c r="I36" s="155">
        <v>3</v>
      </c>
    </row>
    <row r="37" spans="1:9" ht="15" thickTop="1" thickBot="1">
      <c r="A37" s="162" t="s">
        <v>110</v>
      </c>
      <c r="B37" s="154">
        <v>207316</v>
      </c>
      <c r="C37" s="154">
        <v>241967</v>
      </c>
      <c r="D37" s="155">
        <v>3</v>
      </c>
      <c r="E37" s="124"/>
      <c r="F37" s="162" t="s">
        <v>110</v>
      </c>
      <c r="G37" s="156">
        <f t="array" ref="G37">IFERROR(
ROUND(
IF($A$2="COSTO",
   (B37*(1+VLOOKUP($D$2,COLORES[],2,FALSE))
    *VLOOKUP("CORREDIZO",MARCOANCHO[],2,FALSE))
   *(1-IFERROR(_xlfn.XLOOKUP(1,(DESC_PROV[LINEA]=$B$2)*(DESC_PROV[LISTA]=$C$2),DESC_PROV[DESCUENTO]),0)),
   (B37*(1+VLOOKUP($D$2,COLORES[],2,FALSE))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257115</v>
      </c>
      <c r="H37" s="156">
        <f t="array" ref="H37">IFERROR(
ROUND(
IF($A$2="COSTO",
   (C37*(1+VLOOKUP($D$2,COLORES[],2,FALSE))
    *VLOOKUP("ABRIR",MARCOANCHO[],2,FALSE))
   *(1-IFERROR(_xlfn.XLOOKUP(1,(DESC_PROV[LINEA]=$B$2)*(DESC_PROV[LISTA]=$C$2),DESC_PROV[DESCUENTO]),0)),
   (C37*(1+VLOOKUP($D$2,COLORES[],2,FALSE))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315090</v>
      </c>
      <c r="I37" s="155">
        <v>3</v>
      </c>
    </row>
    <row r="38" spans="1:9" ht="15" thickTop="1" thickBot="1">
      <c r="A38" s="162" t="s">
        <v>111</v>
      </c>
      <c r="B38" s="154">
        <v>209808</v>
      </c>
      <c r="C38" s="154">
        <v>269043</v>
      </c>
      <c r="D38" s="155">
        <v>3</v>
      </c>
      <c r="E38" s="124"/>
      <c r="F38" s="162" t="s">
        <v>111</v>
      </c>
      <c r="G38" s="156">
        <f t="array" ref="G38">IFERROR(
ROUND(
IF($A$2="COSTO",
   (B38*(1+VLOOKUP($D$2,COLORES[],2,FALSE))
    *VLOOKUP("CORREDIZO",MARCOANCHO[],2,FALSE))
   *(1-IFERROR(_xlfn.XLOOKUP(1,(DESC_PROV[LINEA]=$B$2)*(DESC_PROV[LISTA]=$C$2),DESC_PROV[DESCUENTO]),0)),
   (B38*(1+VLOOKUP($D$2,COLORES[],2,FALSE))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260205</v>
      </c>
      <c r="H38" s="156">
        <f t="array" ref="H38">IFERROR(
ROUND(
IF($A$2="COSTO",
   (C38*(1+VLOOKUP($D$2,COLORES[],2,FALSE))
    *VLOOKUP("ABRIR",MARCOANCHO[],2,FALSE))
   *(1-IFERROR(_xlfn.XLOOKUP(1,(DESC_PROV[LINEA]=$B$2)*(DESC_PROV[LISTA]=$C$2),DESC_PROV[DESCUENTO]),0)),
   (C38*(1+VLOOKUP($D$2,COLORES[],2,FALSE))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350350</v>
      </c>
      <c r="I38" s="155">
        <v>3</v>
      </c>
    </row>
    <row r="39" spans="1:9" ht="15" thickTop="1" thickBot="1">
      <c r="A39" s="162" t="s">
        <v>112</v>
      </c>
      <c r="B39" s="154">
        <v>253487</v>
      </c>
      <c r="C39" s="154">
        <v>295188</v>
      </c>
      <c r="D39" s="155">
        <v>3</v>
      </c>
      <c r="E39" s="124"/>
      <c r="F39" s="162" t="s">
        <v>112</v>
      </c>
      <c r="G39" s="156">
        <f t="array" ref="G39">IFERROR(
ROUND(
IF($A$2="COSTO",
   (B39*(1+VLOOKUP($D$2,COLORES[],2,FALSE))
    *VLOOKUP("CORREDIZO",MARCOANCHO[],2,FALSE))
   *(1-IFERROR(_xlfn.XLOOKUP(1,(DESC_PROV[LINEA]=$B$2)*(DESC_PROV[LISTA]=$C$2),DESC_PROV[DESCUENTO]),0)),
   (B39*(1+VLOOKUP($D$2,COLORES[],2,FALSE))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314375</v>
      </c>
      <c r="H39" s="156">
        <f t="array" ref="H39">IFERROR(
ROUND(
IF($A$2="COSTO",
   (C39*(1+VLOOKUP($D$2,COLORES[],2,FALSE))
    *VLOOKUP("ABRIR",MARCOANCHO[],2,FALSE))
   *(1-IFERROR(_xlfn.XLOOKUP(1,(DESC_PROV[LINEA]=$B$2)*(DESC_PROV[LISTA]=$C$2),DESC_PROV[DESCUENTO]),0)),
   (C39*(1+VLOOKUP($D$2,COLORES[],2,FALSE))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384395</v>
      </c>
      <c r="I39" s="155">
        <v>3</v>
      </c>
    </row>
    <row r="40" spans="1:9" ht="15" thickTop="1" thickBot="1">
      <c r="A40" s="162" t="s">
        <v>113</v>
      </c>
      <c r="B40" s="154">
        <v>267139</v>
      </c>
      <c r="C40" s="154">
        <v>322245</v>
      </c>
      <c r="D40" s="155">
        <v>3</v>
      </c>
      <c r="E40" s="124"/>
      <c r="F40" s="162" t="s">
        <v>113</v>
      </c>
      <c r="G40" s="156">
        <f t="array" ref="G40">IFERROR(
ROUND(
IF($A$2="COSTO",
   (B40*(1+VLOOKUP($D$2,COLORES[],2,FALSE))
    *VLOOKUP("CORREDIZO",MARCOANCHO[],2,FALSE))
   *(1-IFERROR(_xlfn.XLOOKUP(1,(DESC_PROV[LINEA]=$B$2)*(DESC_PROV[LISTA]=$C$2),DESC_PROV[DESCUENTO]),0)),
   (B40*(1+VLOOKUP($D$2,COLORES[],2,FALSE))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331305</v>
      </c>
      <c r="H40" s="156">
        <f t="array" ref="H40">IFERROR(
ROUND(
IF($A$2="COSTO",
   (C40*(1+VLOOKUP($D$2,COLORES[],2,FALSE))
    *VLOOKUP("ABRIR",MARCOANCHO[],2,FALSE))
   *(1-IFERROR(_xlfn.XLOOKUP(1,(DESC_PROV[LINEA]=$B$2)*(DESC_PROV[LISTA]=$C$2),DESC_PROV[DESCUENTO]),0)),
   (C40*(1+VLOOKUP($D$2,COLORES[],2,FALSE))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419630</v>
      </c>
      <c r="I40" s="155">
        <v>3</v>
      </c>
    </row>
    <row r="41" spans="1:9" ht="15" thickTop="1" thickBot="1">
      <c r="A41" s="162" t="s">
        <v>114</v>
      </c>
      <c r="B41" s="154">
        <v>149482</v>
      </c>
      <c r="C41" s="154">
        <v>166352</v>
      </c>
      <c r="D41" s="155">
        <v>2</v>
      </c>
      <c r="E41" s="124"/>
      <c r="F41" s="162" t="s">
        <v>114</v>
      </c>
      <c r="G41" s="156">
        <f t="array" ref="G41">IFERROR(
ROUND(
IF($A$2="COSTO",
   (B41*(1+VLOOKUP($D$2,COLORES[],2,FALSE))
    *VLOOKUP("CORREDIZO",MARCOANCHO[],2,FALSE))
   *(1-IFERROR(_xlfn.XLOOKUP(1,(DESC_PROV[LINEA]=$B$2)*(DESC_PROV[LISTA]=$C$2),DESC_PROV[DESCUENTO]),0)),
   (B41*(1+VLOOKUP($D$2,COLORES[],2,FALSE))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185390</v>
      </c>
      <c r="H41" s="156">
        <f t="array" ref="H41">IFERROR(
ROUND(
IF($A$2="COSTO",
   (C41*(1+VLOOKUP($D$2,COLORES[],2,FALSE))
    *VLOOKUP("ABRIR",MARCOANCHO[],2,FALSE))
   *(1-IFERROR(_xlfn.XLOOKUP(1,(DESC_PROV[LINEA]=$B$2)*(DESC_PROV[LISTA]=$C$2),DESC_PROV[DESCUENTO]),0)),
   (C41*(1+VLOOKUP($D$2,COLORES[],2,FALSE))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216625</v>
      </c>
      <c r="I41" s="155">
        <v>2</v>
      </c>
    </row>
    <row r="42" spans="1:9" ht="15" thickTop="1" thickBot="1">
      <c r="A42" s="162" t="s">
        <v>71</v>
      </c>
      <c r="B42" s="154">
        <v>180563</v>
      </c>
      <c r="C42" s="154">
        <v>200167</v>
      </c>
      <c r="D42" s="155">
        <v>2</v>
      </c>
      <c r="E42" s="124"/>
      <c r="F42" s="162" t="s">
        <v>71</v>
      </c>
      <c r="G42" s="156">
        <f t="array" ref="G42">IFERROR(
ROUND(
IF($A$2="COSTO",
   (B42*(1+VLOOKUP($D$2,COLORES[],2,FALSE))
    *VLOOKUP("CORREDIZO",MARCOANCHO[],2,FALSE))
   *(1-IFERROR(_xlfn.XLOOKUP(1,(DESC_PROV[LINEA]=$B$2)*(DESC_PROV[LISTA]=$C$2),DESC_PROV[DESCUENTO]),0)),
   (B42*(1+VLOOKUP($D$2,COLORES[],2,FALSE))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223935</v>
      </c>
      <c r="H42" s="156">
        <f t="array" ref="H42">IFERROR(
ROUND(
IF($A$2="COSTO",
   (C42*(1+VLOOKUP($D$2,COLORES[],2,FALSE))
    *VLOOKUP("ABRIR",MARCOANCHO[],2,FALSE))
   *(1-IFERROR(_xlfn.XLOOKUP(1,(DESC_PROV[LINEA]=$B$2)*(DESC_PROV[LISTA]=$C$2),DESC_PROV[DESCUENTO]),0)),
   (C42*(1+VLOOKUP($D$2,COLORES[],2,FALSE))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260660</v>
      </c>
      <c r="I42" s="155">
        <v>2</v>
      </c>
    </row>
    <row r="43" spans="1:9" ht="15" thickTop="1" thickBot="1">
      <c r="A43" s="162" t="s">
        <v>72</v>
      </c>
      <c r="B43" s="154">
        <v>209076</v>
      </c>
      <c r="C43" s="154">
        <v>248254</v>
      </c>
      <c r="D43" s="155">
        <v>3</v>
      </c>
      <c r="E43" s="124"/>
      <c r="F43" s="162" t="s">
        <v>72</v>
      </c>
      <c r="G43" s="156">
        <f t="array" ref="G43">IFERROR(
ROUND(
IF($A$2="COSTO",
   (B43*(1+VLOOKUP($D$2,COLORES[],2,FALSE))
    *VLOOKUP("CORREDIZO",MARCOANCHO[],2,FALSE))
   *(1-IFERROR(_xlfn.XLOOKUP(1,(DESC_PROV[LINEA]=$B$2)*(DESC_PROV[LISTA]=$C$2),DESC_PROV[DESCUENTO]),0)),
   (B43*(1+VLOOKUP($D$2,COLORES[],2,FALSE))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259295</v>
      </c>
      <c r="H43" s="156">
        <f t="array" ref="H43">IFERROR(
ROUND(
IF($A$2="COSTO",
   (C43*(1+VLOOKUP($D$2,COLORES[],2,FALSE))
    *VLOOKUP("ABRIR",MARCOANCHO[],2,FALSE))
   *(1-IFERROR(_xlfn.XLOOKUP(1,(DESC_PROV[LINEA]=$B$2)*(DESC_PROV[LISTA]=$C$2),DESC_PROV[DESCUENTO]),0)),
   (C43*(1+VLOOKUP($D$2,COLORES[],2,FALSE))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323280</v>
      </c>
      <c r="I43" s="155">
        <v>3</v>
      </c>
    </row>
    <row r="44" spans="1:9" ht="15" thickTop="1" thickBot="1">
      <c r="A44" s="162" t="s">
        <v>73</v>
      </c>
      <c r="B44" s="154">
        <v>221204</v>
      </c>
      <c r="C44" s="154">
        <v>261528</v>
      </c>
      <c r="D44" s="155">
        <v>3</v>
      </c>
      <c r="E44" s="124"/>
      <c r="F44" s="162" t="s">
        <v>73</v>
      </c>
      <c r="G44" s="156">
        <f t="array" ref="G44">IFERROR(
ROUND(
IF($A$2="COSTO",
   (B44*(1+VLOOKUP($D$2,COLORES[],2,FALSE))
    *VLOOKUP("CORREDIZO",MARCOANCHO[],2,FALSE))
   *(1-IFERROR(_xlfn.XLOOKUP(1,(DESC_PROV[LINEA]=$B$2)*(DESC_PROV[LISTA]=$C$2),DESC_PROV[DESCUENTO]),0)),
   (B44*(1+VLOOKUP($D$2,COLORES[],2,FALSE))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274335</v>
      </c>
      <c r="H44" s="156">
        <f t="array" ref="H44">IFERROR(
ROUND(
IF($A$2="COSTO",
   (C44*(1+VLOOKUP($D$2,COLORES[],2,FALSE))
    *VLOOKUP("ABRIR",MARCOANCHO[],2,FALSE))
   *(1-IFERROR(_xlfn.XLOOKUP(1,(DESC_PROV[LINEA]=$B$2)*(DESC_PROV[LISTA]=$C$2),DESC_PROV[DESCUENTO]),0)),
   (C44*(1+VLOOKUP($D$2,COLORES[],2,FALSE))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340565</v>
      </c>
      <c r="I44" s="155">
        <v>3</v>
      </c>
    </row>
    <row r="45" spans="1:9" ht="15" thickTop="1" thickBot="1">
      <c r="A45" s="162" t="s">
        <v>74</v>
      </c>
      <c r="B45" s="154">
        <v>243325</v>
      </c>
      <c r="C45" s="154">
        <v>280259</v>
      </c>
      <c r="D45" s="155">
        <v>3</v>
      </c>
      <c r="E45" s="124"/>
      <c r="F45" s="162" t="s">
        <v>74</v>
      </c>
      <c r="G45" s="156">
        <f t="array" ref="G45">IFERROR(
ROUND(
IF($A$2="COSTO",
   (B45*(1+VLOOKUP($D$2,COLORES[],2,FALSE))
    *VLOOKUP("CORREDIZO",MARCOANCHO[],2,FALSE))
   *(1-IFERROR(_xlfn.XLOOKUP(1,(DESC_PROV[LINEA]=$B$2)*(DESC_PROV[LISTA]=$C$2),DESC_PROV[DESCUENTO]),0)),
   (B45*(1+VLOOKUP($D$2,COLORES[],2,FALSE))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301770</v>
      </c>
      <c r="H45" s="156">
        <f t="array" ref="H45">IFERROR(
ROUND(
IF($A$2="COSTO",
   (C45*(1+VLOOKUP($D$2,COLORES[],2,FALSE))
    *VLOOKUP("ABRIR",MARCOANCHO[],2,FALSE))
   *(1-IFERROR(_xlfn.XLOOKUP(1,(DESC_PROV[LINEA]=$B$2)*(DESC_PROV[LISTA]=$C$2),DESC_PROV[DESCUENTO]),0)),
   (C45*(1+VLOOKUP($D$2,COLORES[],2,FALSE))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364955</v>
      </c>
      <c r="I45" s="155">
        <v>3</v>
      </c>
    </row>
    <row r="46" spans="1:9" ht="15" thickTop="1" thickBot="1">
      <c r="A46" s="162" t="s">
        <v>75</v>
      </c>
      <c r="B46" s="154">
        <v>267666</v>
      </c>
      <c r="C46" s="154">
        <v>308252</v>
      </c>
      <c r="D46" s="155">
        <v>3</v>
      </c>
      <c r="E46" s="124"/>
      <c r="F46" s="162" t="s">
        <v>75</v>
      </c>
      <c r="G46" s="156">
        <f t="array" ref="G46">IFERROR(
ROUND(
IF($A$2="COSTO",
   (B46*(1+VLOOKUP($D$2,COLORES[],2,FALSE))
    *VLOOKUP("CORREDIZO",MARCOANCHO[],2,FALSE))
   *(1-IFERROR(_xlfn.XLOOKUP(1,(DESC_PROV[LINEA]=$B$2)*(DESC_PROV[LISTA]=$C$2),DESC_PROV[DESCUENTO]),0)),
   (B46*(1+VLOOKUP($D$2,COLORES[],2,FALSE))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331960</v>
      </c>
      <c r="H46" s="156">
        <f t="array" ref="H46">IFERROR(
ROUND(
IF($A$2="COSTO",
   (C46*(1+VLOOKUP($D$2,COLORES[],2,FALSE))
    *VLOOKUP("ABRIR",MARCOANCHO[],2,FALSE))
   *(1-IFERROR(_xlfn.XLOOKUP(1,(DESC_PROV[LINEA]=$B$2)*(DESC_PROV[LISTA]=$C$2),DESC_PROV[DESCUENTO]),0)),
   (C46*(1+VLOOKUP($D$2,COLORES[],2,FALSE))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401410</v>
      </c>
      <c r="I46" s="155">
        <v>3</v>
      </c>
    </row>
    <row r="47" spans="1:9" ht="15" thickTop="1" thickBot="1">
      <c r="A47" s="162" t="s">
        <v>76</v>
      </c>
      <c r="B47" s="154">
        <v>288288</v>
      </c>
      <c r="C47" s="154">
        <v>336245</v>
      </c>
      <c r="D47" s="155">
        <v>3</v>
      </c>
      <c r="E47" s="124"/>
      <c r="F47" s="162" t="s">
        <v>76</v>
      </c>
      <c r="G47" s="156">
        <f t="array" ref="G47">IFERROR(
ROUND(
IF($A$2="COSTO",
   (B47*(1+VLOOKUP($D$2,COLORES[],2,FALSE))
    *VLOOKUP("CORREDIZO",MARCOANCHO[],2,FALSE))
   *(1-IFERROR(_xlfn.XLOOKUP(1,(DESC_PROV[LINEA]=$B$2)*(DESC_PROV[LISTA]=$C$2),DESC_PROV[DESCUENTO]),0)),
   (B47*(1+VLOOKUP($D$2,COLORES[],2,FALSE))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357535</v>
      </c>
      <c r="H47" s="156">
        <f t="array" ref="H47">IFERROR(
ROUND(
IF($A$2="COSTO",
   (C47*(1+VLOOKUP($D$2,COLORES[],2,FALSE))
    *VLOOKUP("ABRIR",MARCOANCHO[],2,FALSE))
   *(1-IFERROR(_xlfn.XLOOKUP(1,(DESC_PROV[LINEA]=$B$2)*(DESC_PROV[LISTA]=$C$2),DESC_PROV[DESCUENTO]),0)),
   (C47*(1+VLOOKUP($D$2,COLORES[],2,FALSE))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437860</v>
      </c>
      <c r="I47" s="155">
        <v>3</v>
      </c>
    </row>
    <row r="48" spans="1:9" ht="15" thickTop="1" thickBot="1">
      <c r="A48" s="162" t="s">
        <v>17</v>
      </c>
      <c r="B48" s="154">
        <v>192126</v>
      </c>
      <c r="C48" s="154">
        <v>224167</v>
      </c>
      <c r="D48" s="155">
        <v>2</v>
      </c>
      <c r="E48" s="124"/>
      <c r="F48" s="162" t="s">
        <v>17</v>
      </c>
      <c r="G48" s="156">
        <f t="array" ref="G48">IFERROR(
ROUND(
IF($A$2="COSTO",
   (B48*(1+VLOOKUP($D$2,COLORES[],2,FALSE))
    *VLOOKUP("CORREDIZO",MARCOANCHO[],2,FALSE))
   *(1-IFERROR(_xlfn.XLOOKUP(1,(DESC_PROV[LINEA]=$B$2)*(DESC_PROV[LISTA]=$C$2),DESC_PROV[DESCUENTO]),0)),
   (B48*(1+VLOOKUP($D$2,COLORES[],2,FALSE))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238275</v>
      </c>
      <c r="H48" s="156">
        <f t="array" ref="H48">IFERROR(
ROUND(
IF($A$2="COSTO",
   (C48*(1+VLOOKUP($D$2,COLORES[],2,FALSE))
    *VLOOKUP("ABRIR",MARCOANCHO[],2,FALSE))
   *(1-IFERROR(_xlfn.XLOOKUP(1,(DESC_PROV[LINEA]=$B$2)*(DESC_PROV[LISTA]=$C$2),DESC_PROV[DESCUENTO]),0)),
   (C48*(1+VLOOKUP($D$2,COLORES[],2,FALSE))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291915</v>
      </c>
      <c r="I48" s="155">
        <v>2</v>
      </c>
    </row>
    <row r="49" spans="1:9" ht="15" thickTop="1" thickBot="1">
      <c r="A49" s="162" t="s">
        <v>83</v>
      </c>
      <c r="B49" s="154">
        <v>230355</v>
      </c>
      <c r="C49" s="154">
        <v>231334</v>
      </c>
      <c r="D49" s="155">
        <v>2</v>
      </c>
      <c r="E49" s="124"/>
      <c r="F49" s="162" t="s">
        <v>83</v>
      </c>
      <c r="G49" s="156">
        <f t="array" ref="G49">IFERROR(
ROUND(
IF($A$2="COSTO",
   (B49*(1+VLOOKUP($D$2,COLORES[],2,FALSE))
    *VLOOKUP("CORREDIZO",MARCOANCHO[],2,FALSE))
   *(1-IFERROR(_xlfn.XLOOKUP(1,(DESC_PROV[LINEA]=$B$2)*(DESC_PROV[LISTA]=$C$2),DESC_PROV[DESCUENTO]),0)),
   (B49*(1+VLOOKUP($D$2,COLORES[],2,FALSE))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285685</v>
      </c>
      <c r="H49" s="156">
        <f t="array" ref="H49">IFERROR(
ROUND(
IF($A$2="COSTO",
   (C49*(1+VLOOKUP($D$2,COLORES[],2,FALSE))
    *VLOOKUP("ABRIR",MARCOANCHO[],2,FALSE))
   *(1-IFERROR(_xlfn.XLOOKUP(1,(DESC_PROV[LINEA]=$B$2)*(DESC_PROV[LISTA]=$C$2),DESC_PROV[DESCUENTO]),0)),
   (C49*(1+VLOOKUP($D$2,COLORES[],2,FALSE))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301245</v>
      </c>
      <c r="I49" s="155">
        <v>2</v>
      </c>
    </row>
    <row r="50" spans="1:9" ht="15" thickTop="1" thickBot="1">
      <c r="A50" s="162" t="s">
        <v>84</v>
      </c>
      <c r="B50" s="154">
        <v>259371</v>
      </c>
      <c r="C50" s="154">
        <v>307328</v>
      </c>
      <c r="D50" s="155">
        <v>3</v>
      </c>
      <c r="E50" s="124"/>
      <c r="F50" s="162" t="s">
        <v>84</v>
      </c>
      <c r="G50" s="156">
        <f t="array" ref="G50">IFERROR(
ROUND(
IF($A$2="COSTO",
   (B50*(1+VLOOKUP($D$2,COLORES[],2,FALSE))
    *VLOOKUP("CORREDIZO",MARCOANCHO[],2,FALSE))
   *(1-IFERROR(_xlfn.XLOOKUP(1,(DESC_PROV[LINEA]=$B$2)*(DESC_PROV[LISTA]=$C$2),DESC_PROV[DESCUENTO]),0)),
   (B50*(1+VLOOKUP($D$2,COLORES[],2,FALSE))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321670</v>
      </c>
      <c r="H50" s="156">
        <f t="array" ref="H50">IFERROR(
ROUND(
IF($A$2="COSTO",
   (C50*(1+VLOOKUP($D$2,COLORES[],2,FALSE))
    *VLOOKUP("ABRIR",MARCOANCHO[],2,FALSE))
   *(1-IFERROR(_xlfn.XLOOKUP(1,(DESC_PROV[LINEA]=$B$2)*(DESC_PROV[LISTA]=$C$2),DESC_PROV[DESCUENTO]),0)),
   (C50*(1+VLOOKUP($D$2,COLORES[],2,FALSE))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400205</v>
      </c>
      <c r="I50" s="155">
        <v>3</v>
      </c>
    </row>
    <row r="51" spans="1:9" ht="15" thickTop="1" thickBot="1">
      <c r="A51" s="162" t="s">
        <v>85</v>
      </c>
      <c r="B51" s="154">
        <v>276625</v>
      </c>
      <c r="C51" s="154">
        <v>320304</v>
      </c>
      <c r="D51" s="155">
        <v>3</v>
      </c>
      <c r="E51" s="124"/>
      <c r="F51" s="162" t="s">
        <v>85</v>
      </c>
      <c r="G51" s="156">
        <f t="array" ref="G51">IFERROR(
ROUND(
IF($A$2="COSTO",
   (B51*(1+VLOOKUP($D$2,COLORES[],2,FALSE))
    *VLOOKUP("CORREDIZO",MARCOANCHO[],2,FALSE))
   *(1-IFERROR(_xlfn.XLOOKUP(1,(DESC_PROV[LINEA]=$B$2)*(DESC_PROV[LISTA]=$C$2),DESC_PROV[DESCUENTO]),0)),
   (B51*(1+VLOOKUP($D$2,COLORES[],2,FALSE))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343070</v>
      </c>
      <c r="H51" s="156">
        <f t="array" ref="H51">IFERROR(
ROUND(
IF($A$2="COSTO",
   (C51*(1+VLOOKUP($D$2,COLORES[],2,FALSE))
    *VLOOKUP("ABRIR",MARCOANCHO[],2,FALSE))
   *(1-IFERROR(_xlfn.XLOOKUP(1,(DESC_PROV[LINEA]=$B$2)*(DESC_PROV[LISTA]=$C$2),DESC_PROV[DESCUENTO]),0)),
   (C51*(1+VLOOKUP($D$2,COLORES[],2,FALSE))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417105</v>
      </c>
      <c r="I51" s="155">
        <v>3</v>
      </c>
    </row>
    <row r="52" spans="1:9" ht="15" thickTop="1" thickBot="1">
      <c r="A52" s="162" t="s">
        <v>86</v>
      </c>
      <c r="B52" s="154">
        <v>292305</v>
      </c>
      <c r="C52" s="154">
        <v>340988</v>
      </c>
      <c r="D52" s="155">
        <v>3</v>
      </c>
      <c r="E52" s="124"/>
      <c r="F52" s="162" t="s">
        <v>86</v>
      </c>
      <c r="G52" s="156">
        <f t="array" ref="G52">IFERROR(
ROUND(
IF($A$2="COSTO",
   (B52*(1+VLOOKUP($D$2,COLORES[],2,FALSE))
    *VLOOKUP("CORREDIZO",MARCOANCHO[],2,FALSE))
   *(1-IFERROR(_xlfn.XLOOKUP(1,(DESC_PROV[LINEA]=$B$2)*(DESC_PROV[LISTA]=$C$2),DESC_PROV[DESCUENTO]),0)),
   (B52*(1+VLOOKUP($D$2,COLORES[],2,FALSE))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362515</v>
      </c>
      <c r="H52" s="156">
        <f t="array" ref="H52">IFERROR(
ROUND(
IF($A$2="COSTO",
   (C52*(1+VLOOKUP($D$2,COLORES[],2,FALSE))
    *VLOOKUP("ABRIR",MARCOANCHO[],2,FALSE))
   *(1-IFERROR(_xlfn.XLOOKUP(1,(DESC_PROV[LINEA]=$B$2)*(DESC_PROV[LISTA]=$C$2),DESC_PROV[DESCUENTO]),0)),
   (C52*(1+VLOOKUP($D$2,COLORES[],2,FALSE))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444040</v>
      </c>
      <c r="I52" s="155">
        <v>3</v>
      </c>
    </row>
    <row r="53" spans="1:9" ht="15" thickTop="1" thickBot="1">
      <c r="A53" s="162" t="s">
        <v>87</v>
      </c>
      <c r="B53" s="154">
        <v>320242</v>
      </c>
      <c r="C53" s="154">
        <v>373538</v>
      </c>
      <c r="D53" s="155">
        <v>3</v>
      </c>
      <c r="E53" s="124"/>
      <c r="F53" s="162" t="s">
        <v>87</v>
      </c>
      <c r="G53" s="156">
        <f t="array" ref="G53">IFERROR(
ROUND(
IF($A$2="COSTO",
   (B53*(1+VLOOKUP($D$2,COLORES[],2,FALSE))
    *VLOOKUP("CORREDIZO",MARCOANCHO[],2,FALSE))
   *(1-IFERROR(_xlfn.XLOOKUP(1,(DESC_PROV[LINEA]=$B$2)*(DESC_PROV[LISTA]=$C$2),DESC_PROV[DESCUENTO]),0)),
   (B53*(1+VLOOKUP($D$2,COLORES[],2,FALSE))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397165</v>
      </c>
      <c r="H53" s="156">
        <f t="array" ref="H53">IFERROR(
ROUND(
IF($A$2="COSTO",
   (C53*(1+VLOOKUP($D$2,COLORES[],2,FALSE))
    *VLOOKUP("ABRIR",MARCOANCHO[],2,FALSE))
   *(1-IFERROR(_xlfn.XLOOKUP(1,(DESC_PROV[LINEA]=$B$2)*(DESC_PROV[LISTA]=$C$2),DESC_PROV[DESCUENTO]),0)),
   (C53*(1+VLOOKUP($D$2,COLORES[],2,FALSE))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486425</v>
      </c>
      <c r="I53" s="155">
        <v>3</v>
      </c>
    </row>
    <row r="54" spans="1:9" ht="15" thickTop="1" thickBot="1">
      <c r="A54" s="163" t="s">
        <v>88</v>
      </c>
      <c r="B54" s="154">
        <v>336319</v>
      </c>
      <c r="C54" s="154">
        <v>392348</v>
      </c>
      <c r="D54" s="157" t="s">
        <v>287</v>
      </c>
      <c r="E54" s="124"/>
      <c r="F54" s="163" t="s">
        <v>88</v>
      </c>
      <c r="G54" s="156">
        <f t="array" ref="G54">IFERROR(
ROUND(
IF($A$2="COSTO",
   (B54*(1+VLOOKUP($D$2,COLORES[],2,FALSE))
    *VLOOKUP("CORREDIZO",MARCOANCHO[],2,FALSE))
   *(1-IFERROR(_xlfn.XLOOKUP(1,(DESC_PROV[LINEA]=$B$2)*(DESC_PROV[LISTA]=$C$2),DESC_PROV[DESCUENTO]),0)),
   (B54*(1+VLOOKUP($D$2,COLORES[],2,FALSE))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417105</v>
      </c>
      <c r="H54" s="156">
        <f t="array" ref="H54">IFERROR(
ROUND(
IF($A$2="COSTO",
   (C54*(1+VLOOKUP($D$2,COLORES[],2,FALSE))
    *VLOOKUP("ABRIR",MARCOANCHO[],2,FALSE))
   *(1-IFERROR(_xlfn.XLOOKUP(1,(DESC_PROV[LINEA]=$B$2)*(DESC_PROV[LISTA]=$C$2),DESC_PROV[DESCUENTO]),0)),
   (C54*(1+VLOOKUP($D$2,COLORES[],2,FALSE))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510920</v>
      </c>
      <c r="I54" s="158" t="s">
        <v>287</v>
      </c>
    </row>
  </sheetData>
  <mergeCells count="2">
    <mergeCell ref="A5:D5"/>
    <mergeCell ref="F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FF0000"/>
  </sheetPr>
  <dimension ref="A1:J14"/>
  <sheetViews>
    <sheetView zoomScale="85" zoomScaleNormal="85" workbookViewId="0">
      <selection activeCell="E8" sqref="E8:E14"/>
    </sheetView>
  </sheetViews>
  <sheetFormatPr baseColWidth="10" defaultRowHeight="14.25"/>
  <cols>
    <col min="1" max="1" width="14.73046875" customWidth="1"/>
    <col min="2" max="2" width="10.265625" customWidth="1"/>
    <col min="3" max="4" width="8.73046875"/>
    <col min="5" max="5" width="10.3984375" customWidth="1"/>
    <col min="6" max="6" width="8.73046875"/>
    <col min="7" max="7" width="17.86328125" customWidth="1"/>
    <col min="8" max="9" width="8.73046875"/>
    <col min="10" max="10" width="11.1328125" customWidth="1"/>
  </cols>
  <sheetData>
    <row r="1" spans="1:10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0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</row>
    <row r="4" spans="1:10" ht="14.65" thickBot="1"/>
    <row r="5" spans="1:10" ht="25.9" thickBot="1">
      <c r="A5" s="314" t="s">
        <v>289</v>
      </c>
      <c r="B5" s="315"/>
      <c r="C5" s="315"/>
      <c r="D5" s="315"/>
      <c r="E5" s="316"/>
      <c r="F5" s="2"/>
      <c r="G5" s="314" t="s">
        <v>289</v>
      </c>
      <c r="H5" s="315"/>
      <c r="I5" s="315"/>
      <c r="J5" s="316"/>
    </row>
    <row r="6" spans="1:10" ht="14.65" thickBot="1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6.899999999999999">
      <c r="A7" s="169"/>
      <c r="B7" s="172" t="s">
        <v>196</v>
      </c>
      <c r="C7" s="172" t="s">
        <v>290</v>
      </c>
      <c r="D7" s="172" t="s">
        <v>237</v>
      </c>
      <c r="E7" s="173" t="s">
        <v>126</v>
      </c>
      <c r="F7" s="2"/>
      <c r="G7" s="169"/>
      <c r="H7" s="172" t="s">
        <v>290</v>
      </c>
      <c r="I7" s="172" t="s">
        <v>237</v>
      </c>
      <c r="J7" s="173" t="s">
        <v>126</v>
      </c>
    </row>
    <row r="8" spans="1:10" ht="16.899999999999999">
      <c r="A8" s="170" t="s">
        <v>291</v>
      </c>
      <c r="B8" s="64">
        <v>116380</v>
      </c>
      <c r="C8" s="64"/>
      <c r="D8" s="64">
        <v>25839</v>
      </c>
      <c r="E8" s="64">
        <v>28439</v>
      </c>
      <c r="F8" s="2"/>
      <c r="G8" s="170" t="s">
        <v>291</v>
      </c>
      <c r="H8" s="65">
        <f t="array" ref="H8">IFERROR(
ROUND(
IF($A$2="COSTO",
   ((B8*(1+IFERROR(VLOOKUP($D$2,COLORES[],2,FALSE),0)))+C8)
   *(1-IFERROR(_xlfn.XLOOKUP(1,(DESC_PROV[LINEA]=$B$2)*(DESC_PROV[LISTA]=$C$2),DESC_PROV[DESCUENTO]),0)),
   ((B8*(1+IFERROR(VLOOKUP($D$2,COLORES[],2,FALSE),0)))+C8)
   *(1-IFERROR(_xlfn.XLOOKUP(1,(DESC_PROV[LINEA]=$B$2)*(DESC_PROV[LISTA]=$C$2),DESC_PROV[DESCUENTO]),0))
   *(1+VLOOKUP($C$2,LISTAS[],2,FALSE))
   *(1+VLOOKUP($C$2,LISTAS[],3,FALSE))
)
/5,0)*5,0)</f>
        <v>144335</v>
      </c>
      <c r="I8" s="65">
        <f t="array" ref="I8">IFERROR(
ROUND(
IF($A$2="COSTO",
   ((B8*(1+IFERROR(VLOOKUP($D$2,COLORES[],2,FALSE),0)))+D8)
   *(1-IFERROR(_xlfn.XLOOKUP(1,(DESC_PROV[LINEA]=$B$2)*(DESC_PROV[LISTA]=$C$2),DESC_PROV[DESCUENTO]),0)),
   ((B8*(1+IFERROR(VLOOKUP($D$2,COLORES[],2,FALSE),0)))+D8)
   *(1-IFERROR(_xlfn.XLOOKUP(1,(DESC_PROV[LINEA]=$B$2)*(DESC_PROV[LISTA]=$C$2),DESC_PROV[DESCUENTO]),0))
   *(1+VLOOKUP($C$2,LISTAS[],2,FALSE))
   *(1+VLOOKUP($C$2,LISTAS[],3,FALSE))
)
/5,0)*5,0)</f>
        <v>176380</v>
      </c>
      <c r="J8" s="65">
        <f t="array" ref="J8">IFERROR(
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/5,0)*5,0)</f>
        <v>179605</v>
      </c>
    </row>
    <row r="9" spans="1:10" ht="16.899999999999999">
      <c r="A9" s="170" t="s">
        <v>206</v>
      </c>
      <c r="B9" s="64">
        <v>105289</v>
      </c>
      <c r="C9" s="64">
        <v>20196</v>
      </c>
      <c r="D9" s="64">
        <v>24486</v>
      </c>
      <c r="E9" s="64">
        <v>26941</v>
      </c>
      <c r="F9" s="2"/>
      <c r="G9" s="170" t="s">
        <v>206</v>
      </c>
      <c r="H9" s="65">
        <f t="array" ref="H9">IFERROR(
ROUND(
IF($A$2="COSTO",
   ((B9*(1+IFERROR(VLOOKUP($D$2,COLORES[],2,FALSE),0)))+C9)
   *(1-IFERROR(_xlfn.XLOOKUP(1,(DESC_PROV[LINEA]=$B$2)*(DESC_PROV[LISTA]=$C$2),DESC_PROV[DESCUENTO]),0)),
   ((B9*(1+IFERROR(VLOOKUP($D$2,COLORES[],2,FALSE),0)))+C9)
   *(1-IFERROR(_xlfn.XLOOKUP(1,(DESC_PROV[LINEA]=$B$2)*(DESC_PROV[LISTA]=$C$2),DESC_PROV[DESCUENTO]),0))
   *(1+VLOOKUP($C$2,LISTAS[],2,FALSE))
   *(1+VLOOKUP($C$2,LISTAS[],3,FALSE))
)
/5,0)*5,0)</f>
        <v>155625</v>
      </c>
      <c r="I9" s="65">
        <f t="array" ref="I9">IFERROR(
ROUND(
IF($A$2="COSTO",
   ((B9*(1+IFERROR(VLOOKUP($D$2,COLORES[],2,FALSE),0)))+D9)
   *(1-IFERROR(_xlfn.XLOOKUP(1,(DESC_PROV[LINEA]=$B$2)*(DESC_PROV[LISTA]=$C$2),DESC_PROV[DESCUENTO]),0)),
   ((B9*(1+IFERROR(VLOOKUP($D$2,COLORES[],2,FALSE),0)))+D9)
   *(1-IFERROR(_xlfn.XLOOKUP(1,(DESC_PROV[LINEA]=$B$2)*(DESC_PROV[LISTA]=$C$2),DESC_PROV[DESCUENTO]),0))
   *(1+VLOOKUP($C$2,LISTAS[],2,FALSE))
   *(1+VLOOKUP($C$2,LISTAS[],3,FALSE))
)
/5,0)*5,0)</f>
        <v>160945</v>
      </c>
      <c r="J9" s="65">
        <f t="array" ref="J9">IFERROR(
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/5,0)*5,0)</f>
        <v>163990</v>
      </c>
    </row>
    <row r="10" spans="1:10" ht="16.899999999999999">
      <c r="A10" s="170" t="s">
        <v>207</v>
      </c>
      <c r="B10" s="64">
        <v>140475</v>
      </c>
      <c r="C10" s="64">
        <v>10098</v>
      </c>
      <c r="D10" s="64">
        <v>12243</v>
      </c>
      <c r="E10" s="64">
        <v>13471</v>
      </c>
      <c r="F10" s="2"/>
      <c r="G10" s="170" t="s">
        <v>207</v>
      </c>
      <c r="H10" s="65">
        <f t="array" ref="H10">IFERROR(
ROUND(
IF($A$2="COSTO",
   ((B10*(1+IFERROR(VLOOKUP($D$2,COLORES[],2,FALSE),0)))+C10)
   *(1-IFERROR(_xlfn.XLOOKUP(1,(DESC_PROV[LINEA]=$B$2)*(DESC_PROV[LISTA]=$C$2),DESC_PROV[DESCUENTO]),0)),
   ((B10*(1+IFERROR(VLOOKUP($D$2,COLORES[],2,FALSE),0)))+C10)
   *(1-IFERROR(_xlfn.XLOOKUP(1,(DESC_PROV[LINEA]=$B$2)*(DESC_PROV[LISTA]=$C$2),DESC_PROV[DESCUENTO]),0))
   *(1+VLOOKUP($C$2,LISTAS[],2,FALSE))
   *(1+VLOOKUP($C$2,LISTAS[],3,FALSE))
)
/5,0)*5,0)</f>
        <v>186740</v>
      </c>
      <c r="I10" s="65">
        <f t="array" ref="I10">IFERROR(
ROUND(
IF($A$2="COSTO",
   ((B10*(1+IFERROR(VLOOKUP($D$2,COLORES[],2,FALSE),0)))+D10)
   *(1-IFERROR(_xlfn.XLOOKUP(1,(DESC_PROV[LINEA]=$B$2)*(DESC_PROV[LISTA]=$C$2),DESC_PROV[DESCUENTO]),0)),
   ((B10*(1+IFERROR(VLOOKUP($D$2,COLORES[],2,FALSE),0)))+D10)
   *(1-IFERROR(_xlfn.XLOOKUP(1,(DESC_PROV[LINEA]=$B$2)*(DESC_PROV[LISTA]=$C$2),DESC_PROV[DESCUENTO]),0))
   *(1+VLOOKUP($C$2,LISTAS[],2,FALSE))
   *(1+VLOOKUP($C$2,LISTAS[],3,FALSE))
)
/5,0)*5,0)</f>
        <v>189400</v>
      </c>
      <c r="J10" s="65">
        <f t="array" ref="J10">IFERROR(
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/5,0)*5,0)</f>
        <v>190925</v>
      </c>
    </row>
    <row r="11" spans="1:10" ht="16.899999999999999">
      <c r="A11" s="170" t="s">
        <v>292</v>
      </c>
      <c r="B11" s="64">
        <v>168040</v>
      </c>
      <c r="C11" s="64">
        <v>10098</v>
      </c>
      <c r="D11" s="64"/>
      <c r="E11" s="64">
        <v>13471</v>
      </c>
      <c r="F11" s="2"/>
      <c r="G11" s="170" t="s">
        <v>292</v>
      </c>
      <c r="H11" s="65">
        <f t="array" ref="H11">IFERROR(
ROUND(
IF($A$2="COSTO",
   ((B11*(1+IFERROR(VLOOKUP($D$2,COLORES[],2,FALSE),0)))+C11)
   *(1-IFERROR(_xlfn.XLOOKUP(1,(DESC_PROV[LINEA]=$B$2)*(DESC_PROV[LISTA]=$C$2),DESC_PROV[DESCUENTO]),0)),
   ((B11*(1+IFERROR(VLOOKUP($D$2,COLORES[],2,FALSE),0)))+C11)
   *(1-IFERROR(_xlfn.XLOOKUP(1,(DESC_PROV[LINEA]=$B$2)*(DESC_PROV[LISTA]=$C$2),DESC_PROV[DESCUENTO]),0))
   *(1+VLOOKUP($C$2,LISTAS[],2,FALSE))
   *(1+VLOOKUP($C$2,LISTAS[],3,FALSE))
)
/5,0)*5,0)</f>
        <v>220925</v>
      </c>
      <c r="I11" s="65">
        <f t="array" ref="I11">IFERROR(
ROUND(
IF($A$2="COSTO",
   ((B11*(1+IFERROR(VLOOKUP($D$2,COLORES[],2,FALSE),0)))+D11)
   *(1-IFERROR(_xlfn.XLOOKUP(1,(DESC_PROV[LINEA]=$B$2)*(DESC_PROV[LISTA]=$C$2),DESC_PROV[DESCUENTO]),0)),
   ((B11*(1+IFERROR(VLOOKUP($D$2,COLORES[],2,FALSE),0)))+D11)
   *(1-IFERROR(_xlfn.XLOOKUP(1,(DESC_PROV[LINEA]=$B$2)*(DESC_PROV[LISTA]=$C$2),DESC_PROV[DESCUENTO]),0))
   *(1+VLOOKUP($C$2,LISTAS[],2,FALSE))
   *(1+VLOOKUP($C$2,LISTAS[],3,FALSE))
)
/5,0)*5,0)</f>
        <v>208405</v>
      </c>
      <c r="J11" s="65">
        <f t="array" ref="J11">IFERROR(
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/5,0)*5,0)</f>
        <v>225110</v>
      </c>
    </row>
    <row r="12" spans="1:10" ht="16.899999999999999">
      <c r="A12" s="170" t="s">
        <v>293</v>
      </c>
      <c r="B12" s="64">
        <v>157887</v>
      </c>
      <c r="C12" s="64">
        <v>5643</v>
      </c>
      <c r="D12" s="64">
        <v>6798</v>
      </c>
      <c r="E12" s="64">
        <v>7484</v>
      </c>
      <c r="F12" s="2"/>
      <c r="G12" s="170" t="s">
        <v>293</v>
      </c>
      <c r="H12" s="65">
        <f t="array" ref="H12">IFERROR(
ROUND(
IF($A$2="COSTO",
   ((B12*(1+IFERROR(VLOOKUP($D$2,COLORES[],2,FALSE),0)))+C12)
   *(1-IFERROR(_xlfn.XLOOKUP(1,(DESC_PROV[LINEA]=$B$2)*(DESC_PROV[LISTA]=$C$2),DESC_PROV[DESCUENTO]),0)),
   ((B12*(1+IFERROR(VLOOKUP($D$2,COLORES[],2,FALSE),0)))+C12)
   *(1-IFERROR(_xlfn.XLOOKUP(1,(DESC_PROV[LINEA]=$B$2)*(DESC_PROV[LISTA]=$C$2),DESC_PROV[DESCUENTO]),0))
   *(1+VLOOKUP($C$2,LISTAS[],2,FALSE))
   *(1+VLOOKUP($C$2,LISTAS[],3,FALSE))
)
/5,0)*5,0)</f>
        <v>202810</v>
      </c>
      <c r="I12" s="65">
        <f t="array" ref="I12">IFERROR(
ROUND(
IF($A$2="COSTO",
   ((B12*(1+IFERROR(VLOOKUP($D$2,COLORES[],2,FALSE),0)))+D12)
   *(1-IFERROR(_xlfn.XLOOKUP(1,(DESC_PROV[LINEA]=$B$2)*(DESC_PROV[LISTA]=$C$2),DESC_PROV[DESCUENTO]),0)),
   ((B12*(1+IFERROR(VLOOKUP($D$2,COLORES[],2,FALSE),0)))+D12)
   *(1-IFERROR(_xlfn.XLOOKUP(1,(DESC_PROV[LINEA]=$B$2)*(DESC_PROV[LISTA]=$C$2),DESC_PROV[DESCUENTO]),0))
   *(1+VLOOKUP($C$2,LISTAS[],2,FALSE))
   *(1+VLOOKUP($C$2,LISTAS[],3,FALSE))
)
/5,0)*5,0)</f>
        <v>204240</v>
      </c>
      <c r="J12" s="65">
        <f t="array" ref="J12">IFERROR(
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/5,0)*5,0)</f>
        <v>205095</v>
      </c>
    </row>
    <row r="13" spans="1:10" ht="16.899999999999999">
      <c r="A13" s="170" t="s">
        <v>210</v>
      </c>
      <c r="B13" s="64">
        <v>171861</v>
      </c>
      <c r="C13" s="64">
        <v>5643</v>
      </c>
      <c r="D13" s="64"/>
      <c r="E13" s="64">
        <v>7484</v>
      </c>
      <c r="F13" s="2"/>
      <c r="G13" s="170" t="s">
        <v>210</v>
      </c>
      <c r="H13" s="65">
        <f t="array" ref="H13">IFERROR(
ROUND(
IF($A$2="COSTO",
   ((B13*(1+IFERROR(VLOOKUP($D$2,COLORES[],2,FALSE),0)))+C13)
   *(1-IFERROR(_xlfn.XLOOKUP(1,(DESC_PROV[LINEA]=$B$2)*(DESC_PROV[LISTA]=$C$2),DESC_PROV[DESCUENTO]),0)),
   ((B13*(1+IFERROR(VLOOKUP($D$2,COLORES[],2,FALSE),0)))+C13)
   *(1-IFERROR(_xlfn.XLOOKUP(1,(DESC_PROV[LINEA]=$B$2)*(DESC_PROV[LISTA]=$C$2),DESC_PROV[DESCUENTO]),0))
   *(1+VLOOKUP($C$2,LISTAS[],2,FALSE))
   *(1+VLOOKUP($C$2,LISTAS[],3,FALSE))
)
/5,0)*5,0)</f>
        <v>220140</v>
      </c>
      <c r="I13" s="65">
        <f t="array" ref="I13">IFERROR(
ROUND(
IF($A$2="COSTO",
   ((B13*(1+IFERROR(VLOOKUP($D$2,COLORES[],2,FALSE),0)))+D13)
   *(1-IFERROR(_xlfn.XLOOKUP(1,(DESC_PROV[LINEA]=$B$2)*(DESC_PROV[LISTA]=$C$2),DESC_PROV[DESCUENTO]),0)),
   ((B13*(1+IFERROR(VLOOKUP($D$2,COLORES[],2,FALSE),0)))+D13)
   *(1-IFERROR(_xlfn.XLOOKUP(1,(DESC_PROV[LINEA]=$B$2)*(DESC_PROV[LISTA]=$C$2),DESC_PROV[DESCUENTO]),0))
   *(1+VLOOKUP($C$2,LISTAS[],2,FALSE))
   *(1+VLOOKUP($C$2,LISTAS[],3,FALSE))
)
/5,0)*5,0)</f>
        <v>213140</v>
      </c>
      <c r="J13" s="65">
        <f t="array" ref="J13">IFERROR(
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/5,0)*5,0)</f>
        <v>222425</v>
      </c>
    </row>
    <row r="14" spans="1:10" ht="17.25" thickBot="1">
      <c r="A14" s="171" t="s">
        <v>211</v>
      </c>
      <c r="B14" s="64">
        <v>172979</v>
      </c>
      <c r="C14" s="64"/>
      <c r="D14" s="64"/>
      <c r="E14" s="64"/>
      <c r="F14" s="2"/>
      <c r="G14" s="171" t="s">
        <v>211</v>
      </c>
      <c r="H14" s="65">
        <f t="array" ref="H14">IFERROR(
ROUND(
IF($A$2="COSTO",
   ((B14*(1+IFERROR(VLOOKUP($D$2,COLORES[],2,FALSE),0)))+C14)
   *(1-IFERROR(_xlfn.XLOOKUP(1,(DESC_PROV[LINEA]=$B$2)*(DESC_PROV[LISTA]=$C$2),DESC_PROV[DESCUENTO]),0)),
   ((B14*(1+IFERROR(VLOOKUP($D$2,COLORES[],2,FALSE),0)))+C14)
   *(1-IFERROR(_xlfn.XLOOKUP(1,(DESC_PROV[LINEA]=$B$2)*(DESC_PROV[LISTA]=$C$2),DESC_PROV[DESCUENTO]),0))
   *(1+VLOOKUP($C$2,LISTAS[],2,FALSE))
   *(1+VLOOKUP($C$2,LISTAS[],3,FALSE))
)
/5,0)*5,0)</f>
        <v>214530</v>
      </c>
      <c r="I14" s="65">
        <f t="array" ref="I14">IFERROR(
ROUND(
IF($A$2="COSTO",
   ((B14*(1+IFERROR(VLOOKUP($D$2,COLORES[],2,FALSE),0)))+D14)
   *(1-IFERROR(_xlfn.XLOOKUP(1,(DESC_PROV[LINEA]=$B$2)*(DESC_PROV[LISTA]=$C$2),DESC_PROV[DESCUENTO]),0)),
   ((B14*(1+IFERROR(VLOOKUP($D$2,COLORES[],2,FALSE),0)))+D14)
   *(1-IFERROR(_xlfn.XLOOKUP(1,(DESC_PROV[LINEA]=$B$2)*(DESC_PROV[LISTA]=$C$2),DESC_PROV[DESCUENTO]),0))
   *(1+VLOOKUP($C$2,LISTAS[],2,FALSE))
   *(1+VLOOKUP($C$2,LISTAS[],3,FALSE))
)
/5,0)*5,0)</f>
        <v>214530</v>
      </c>
      <c r="J14" s="65">
        <f t="array" ref="J14">IFERROR(
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/5,0)*5,0)</f>
        <v>214530</v>
      </c>
    </row>
  </sheetData>
  <mergeCells count="2">
    <mergeCell ref="A5:E5"/>
    <mergeCell ref="G5:J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FF0000"/>
  </sheetPr>
  <dimension ref="A1:G37"/>
  <sheetViews>
    <sheetView zoomScale="115" zoomScaleNormal="115" workbookViewId="0">
      <selection activeCell="A6" sqref="A6:C37"/>
    </sheetView>
  </sheetViews>
  <sheetFormatPr baseColWidth="10" defaultRowHeight="14.25"/>
  <cols>
    <col min="1" max="1" width="68.59765625" customWidth="1"/>
    <col min="2" max="2" width="17.86328125" customWidth="1"/>
    <col min="3" max="3" width="12.59765625" customWidth="1"/>
    <col min="4" max="4" width="8.73046875"/>
    <col min="5" max="5" width="68.59765625" customWidth="1"/>
    <col min="6" max="6" width="17.86328125" customWidth="1"/>
    <col min="7" max="7" width="12.59765625" customWidth="1"/>
  </cols>
  <sheetData>
    <row r="1" spans="1:7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7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7" ht="14.65" thickBot="1"/>
    <row r="5" spans="1:7" ht="14.65" thickBot="1">
      <c r="A5" s="317" t="s">
        <v>295</v>
      </c>
      <c r="B5" s="318"/>
      <c r="C5" s="319"/>
      <c r="D5" s="2"/>
      <c r="E5" s="317" t="s">
        <v>295</v>
      </c>
      <c r="F5" s="318"/>
      <c r="G5" s="319"/>
    </row>
    <row r="6" spans="1:7" ht="14.65" thickBot="1">
      <c r="A6" s="179" t="s">
        <v>296</v>
      </c>
      <c r="B6" s="180"/>
      <c r="C6" s="181">
        <v>0.3</v>
      </c>
      <c r="D6" s="2"/>
      <c r="E6" s="182" t="s">
        <v>297</v>
      </c>
      <c r="F6" s="180"/>
      <c r="G6" s="181">
        <f>C6</f>
        <v>0.3</v>
      </c>
    </row>
    <row r="7" spans="1:7" ht="14.65" thickBot="1">
      <c r="A7" s="179" t="s">
        <v>298</v>
      </c>
      <c r="B7" s="183"/>
      <c r="C7" s="181">
        <v>0.2</v>
      </c>
      <c r="D7" s="2"/>
      <c r="E7" s="184" t="s">
        <v>299</v>
      </c>
      <c r="F7" s="183"/>
      <c r="G7" s="181">
        <f>C7</f>
        <v>0.2</v>
      </c>
    </row>
    <row r="8" spans="1:7" ht="14.65" thickBot="1">
      <c r="A8" s="179" t="s">
        <v>300</v>
      </c>
      <c r="B8" s="183"/>
      <c r="C8" s="181">
        <v>0.7</v>
      </c>
      <c r="D8" s="2"/>
      <c r="E8" s="184" t="s">
        <v>301</v>
      </c>
      <c r="F8" s="183"/>
      <c r="G8" s="181">
        <f>C8</f>
        <v>0.7</v>
      </c>
    </row>
    <row r="9" spans="1:7" ht="14.65" thickBot="1">
      <c r="A9" s="179" t="s">
        <v>302</v>
      </c>
      <c r="B9" s="183"/>
      <c r="C9" s="181">
        <v>0.45</v>
      </c>
      <c r="D9" s="2"/>
      <c r="E9" s="184" t="s">
        <v>303</v>
      </c>
      <c r="F9" s="183"/>
      <c r="G9" s="181">
        <f>C9</f>
        <v>0.45</v>
      </c>
    </row>
    <row r="10" spans="1:7" ht="14.65" thickBot="1">
      <c r="A10" s="179" t="s">
        <v>304</v>
      </c>
      <c r="B10" s="183"/>
      <c r="C10" s="181">
        <v>0.3</v>
      </c>
      <c r="D10" s="2"/>
      <c r="E10" s="184" t="s">
        <v>305</v>
      </c>
      <c r="F10" s="183"/>
      <c r="G10" s="181">
        <f>C10</f>
        <v>0.3</v>
      </c>
    </row>
    <row r="11" spans="1:7" ht="14.65" thickBot="1">
      <c r="A11" s="185"/>
      <c r="B11" s="183"/>
      <c r="C11" s="67"/>
      <c r="D11" s="2"/>
      <c r="E11" s="184"/>
      <c r="F11" s="183"/>
      <c r="G11" s="67"/>
    </row>
    <row r="12" spans="1:7" ht="14.65" thickBot="1">
      <c r="A12" s="185"/>
      <c r="B12" s="183" t="s">
        <v>306</v>
      </c>
      <c r="C12" s="67" t="s">
        <v>31</v>
      </c>
      <c r="D12" s="2"/>
      <c r="E12" s="184"/>
      <c r="F12" s="183" t="s">
        <v>306</v>
      </c>
      <c r="G12" s="67"/>
    </row>
    <row r="13" spans="1:7" ht="14.65" thickBot="1">
      <c r="A13" s="179" t="s">
        <v>307</v>
      </c>
      <c r="B13" s="183" t="s">
        <v>308</v>
      </c>
      <c r="C13" s="67">
        <v>7400</v>
      </c>
      <c r="D13" s="2"/>
      <c r="E13" s="184" t="s">
        <v>309</v>
      </c>
      <c r="F13" s="183" t="s">
        <v>308</v>
      </c>
      <c r="G13" s="70">
        <f t="array" ref="G13">ROUND(
C13
*(1-IFERROR(_xlfn.XLOOKUP(1,(DESC_PROV[LINEA]=$B$2)*(DESC_PROV[LISTA]=$C$2),DESC_PROV[DESCUENTO]),0))
*(1+VLOOKUP($C$2,LISTAS[],2,FALSE))
*(1+VLOOKUP($C$2,LISTAS[],3,FALSE)),0)</f>
        <v>9483</v>
      </c>
    </row>
    <row r="14" spans="1:7" ht="14.65" thickBot="1">
      <c r="A14" s="179" t="s">
        <v>310</v>
      </c>
      <c r="B14" s="183" t="s">
        <v>308</v>
      </c>
      <c r="C14" s="67">
        <v>4200</v>
      </c>
      <c r="D14" s="2"/>
      <c r="E14" s="184" t="s">
        <v>311</v>
      </c>
      <c r="F14" s="183" t="s">
        <v>308</v>
      </c>
      <c r="G14" s="70">
        <f t="array" ref="G14">ROUND(
(C14*(1+IFERROR(VLOOKUP($D$2,COLORES[],2,FALSE),0)))
*(1-IFERROR(_xlfn.XLOOKUP(1,(DESC_PROV[LINEA]=$B$2)*(DESC_PROV[LISTA]=$C$2),DESC_PROV[DESCUENTO]),0))
*(1+VLOOKUP($C$2,LISTAS[],2,FALSE))
*(1+VLOOKUP($C$2,LISTAS[],3,FALSE)),0)</f>
        <v>5382</v>
      </c>
    </row>
    <row r="15" spans="1:7" ht="14.65" thickBot="1">
      <c r="A15" s="179" t="s">
        <v>312</v>
      </c>
      <c r="B15" s="183"/>
      <c r="C15" s="67">
        <v>28000</v>
      </c>
      <c r="D15" s="2"/>
      <c r="E15" s="184" t="s">
        <v>313</v>
      </c>
      <c r="F15" s="183"/>
      <c r="G15" s="70">
        <f t="array" ref="G15">ROUND(
C15
*(1-IFERROR(_xlfn.XLOOKUP(1,(DESC_PROV[LINEA]=$B$2)*(DESC_PROV[LISTA]=$C$2),DESC_PROV[DESCUENTO]),0))
*(1+VLOOKUP($C$2,LISTAS[],2,FALSE))
*(1+VLOOKUP($C$2,LISTAS[],3,FALSE)),0)</f>
        <v>35883</v>
      </c>
    </row>
    <row r="16" spans="1:7" ht="14.65" thickBot="1">
      <c r="A16" s="186" t="s">
        <v>314</v>
      </c>
      <c r="B16" s="183"/>
      <c r="C16" s="67">
        <v>142000</v>
      </c>
      <c r="D16" s="2"/>
      <c r="E16" s="187" t="s">
        <v>314</v>
      </c>
      <c r="F16" s="183"/>
      <c r="G16" s="70">
        <f t="array" ref="G16">ROUND(
C16
*(1-IFERROR(_xlfn.XLOOKUP(1,(DESC_PROV[LINEA]=$B$2)*(DESC_PROV[LISTA]=$C$2),DESC_PROV[DESCUENTO]),0))
*(1+VLOOKUP($C$2,LISTAS[],2,FALSE))
*(1+VLOOKUP($C$2,LISTAS[],3,FALSE)),0)</f>
        <v>181979</v>
      </c>
    </row>
    <row r="17" spans="1:7" ht="14.65" thickBot="1">
      <c r="A17" s="179" t="s">
        <v>315</v>
      </c>
      <c r="B17" s="183" t="s">
        <v>308</v>
      </c>
      <c r="C17" s="67">
        <v>10685</v>
      </c>
      <c r="D17" s="2"/>
      <c r="E17" s="184" t="s">
        <v>316</v>
      </c>
      <c r="F17" s="183" t="s">
        <v>308</v>
      </c>
      <c r="G17" s="70">
        <f t="array" ref="G17">ROUND(
(C17*(1+IFERROR(VLOOKUP($D$2,COLORES[],2,FALSE),0)))
*(1-IFERROR(_xlfn.XLOOKUP(1,(DESC_PROV[LINEA]=$B$2)*(DESC_PROV[LISTA]=$C$2),DESC_PROV[DESCUENTO]),0))
*(1+VLOOKUP($C$2,LISTAS[],2,FALSE))
*(1+VLOOKUP($C$2,LISTAS[],3,FALSE)),0)</f>
        <v>13693</v>
      </c>
    </row>
    <row r="18" spans="1:7" ht="14.65" thickBot="1">
      <c r="A18" s="179" t="s">
        <v>317</v>
      </c>
      <c r="B18" s="183" t="s">
        <v>308</v>
      </c>
      <c r="C18" s="67">
        <v>13517</v>
      </c>
      <c r="D18" s="2"/>
      <c r="E18" s="184" t="s">
        <v>318</v>
      </c>
      <c r="F18" s="183" t="s">
        <v>308</v>
      </c>
      <c r="G18" s="70">
        <f t="array" ref="G18">ROUND(
(C18*(1+IFERROR(VLOOKUP($D$2,COLORES[],2,FALSE),0)))
*(1-IFERROR(_xlfn.XLOOKUP(1,(DESC_PROV[LINEA]=$B$2)*(DESC_PROV[LISTA]=$C$2),DESC_PROV[DESCUENTO]),0))
*(1+VLOOKUP($C$2,LISTAS[],2,FALSE))
*(1+VLOOKUP($C$2,LISTAS[],3,FALSE)),0)</f>
        <v>17323</v>
      </c>
    </row>
    <row r="19" spans="1:7" ht="14.65" thickBot="1">
      <c r="A19" s="179" t="s">
        <v>319</v>
      </c>
      <c r="B19" s="183" t="s">
        <v>308</v>
      </c>
      <c r="C19" s="67">
        <v>18080</v>
      </c>
      <c r="D19" s="2"/>
      <c r="E19" s="184" t="s">
        <v>320</v>
      </c>
      <c r="F19" s="183" t="s">
        <v>308</v>
      </c>
      <c r="G19" s="70">
        <f t="array" ref="G19">ROUND(
(C19*(1+IFERROR(VLOOKUP($D$2,COLORES[],2,FALSE),0)))
*(1-IFERROR(_xlfn.XLOOKUP(1,(DESC_PROV[LINEA]=$B$2)*(DESC_PROV[LISTA]=$C$2),DESC_PROV[DESCUENTO]),0))
*(1+VLOOKUP($C$2,LISTAS[],2,FALSE))
*(1+VLOOKUP($C$2,LISTAS[],3,FALSE)),0)</f>
        <v>23170</v>
      </c>
    </row>
    <row r="20" spans="1:7" ht="14.65" thickBot="1">
      <c r="A20" s="179" t="s">
        <v>321</v>
      </c>
      <c r="B20" s="183" t="s">
        <v>308</v>
      </c>
      <c r="C20" s="67">
        <v>20505</v>
      </c>
      <c r="D20" s="2"/>
      <c r="E20" s="184" t="s">
        <v>322</v>
      </c>
      <c r="F20" s="183" t="s">
        <v>308</v>
      </c>
      <c r="G20" s="70">
        <f t="array" ref="G20">ROUND(
(C20*(1+IFERROR(VLOOKUP($D$2,COLORES[],2,FALSE),0)))
*(1-IFERROR(_xlfn.XLOOKUP(1,(DESC_PROV[LINEA]=$B$2)*(DESC_PROV[LISTA]=$C$2),DESC_PROV[DESCUENTO]),0))
*(1+VLOOKUP($C$2,LISTAS[],2,FALSE))
*(1+VLOOKUP($C$2,LISTAS[],3,FALSE)),0)</f>
        <v>26278</v>
      </c>
    </row>
    <row r="21" spans="1:7" ht="14.65" thickBot="1">
      <c r="A21" s="179" t="s">
        <v>323</v>
      </c>
      <c r="B21" s="183" t="s">
        <v>308</v>
      </c>
      <c r="C21" s="67">
        <v>5905</v>
      </c>
      <c r="D21" s="2"/>
      <c r="E21" s="184" t="s">
        <v>324</v>
      </c>
      <c r="F21" s="183" t="s">
        <v>308</v>
      </c>
      <c r="G21" s="70">
        <f t="array" ref="G21">ROUND(
(C21*(1+IFERROR(VLOOKUP($D$2,COLORES[],2,FALSE),0)))
*(1-IFERROR(_xlfn.XLOOKUP(1,(DESC_PROV[LINEA]=$B$2)*(DESC_PROV[LISTA]=$C$2),DESC_PROV[DESCUENTO]),0))
*(1+VLOOKUP($C$2,LISTAS[],2,FALSE))
*(1+VLOOKUP($C$2,LISTAS[],3,FALSE)),0)</f>
        <v>7567</v>
      </c>
    </row>
    <row r="22" spans="1:7" ht="14.65" thickBot="1"/>
    <row r="23" spans="1:7" ht="14.65" thickBot="1">
      <c r="A23" s="185" t="s">
        <v>423</v>
      </c>
      <c r="B23" s="183"/>
      <c r="C23" s="67">
        <v>48364</v>
      </c>
      <c r="D23" s="2"/>
      <c r="E23" s="184"/>
      <c r="F23" s="183"/>
      <c r="G23" s="70"/>
    </row>
    <row r="24" spans="1:7">
      <c r="A24" t="s">
        <v>421</v>
      </c>
      <c r="C24">
        <v>101970</v>
      </c>
    </row>
    <row r="25" spans="1:7" ht="14.65" thickBot="1">
      <c r="A25" t="s">
        <v>422</v>
      </c>
      <c r="C25">
        <v>112167</v>
      </c>
    </row>
    <row r="26" spans="1:7" ht="14.65" thickBot="1">
      <c r="A26" s="179" t="s">
        <v>325</v>
      </c>
      <c r="B26" s="183" t="s">
        <v>308</v>
      </c>
      <c r="C26" s="67">
        <v>12600</v>
      </c>
      <c r="D26" s="2"/>
      <c r="E26" s="184" t="s">
        <v>326</v>
      </c>
      <c r="F26" s="183" t="s">
        <v>308</v>
      </c>
      <c r="G26" s="70">
        <f t="array" ref="G26">ROUND(
C26
*(1-IFERROR(_xlfn.XLOOKUP(1,(DESC_PROV[LINEA]=$B$2)*(DESC_PROV[LISTA]=$C$2),DESC_PROV[DESCUENTO]),0))
*(1+VLOOKUP($C$2,LISTAS[],2,FALSE))
*(1+VLOOKUP($C$2,LISTAS[],3,FALSE)),0)</f>
        <v>16147</v>
      </c>
    </row>
    <row r="27" spans="1:7" ht="14.65" thickBot="1">
      <c r="A27" s="179" t="s">
        <v>327</v>
      </c>
      <c r="B27" s="183" t="s">
        <v>328</v>
      </c>
      <c r="C27" s="67">
        <v>16459</v>
      </c>
      <c r="D27" s="2"/>
      <c r="E27" s="184" t="s">
        <v>329</v>
      </c>
      <c r="F27" s="183" t="s">
        <v>328</v>
      </c>
      <c r="G27" s="70">
        <f t="array" ref="G27">ROUND(
C27
*(1-IFERROR(_xlfn.XLOOKUP(1,(DESC_PROV[LINEA]=$B$2)*(DESC_PROV[LISTA]=$C$2),DESC_PROV[DESCUENTO]),0))
*(1+VLOOKUP($C$2,LISTAS[],2,FALSE))
*(1+VLOOKUP($C$2,LISTAS[],3,FALSE)),0)</f>
        <v>21093</v>
      </c>
    </row>
    <row r="28" spans="1:7" ht="14.65" thickBot="1">
      <c r="A28" s="179" t="s">
        <v>330</v>
      </c>
      <c r="B28" s="183" t="s">
        <v>328</v>
      </c>
      <c r="C28" s="67">
        <v>21250</v>
      </c>
      <c r="D28" s="2"/>
      <c r="E28" s="184" t="s">
        <v>331</v>
      </c>
      <c r="F28" s="183" t="s">
        <v>328</v>
      </c>
      <c r="G28" s="70">
        <f t="array" ref="G28">ROUND(
C28
*(1-IFERROR(_xlfn.XLOOKUP(1,(DESC_PROV[LINEA]=$B$2)*(DESC_PROV[LISTA]=$C$2),DESC_PROV[DESCUENTO]),0))
*(1+VLOOKUP($C$2,LISTAS[],2,FALSE))
*(1+VLOOKUP($C$2,LISTAS[],3,FALSE)),0)</f>
        <v>27233</v>
      </c>
    </row>
    <row r="29" spans="1:7" ht="14.65" thickBot="1">
      <c r="A29" s="179" t="s">
        <v>332</v>
      </c>
      <c r="B29" s="183" t="s">
        <v>328</v>
      </c>
      <c r="C29" s="67">
        <v>27169</v>
      </c>
      <c r="D29" s="2"/>
      <c r="E29" s="184" t="s">
        <v>333</v>
      </c>
      <c r="F29" s="183" t="s">
        <v>328</v>
      </c>
      <c r="G29" s="70">
        <f t="array" ref="G29">ROUND(
C29
*(1-IFERROR(_xlfn.XLOOKUP(1,(DESC_PROV[LINEA]=$B$2)*(DESC_PROV[LISTA]=$C$2),DESC_PROV[DESCUENTO]),0))
*(1+VLOOKUP($C$2,LISTAS[],2,FALSE))
*(1+VLOOKUP($C$2,LISTAS[],3,FALSE)),0)</f>
        <v>34818</v>
      </c>
    </row>
    <row r="30" spans="1:7" ht="14.65" thickBot="1">
      <c r="A30" s="179" t="s">
        <v>334</v>
      </c>
      <c r="B30" s="183" t="s">
        <v>328</v>
      </c>
      <c r="C30" s="67">
        <v>33410</v>
      </c>
      <c r="D30" s="2"/>
      <c r="E30" s="184" t="s">
        <v>335</v>
      </c>
      <c r="F30" s="183" t="s">
        <v>328</v>
      </c>
      <c r="G30" s="70">
        <f t="array" ref="G30">ROUND(
C30
*(1-IFERROR(_xlfn.XLOOKUP(1,(DESC_PROV[LINEA]=$B$2)*(DESC_PROV[LISTA]=$C$2),DESC_PROV[DESCUENTO]),0))
*(1+VLOOKUP($C$2,LISTAS[],2,FALSE))
*(1+VLOOKUP($C$2,LISTAS[],3,FALSE)),0)</f>
        <v>42816</v>
      </c>
    </row>
    <row r="31" spans="1:7" ht="14.65" thickBot="1">
      <c r="A31" s="179" t="s">
        <v>336</v>
      </c>
      <c r="B31" s="183" t="s">
        <v>328</v>
      </c>
      <c r="C31" s="67">
        <v>27012</v>
      </c>
      <c r="D31" s="2"/>
      <c r="E31" s="184" t="s">
        <v>337</v>
      </c>
      <c r="F31" s="183" t="s">
        <v>328</v>
      </c>
      <c r="G31" s="70">
        <f t="array" ref="G31">ROUND(
C31
*(1-IFERROR(_xlfn.XLOOKUP(1,(DESC_PROV[LINEA]=$B$2)*(DESC_PROV[LISTA]=$C$2),DESC_PROV[DESCUENTO]),0))
*(1+VLOOKUP($C$2,LISTAS[],2,FALSE))
*(1+VLOOKUP($C$2,LISTAS[],3,FALSE)),0)</f>
        <v>34617</v>
      </c>
    </row>
    <row r="32" spans="1:7" ht="14.65" thickBot="1">
      <c r="A32" s="179" t="s">
        <v>338</v>
      </c>
      <c r="B32" s="183" t="s">
        <v>328</v>
      </c>
      <c r="C32" s="67">
        <v>82108</v>
      </c>
      <c r="D32" s="2"/>
      <c r="E32" s="184" t="s">
        <v>339</v>
      </c>
      <c r="F32" s="183" t="s">
        <v>328</v>
      </c>
      <c r="G32" s="70">
        <f t="array" ref="G32">ROUND(
C32
*(1-IFERROR(_xlfn.XLOOKUP(1,(DESC_PROV[LINEA]=$B$2)*(DESC_PROV[LISTA]=$C$2),DESC_PROV[DESCUENTO]),0))
*(1+VLOOKUP($C$2,LISTAS[],2,FALSE))
*(1+VLOOKUP($C$2,LISTAS[],3,FALSE)),0)</f>
        <v>105225</v>
      </c>
    </row>
    <row r="33" spans="1:7" ht="14.65" thickBot="1">
      <c r="A33" s="179" t="s">
        <v>340</v>
      </c>
      <c r="B33" s="183" t="s">
        <v>328</v>
      </c>
      <c r="C33" s="67">
        <v>65546</v>
      </c>
      <c r="D33" s="2"/>
      <c r="E33" s="184" t="s">
        <v>341</v>
      </c>
      <c r="F33" s="183" t="s">
        <v>328</v>
      </c>
      <c r="G33" s="70">
        <f t="array" ref="G33">ROUND(
C33
*(1-IFERROR(_xlfn.XLOOKUP(1,(DESC_PROV[LINEA]=$B$2)*(DESC_PROV[LISTA]=$C$2),DESC_PROV[DESCUENTO]),0))
*(1+VLOOKUP($C$2,LISTAS[],2,FALSE))
*(1+VLOOKUP($C$2,LISTAS[],3,FALSE)),0)</f>
        <v>84000</v>
      </c>
    </row>
    <row r="34" spans="1:7" ht="14.65" thickBot="1">
      <c r="A34" s="179" t="s">
        <v>342</v>
      </c>
      <c r="B34" s="183" t="s">
        <v>328</v>
      </c>
      <c r="C34" s="67">
        <v>73221</v>
      </c>
      <c r="D34" s="2"/>
      <c r="E34" s="184" t="s">
        <v>343</v>
      </c>
      <c r="F34" s="183" t="s">
        <v>328</v>
      </c>
      <c r="G34" s="70">
        <f t="array" ref="G34">ROUND(
C34
*(1-IFERROR(_xlfn.XLOOKUP(1,(DESC_PROV[LINEA]=$B$2)*(DESC_PROV[LISTA]=$C$2),DESC_PROV[DESCUENTO]),0))
*(1+VLOOKUP($C$2,LISTAS[],2,FALSE))
*(1+VLOOKUP($C$2,LISTAS[],3,FALSE)),0)</f>
        <v>93836</v>
      </c>
    </row>
    <row r="35" spans="1:7" ht="14.65" thickBot="1">
      <c r="A35" s="179" t="s">
        <v>344</v>
      </c>
      <c r="B35" s="183" t="s">
        <v>328</v>
      </c>
      <c r="C35" s="67">
        <v>88575</v>
      </c>
      <c r="D35" s="2"/>
      <c r="E35" s="184" t="s">
        <v>345</v>
      </c>
      <c r="F35" s="183" t="s">
        <v>328</v>
      </c>
      <c r="G35" s="70">
        <f t="array" ref="G35">ROUND(
C35
*(1-IFERROR(_xlfn.XLOOKUP(1,(DESC_PROV[LINEA]=$B$2)*(DESC_PROV[LISTA]=$C$2),DESC_PROV[DESCUENTO]),0))
*(1+VLOOKUP($C$2,LISTAS[],2,FALSE))
*(1+VLOOKUP($C$2,LISTAS[],3,FALSE)),0)</f>
        <v>113512</v>
      </c>
    </row>
    <row r="36" spans="1:7" ht="14.65" thickBot="1">
      <c r="A36" s="179" t="s">
        <v>346</v>
      </c>
      <c r="B36" s="183" t="s">
        <v>328</v>
      </c>
      <c r="C36" s="67">
        <v>54044</v>
      </c>
      <c r="D36" s="2"/>
      <c r="E36" s="184" t="s">
        <v>347</v>
      </c>
      <c r="F36" s="183" t="s">
        <v>308</v>
      </c>
      <c r="G36" s="70">
        <f t="array" ref="G36">ROUND(
C36
*(1-IFERROR(_xlfn.XLOOKUP(1,(DESC_PROV[LINEA]=$B$2)*(DESC_PROV[LISTA]=$C$2),DESC_PROV[DESCUENTO]),0))
*(1+VLOOKUP($C$2,LISTAS[],2,FALSE))
*(1+VLOOKUP($C$2,LISTAS[],3,FALSE)),0)</f>
        <v>69260</v>
      </c>
    </row>
    <row r="37" spans="1:7" ht="14.65" thickBot="1">
      <c r="A37" s="179" t="s">
        <v>348</v>
      </c>
      <c r="B37" s="183" t="s">
        <v>328</v>
      </c>
      <c r="C37" s="67">
        <v>60797</v>
      </c>
      <c r="D37" s="2"/>
      <c r="E37" s="184" t="s">
        <v>349</v>
      </c>
      <c r="F37" s="183" t="s">
        <v>328</v>
      </c>
      <c r="G37" s="70">
        <f t="array" ref="G37">ROUND(
C37
*(1-IFERROR(_xlfn.XLOOKUP(1,(DESC_PROV[LINEA]=$B$2)*(DESC_PROV[LISTA]=$C$2),DESC_PROV[DESCUENTO]),0))
*(1+VLOOKUP($C$2,LISTAS[],2,FALSE))
*(1+VLOOKUP($C$2,LISTAS[],3,FALSE)),0)</f>
        <v>77914</v>
      </c>
    </row>
  </sheetData>
  <mergeCells count="2">
    <mergeCell ref="A5:C5"/>
    <mergeCell ref="E5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tabColor rgb="FFFF0000"/>
  </sheetPr>
  <dimension ref="A1:M12"/>
  <sheetViews>
    <sheetView zoomScale="70" zoomScaleNormal="70" workbookViewId="0">
      <selection activeCell="M7" sqref="M7:M12"/>
    </sheetView>
  </sheetViews>
  <sheetFormatPr baseColWidth="10" defaultRowHeight="14.25"/>
  <cols>
    <col min="1" max="1" width="25" customWidth="1"/>
    <col min="2" max="2" width="15.59765625" customWidth="1"/>
    <col min="3" max="3" width="12.3984375" customWidth="1"/>
    <col min="4" max="4" width="21.1328125" customWidth="1"/>
    <col min="5" max="5" width="20.59765625" customWidth="1"/>
    <col min="6" max="6" width="21.1328125" customWidth="1"/>
    <col min="7" max="7" width="8.73046875"/>
    <col min="8" max="8" width="17.86328125" customWidth="1"/>
    <col min="9" max="9" width="12.1328125" customWidth="1"/>
    <col min="10" max="10" width="12.73046875" customWidth="1"/>
    <col min="11" max="11" width="23.1328125" customWidth="1"/>
    <col min="12" max="12" width="20.86328125" customWidth="1"/>
    <col min="13" max="13" width="22.59765625" customWidth="1"/>
  </cols>
  <sheetData>
    <row r="1" spans="1:13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3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</row>
    <row r="4" spans="1:13">
      <c r="A4" s="320" t="s">
        <v>413</v>
      </c>
      <c r="B4" s="320"/>
      <c r="C4" s="320"/>
      <c r="D4" s="320"/>
      <c r="E4" s="320"/>
      <c r="F4" s="320"/>
      <c r="H4" s="320" t="s">
        <v>413</v>
      </c>
      <c r="I4" s="320"/>
      <c r="J4" s="320"/>
      <c r="K4" s="320"/>
      <c r="L4" s="320"/>
      <c r="M4" s="320"/>
    </row>
    <row r="5" spans="1:13" ht="14.65" thickBot="1">
      <c r="A5" s="321"/>
      <c r="B5" s="321"/>
      <c r="C5" s="321"/>
      <c r="D5" s="321"/>
      <c r="E5" s="321"/>
      <c r="F5" s="321"/>
      <c r="G5" s="2"/>
      <c r="H5" s="321"/>
      <c r="I5" s="321"/>
      <c r="J5" s="321"/>
      <c r="K5" s="321"/>
      <c r="L5" s="321"/>
      <c r="M5" s="321"/>
    </row>
    <row r="6" spans="1:13">
      <c r="A6" s="262" t="s">
        <v>351</v>
      </c>
      <c r="B6" s="41" t="s">
        <v>352</v>
      </c>
      <c r="C6" s="41" t="s">
        <v>353</v>
      </c>
      <c r="D6" s="41" t="s">
        <v>354</v>
      </c>
      <c r="E6" s="41" t="s">
        <v>355</v>
      </c>
      <c r="F6" s="263" t="s">
        <v>356</v>
      </c>
      <c r="G6" s="2"/>
      <c r="H6" s="262" t="s">
        <v>351</v>
      </c>
      <c r="I6" s="41" t="s">
        <v>352</v>
      </c>
      <c r="J6" s="41" t="s">
        <v>353</v>
      </c>
      <c r="K6" s="41" t="s">
        <v>354</v>
      </c>
      <c r="L6" s="41" t="s">
        <v>355</v>
      </c>
      <c r="M6" s="263" t="s">
        <v>356</v>
      </c>
    </row>
    <row r="7" spans="1:13">
      <c r="A7" s="21" t="s">
        <v>357</v>
      </c>
      <c r="B7" s="64">
        <v>45754</v>
      </c>
      <c r="C7" s="64">
        <v>0</v>
      </c>
      <c r="D7" s="64">
        <v>45754</v>
      </c>
      <c r="E7" s="64">
        <v>51550</v>
      </c>
      <c r="F7" s="64">
        <v>51550</v>
      </c>
      <c r="G7" s="2"/>
      <c r="H7" s="21" t="s">
        <v>357</v>
      </c>
      <c r="I7" s="65">
        <f>IFERROR(
ROUND(
IF($A$2="COSTO",
   B7,
   B7
   *1.21
   *(1+IFERROR(VLOOKUP("PVC",PVC[],2,FALSE),0))
   *(1+IFERROR(VLOOKUP("PVC",PVC[],3,FALSE),0))
),0),0)</f>
        <v>89133</v>
      </c>
      <c r="J7" s="65">
        <f>IFERROR(
ROUND(
IF($A$2="COSTO",
   C7,
   C7
   *1.21
   *(1+IFERROR(VLOOKUP("PVC",PVC[],2,FALSE),0))
   *(1+IFERROR(VLOOKUP("PVC",PVC[],3,FALSE),0))
),0),0)</f>
        <v>0</v>
      </c>
      <c r="K7" s="65">
        <f>IFERROR(
ROUND(
IF($A$2="COSTO",
   D7,
   D7
   *1.21
   *(1+IFERROR(VLOOKUP("PVC",PVC[],2,FALSE),0))
   *(1+IFERROR(VLOOKUP("PVC",PVC[],3,FALSE),0))
),0),0)</f>
        <v>89133</v>
      </c>
      <c r="L7" s="65">
        <f>IFERROR(
ROUND(
IF($A$2="COSTO",
   E7,
   E7
   *1.21
   *(1+IFERROR(VLOOKUP("PVC",PVC[],2,FALSE),0))
   *(1+IFERROR(VLOOKUP("PVC",PVC[],3,FALSE),0))
),0),0)</f>
        <v>100425</v>
      </c>
      <c r="M7" s="65">
        <f>IFERROR(
ROUND(
IF($A$2="COSTO",
   F7,
   F7
   *1.21
   *(1+IFERROR(VLOOKUP("PVC",PVC[],2,FALSE),0))
   *(1+IFERROR(VLOOKUP("PVC",PVC[],3,FALSE),0))
),0),0)</f>
        <v>100425</v>
      </c>
    </row>
    <row r="8" spans="1:13">
      <c r="A8" s="21" t="s">
        <v>358</v>
      </c>
      <c r="B8" s="64">
        <v>48218</v>
      </c>
      <c r="C8" s="64">
        <v>48217</v>
      </c>
      <c r="D8" s="64">
        <v>48217</v>
      </c>
      <c r="E8" s="64">
        <v>53327</v>
      </c>
      <c r="F8" s="64">
        <v>53327</v>
      </c>
      <c r="G8" s="2"/>
      <c r="H8" s="21" t="s">
        <v>358</v>
      </c>
      <c r="I8" s="65">
        <f>IFERROR(
ROUND(
IF($A$2="COSTO",
   B8,
   B8
   *1.21
   *(1+IFERROR(VLOOKUP("PVC",PVC[],2,FALSE),0))
   *(1+IFERROR(VLOOKUP("PVC",PVC[],3,FALSE),0))
),0),0)</f>
        <v>93933</v>
      </c>
      <c r="J8" s="65">
        <f>IFERROR(
ROUND(
IF($A$2="COSTO",
   C8,
   C8
   *1.21
   *(1+IFERROR(VLOOKUP("PVC",PVC[],2,FALSE),0))
   *(1+IFERROR(VLOOKUP("PVC",PVC[],3,FALSE),0))
),0),0)</f>
        <v>93932</v>
      </c>
      <c r="K8" s="65">
        <f>IFERROR(
ROUND(
IF($A$2="COSTO",
   D8,
   D8
   *1.21
   *(1+IFERROR(VLOOKUP("PVC",PVC[],2,FALSE),0))
   *(1+IFERROR(VLOOKUP("PVC",PVC[],3,FALSE),0))
),0),0)</f>
        <v>93932</v>
      </c>
      <c r="L8" s="65">
        <f>IFERROR(
ROUND(
IF($A$2="COSTO",
   E8,
   E8
   *1.21
   *(1+IFERROR(VLOOKUP("PVC",PVC[],2,FALSE),0))
   *(1+IFERROR(VLOOKUP("PVC",PVC[],3,FALSE),0))
),0),0)</f>
        <v>103886</v>
      </c>
      <c r="M8" s="65">
        <f>IFERROR(
ROUND(
IF($A$2="COSTO",
   F8,
   F8
   *1.21
   *(1+IFERROR(VLOOKUP("PVC",PVC[],2,FALSE),0))
   *(1+IFERROR(VLOOKUP("PVC",PVC[],3,FALSE),0))
),0),0)</f>
        <v>103886</v>
      </c>
    </row>
    <row r="9" spans="1:13">
      <c r="A9" s="21" t="s">
        <v>359</v>
      </c>
      <c r="B9" s="64">
        <v>52372</v>
      </c>
      <c r="C9" s="64">
        <v>52371</v>
      </c>
      <c r="D9" s="64">
        <v>52371</v>
      </c>
      <c r="E9" s="64">
        <v>61492</v>
      </c>
      <c r="F9" s="64">
        <v>61492</v>
      </c>
      <c r="G9" s="2"/>
      <c r="H9" s="21" t="s">
        <v>359</v>
      </c>
      <c r="I9" s="65">
        <f>IFERROR(
ROUND(
IF($A$2="COSTO",
   B9,
   B9
   *1.21
   *(1+IFERROR(VLOOKUP("PVC",PVC[],2,FALSE),0))
   *(1+IFERROR(VLOOKUP("PVC",PVC[],3,FALSE),0))
),0),0)</f>
        <v>102026</v>
      </c>
      <c r="J9" s="65">
        <f>IFERROR(
ROUND(
IF($A$2="COSTO",
   C9,
   C9
   *1.21
   *(1+IFERROR(VLOOKUP("PVC",PVC[],2,FALSE),0))
   *(1+IFERROR(VLOOKUP("PVC",PVC[],3,FALSE),0))
),0),0)</f>
        <v>102024</v>
      </c>
      <c r="K9" s="65">
        <f>IFERROR(
ROUND(
IF($A$2="COSTO",
   D9,
   D9
   *1.21
   *(1+IFERROR(VLOOKUP("PVC",PVC[],2,FALSE),0))
   *(1+IFERROR(VLOOKUP("PVC",PVC[],3,FALSE),0))
),0),0)</f>
        <v>102024</v>
      </c>
      <c r="L9" s="65">
        <f>IFERROR(
ROUND(
IF($A$2="COSTO",
   E9,
   E9
   *1.21
   *(1+IFERROR(VLOOKUP("PVC",PVC[],2,FALSE),0))
   *(1+IFERROR(VLOOKUP("PVC",PVC[],3,FALSE),0))
),0),0)</f>
        <v>119793</v>
      </c>
      <c r="M9" s="65">
        <f>IFERROR(
ROUND(
IF($A$2="COSTO",
   F9,
   F9
   *1.21
   *(1+IFERROR(VLOOKUP("PVC",PVC[],2,FALSE),0))
   *(1+IFERROR(VLOOKUP("PVC",PVC[],3,FALSE),0))
),0),0)</f>
        <v>119793</v>
      </c>
    </row>
    <row r="10" spans="1:13">
      <c r="A10" s="21" t="s">
        <v>360</v>
      </c>
      <c r="B10" s="64">
        <v>53599</v>
      </c>
      <c r="C10" s="64">
        <v>53598</v>
      </c>
      <c r="D10" s="64">
        <v>53598</v>
      </c>
      <c r="E10" s="64">
        <v>0</v>
      </c>
      <c r="F10" s="64">
        <v>0</v>
      </c>
      <c r="G10" s="2"/>
      <c r="H10" s="21" t="s">
        <v>360</v>
      </c>
      <c r="I10" s="65">
        <f>IFERROR(
ROUND(
IF($A$2="COSTO",
   B10,
   B10
   *1.21
   *(1+IFERROR(VLOOKUP("PVC",PVC[],2,FALSE),0))
   *(1+IFERROR(VLOOKUP("PVC",PVC[],3,FALSE),0))
),0),0)</f>
        <v>104416</v>
      </c>
      <c r="J10" s="65">
        <f>IFERROR(
ROUND(
IF($A$2="COSTO",
   C10,
   C10
   *1.21
   *(1+IFERROR(VLOOKUP("PVC",PVC[],2,FALSE),0))
   *(1+IFERROR(VLOOKUP("PVC",PVC[],3,FALSE),0))
),0),0)</f>
        <v>104414</v>
      </c>
      <c r="K10" s="65">
        <f>IFERROR(
ROUND(
IF($A$2="COSTO",
   D10,
   D10
   *1.21
   *(1+IFERROR(VLOOKUP("PVC",PVC[],2,FALSE),0))
   *(1+IFERROR(VLOOKUP("PVC",PVC[],3,FALSE),0))
),0),0)</f>
        <v>104414</v>
      </c>
      <c r="L10" s="65">
        <f>IFERROR(
ROUND(
IF($A$2="COSTO",
   E10,
   E10
   *1.21
   *(1+IFERROR(VLOOKUP("PVC",PVC[],2,FALSE),0))
   *(1+IFERROR(VLOOKUP("PVC",PVC[],3,FALSE),0))
),0),0)</f>
        <v>0</v>
      </c>
      <c r="M10" s="65">
        <f>IFERROR(
ROUND(
IF($A$2="COSTO",
   F10,
   F10
   *1.21
   *(1+IFERROR(VLOOKUP("PVC",PVC[],2,FALSE),0))
   *(1+IFERROR(VLOOKUP("PVC",PVC[],3,FALSE),0))
),0),0)</f>
        <v>0</v>
      </c>
    </row>
    <row r="11" spans="1:13">
      <c r="A11" s="21" t="s">
        <v>361</v>
      </c>
      <c r="B11" s="64">
        <v>61837</v>
      </c>
      <c r="C11" s="64">
        <v>0</v>
      </c>
      <c r="D11" s="64">
        <v>61837</v>
      </c>
      <c r="E11" s="64">
        <v>0</v>
      </c>
      <c r="F11" s="64">
        <v>0</v>
      </c>
      <c r="G11" s="2"/>
      <c r="H11" s="21" t="s">
        <v>361</v>
      </c>
      <c r="I11" s="65">
        <f>IFERROR(
ROUND(
IF($A$2="COSTO",
   B11,
   B11
   *1.21
   *(1+IFERROR(VLOOKUP("PVC",PVC[],2,FALSE),0))
   *(1+IFERROR(VLOOKUP("PVC",PVC[],3,FALSE),0))
),0),0)</f>
        <v>120465</v>
      </c>
      <c r="J11" s="65">
        <f>IFERROR(
ROUND(
IF($A$2="COSTO",
   C11,
   C11
   *1.21
   *(1+IFERROR(VLOOKUP("PVC",PVC[],2,FALSE),0))
   *(1+IFERROR(VLOOKUP("PVC",PVC[],3,FALSE),0))
),0),0)</f>
        <v>0</v>
      </c>
      <c r="K11" s="65">
        <f>IFERROR(
ROUND(
IF($A$2="COSTO",
   D11,
   D11
   *1.21
   *(1+IFERROR(VLOOKUP("PVC",PVC[],2,FALSE),0))
   *(1+IFERROR(VLOOKUP("PVC",PVC[],3,FALSE),0))
),0),0)</f>
        <v>120465</v>
      </c>
      <c r="L11" s="65">
        <f>IFERROR(
ROUND(
IF($A$2="COSTO",
   E11,
   E11
   *1.21
   *(1+IFERROR(VLOOKUP("PVC",PVC[],2,FALSE),0))
   *(1+IFERROR(VLOOKUP("PVC",PVC[],3,FALSE),0))
),0),0)</f>
        <v>0</v>
      </c>
      <c r="M11" s="65">
        <f>IFERROR(
ROUND(
IF($A$2="COSTO",
   F11,
   F11
   *1.21
   *(1+IFERROR(VLOOKUP("PVC",PVC[],2,FALSE),0))
   *(1+IFERROR(VLOOKUP("PVC",PVC[],3,FALSE),0))
),0),0)</f>
        <v>0</v>
      </c>
    </row>
    <row r="12" spans="1:13">
      <c r="A12" s="21" t="s">
        <v>362</v>
      </c>
      <c r="B12" s="64">
        <v>65523</v>
      </c>
      <c r="C12" s="64">
        <v>0</v>
      </c>
      <c r="D12" s="64">
        <v>65523</v>
      </c>
      <c r="E12" s="64">
        <v>0</v>
      </c>
      <c r="F12" s="64">
        <v>0</v>
      </c>
      <c r="G12" s="2"/>
      <c r="H12" s="21" t="s">
        <v>362</v>
      </c>
      <c r="I12" s="65">
        <f>IFERROR(
ROUND(
IF($A$2="COSTO",
   B12,
   B12
   *1.21
   *(1+IFERROR(VLOOKUP("PVC",PVC[],2,FALSE),0))
   *(1+IFERROR(VLOOKUP("PVC",PVC[],3,FALSE),0))
),0),0)</f>
        <v>127645</v>
      </c>
      <c r="J12" s="65">
        <f>IFERROR(
ROUND(
IF($A$2="COSTO",
   C12,
   C12
   *1.21
   *(1+IFERROR(VLOOKUP("PVC",PVC[],2,FALSE),0))
   *(1+IFERROR(VLOOKUP("PVC",PVC[],3,FALSE),0))
),0),0)</f>
        <v>0</v>
      </c>
      <c r="K12" s="65">
        <f>IFERROR(
ROUND(
IF($A$2="COSTO",
   D12,
   D12
   *1.21
   *(1+IFERROR(VLOOKUP("PVC",PVC[],2,FALSE),0))
   *(1+IFERROR(VLOOKUP("PVC",PVC[],3,FALSE),0))
),0),0)</f>
        <v>127645</v>
      </c>
      <c r="L12" s="65">
        <f>IFERROR(
ROUND(
IF($A$2="COSTO",
   E12,
   E12
   *1.21
   *(1+IFERROR(VLOOKUP("PVC",PVC[],2,FALSE),0))
   *(1+IFERROR(VLOOKUP("PVC",PVC[],3,FALSE),0))
),0),0)</f>
        <v>0</v>
      </c>
      <c r="M12" s="65">
        <f>IFERROR(
ROUND(
IF($A$2="COSTO",
   F12,
   F12
   *1.21
   *(1+IFERROR(VLOOKUP("PVC",PVC[],2,FALSE),0))
   *(1+IFERROR(VLOOKUP("PVC",PVC[],3,FALSE),0))
),0),0)</f>
        <v>0</v>
      </c>
    </row>
  </sheetData>
  <mergeCells count="2">
    <mergeCell ref="A4:F5"/>
    <mergeCell ref="H4:M5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tabColor rgb="FFFF0000"/>
  </sheetPr>
  <dimension ref="A1:M10"/>
  <sheetViews>
    <sheetView zoomScale="70" zoomScaleNormal="70" workbookViewId="0">
      <selection activeCell="M7" sqref="M7:M10"/>
    </sheetView>
  </sheetViews>
  <sheetFormatPr baseColWidth="10" defaultRowHeight="14.25"/>
  <cols>
    <col min="1" max="1" width="25" customWidth="1"/>
    <col min="2" max="2" width="15.59765625" customWidth="1"/>
    <col min="3" max="3" width="12.3984375" customWidth="1"/>
    <col min="4" max="4" width="21.1328125" customWidth="1"/>
    <col min="5" max="5" width="20.59765625" customWidth="1"/>
    <col min="6" max="6" width="21.1328125" customWidth="1"/>
    <col min="7" max="7" width="8.73046875"/>
    <col min="8" max="8" width="17.86328125" customWidth="1"/>
    <col min="9" max="9" width="12.1328125" customWidth="1"/>
    <col min="10" max="10" width="12.73046875" customWidth="1"/>
    <col min="11" max="11" width="23.1328125" customWidth="1"/>
    <col min="12" max="12" width="20.86328125" customWidth="1"/>
    <col min="13" max="13" width="22.59765625" customWidth="1"/>
  </cols>
  <sheetData>
    <row r="1" spans="1:13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13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</row>
    <row r="4" spans="1:13" ht="14.65" thickBot="1"/>
    <row r="5" spans="1:13" ht="25.9" thickBot="1">
      <c r="A5" s="276" t="s">
        <v>363</v>
      </c>
      <c r="B5" s="277"/>
      <c r="C5" s="277"/>
      <c r="D5" s="277"/>
      <c r="E5" s="277"/>
      <c r="F5" s="278"/>
      <c r="G5" s="2"/>
      <c r="H5" s="276" t="s">
        <v>363</v>
      </c>
      <c r="I5" s="277"/>
      <c r="J5" s="277"/>
      <c r="K5" s="277"/>
      <c r="L5" s="277"/>
      <c r="M5" s="278"/>
    </row>
    <row r="6" spans="1:13">
      <c r="A6" s="262" t="s">
        <v>351</v>
      </c>
      <c r="B6" s="41" t="s">
        <v>364</v>
      </c>
      <c r="C6" s="41" t="s">
        <v>365</v>
      </c>
      <c r="D6" s="41" t="s">
        <v>366</v>
      </c>
      <c r="E6" s="41" t="s">
        <v>367</v>
      </c>
      <c r="F6" s="263" t="s">
        <v>368</v>
      </c>
      <c r="G6" s="2"/>
      <c r="H6" s="262" t="s">
        <v>351</v>
      </c>
      <c r="I6" s="41" t="s">
        <v>364</v>
      </c>
      <c r="J6" s="41" t="s">
        <v>365</v>
      </c>
      <c r="K6" s="41" t="s">
        <v>366</v>
      </c>
      <c r="L6" s="41" t="s">
        <v>367</v>
      </c>
      <c r="M6" s="263" t="s">
        <v>368</v>
      </c>
    </row>
    <row r="7" spans="1:13">
      <c r="A7" s="21" t="s">
        <v>369</v>
      </c>
      <c r="B7" s="64">
        <v>20100</v>
      </c>
      <c r="C7" s="64">
        <v>24894</v>
      </c>
      <c r="D7" s="64">
        <v>23420</v>
      </c>
      <c r="E7" s="64">
        <v>35049</v>
      </c>
      <c r="F7" s="64">
        <v>38235</v>
      </c>
      <c r="G7" s="2"/>
      <c r="H7" s="21" t="s">
        <v>369</v>
      </c>
      <c r="I7" s="65">
        <f>IFERROR(
ROUND(
IF($A$2="COSTO",
   B7,
   B7
   *1.21
   *(1+IFERROR(VLOOKUP("PVC",PVC[],2,FALSE),0))
   *(1+IFERROR(VLOOKUP("PVC",PVC[],3,FALSE),0))
),0),0)</f>
        <v>39157</v>
      </c>
      <c r="J7" s="65">
        <f>IFERROR(
ROUND(
IF($A$2="COSTO",
   C7,
   C7
   *1.21
   *(1+IFERROR(VLOOKUP("PVC",PVC[],2,FALSE),0))
   *(1+IFERROR(VLOOKUP("PVC",PVC[],3,FALSE),0))
),0),0)</f>
        <v>48496</v>
      </c>
      <c r="K7" s="65">
        <f>IFERROR(
ROUND(
IF($A$2="COSTO",
   D7,
   D7
   *1.21
   *(1+IFERROR(VLOOKUP("PVC",PVC[],2,FALSE),0))
   *(1+IFERROR(VLOOKUP("PVC",PVC[],3,FALSE),0))
),0),0)</f>
        <v>45625</v>
      </c>
      <c r="L7" s="65">
        <f>IFERROR(
ROUND(
IF($A$2="COSTO",
   D7,
   D7
   *1.21
   *(1+IFERROR(VLOOKUP("PVC",PVC[],2,FALSE),0))
   *(1+IFERROR(VLOOKUP("PVC",PVC[],3,FALSE),0))
),0),0)</f>
        <v>45625</v>
      </c>
      <c r="M7" s="66">
        <f>IFERROR(
ROUND(
IF($A$2="COSTO",
   F7,
   F7
   *1.21
   *(1+IFERROR(VLOOKUP("PVC",PVC[],2,FALSE),0))
   *(1+IFERROR(VLOOKUP("PVC",PVC[],3,FALSE),0))
),0),0)</f>
        <v>74486</v>
      </c>
    </row>
    <row r="8" spans="1:13">
      <c r="A8" s="21" t="s">
        <v>370</v>
      </c>
      <c r="B8" s="64">
        <v>15425</v>
      </c>
      <c r="C8" s="64">
        <v>18808</v>
      </c>
      <c r="D8" s="64">
        <v>18399</v>
      </c>
      <c r="E8" s="64">
        <v>26020</v>
      </c>
      <c r="F8" s="64">
        <v>28383</v>
      </c>
      <c r="G8" s="2"/>
      <c r="H8" s="21" t="s">
        <v>370</v>
      </c>
      <c r="I8" s="65">
        <f>IFERROR(
ROUND(
IF($A$2="COSTO",
   B8,
   B8
   *1.21
   *(1+IFERROR(VLOOKUP("PVC",PVC[],2,FALSE),0))
   *(1+IFERROR(VLOOKUP("PVC",PVC[],3,FALSE),0))
),0),0)</f>
        <v>30049</v>
      </c>
      <c r="J8" s="65">
        <f>IFERROR(
ROUND(
IF($A$2="COSTO",
   C8,
   C8
   *1.21
   *(1+IFERROR(VLOOKUP("PVC",PVC[],2,FALSE),0))
   *(1+IFERROR(VLOOKUP("PVC",PVC[],3,FALSE),0))
),0),0)</f>
        <v>36640</v>
      </c>
      <c r="K8" s="65">
        <f>IFERROR(
ROUND(
IF($A$2="COSTO",
   D8,
   D8
   *1.21
   *(1+IFERROR(VLOOKUP("PVC",PVC[],2,FALSE),0))
   *(1+IFERROR(VLOOKUP("PVC",PVC[],3,FALSE),0))
),0),0)</f>
        <v>35843</v>
      </c>
      <c r="L8" s="65">
        <f>IFERROR(
ROUND(
IF($A$2="COSTO",
   D8,
   D8
   *1.21
   *(1+IFERROR(VLOOKUP("PVC",PVC[],2,FALSE),0))
   *(1+IFERROR(VLOOKUP("PVC",PVC[],3,FALSE),0))
),0),0)</f>
        <v>35843</v>
      </c>
      <c r="M8" s="66">
        <f>IFERROR(
ROUND(
IF($A$2="COSTO",
   F8,
   F8
   *1.21
   *(1+IFERROR(VLOOKUP("PVC",PVC[],2,FALSE),0))
   *(1+IFERROR(VLOOKUP("PVC",PVC[],3,FALSE),0))
),0),0)</f>
        <v>55293</v>
      </c>
    </row>
    <row r="9" spans="1:13">
      <c r="A9" s="21" t="s">
        <v>371</v>
      </c>
      <c r="B9" s="64">
        <v>772</v>
      </c>
      <c r="C9" s="64">
        <v>962</v>
      </c>
      <c r="D9" s="64">
        <v>920</v>
      </c>
      <c r="E9" s="64">
        <v>1301</v>
      </c>
      <c r="F9" s="64">
        <v>1420</v>
      </c>
      <c r="G9" s="2"/>
      <c r="H9" s="21" t="s">
        <v>371</v>
      </c>
      <c r="I9" s="65">
        <f>IFERROR(
ROUND(
IF($A$2="COSTO",
   B9,
   B9
   *1.21
   *(1+IFERROR(VLOOKUP("PVC",PVC[],2,FALSE),0))
   *(1+IFERROR(VLOOKUP("PVC",PVC[],3,FALSE),0))
),0),0)</f>
        <v>1504</v>
      </c>
      <c r="J9" s="65">
        <f>IFERROR(
ROUND(
IF($A$2="COSTO",
   C9,
   C9
   *1.21
   *(1+IFERROR(VLOOKUP("PVC",PVC[],2,FALSE),0))
   *(1+IFERROR(VLOOKUP("PVC",PVC[],3,FALSE),0))
),0),0)</f>
        <v>1874</v>
      </c>
      <c r="K9" s="65">
        <f>IFERROR(
ROUND(
IF($A$2="COSTO",
   D9,
   D9
   *1.21
   *(1+IFERROR(VLOOKUP("PVC",PVC[],2,FALSE),0))
   *(1+IFERROR(VLOOKUP("PVC",PVC[],3,FALSE),0))
),0),0)</f>
        <v>1792</v>
      </c>
      <c r="L9" s="65">
        <f>IFERROR(
ROUND(
IF($A$2="COSTO",
   D9,
   D9
   *1.21
   *(1+IFERROR(VLOOKUP("PVC",PVC[],2,FALSE),0))
   *(1+IFERROR(VLOOKUP("PVC",PVC[],3,FALSE),0))
),0),0)</f>
        <v>1792</v>
      </c>
      <c r="M9" s="66">
        <f>IFERROR(
ROUND(
IF($A$2="COSTO",
   F9,
   F9
   *1.21
   *(1+IFERROR(VLOOKUP("PVC",PVC[],2,FALSE),0))
   *(1+IFERROR(VLOOKUP("PVC",PVC[],3,FALSE),0))
),0),0)</f>
        <v>2766</v>
      </c>
    </row>
    <row r="10" spans="1:13" ht="14.65" thickBot="1">
      <c r="A10" s="22" t="s">
        <v>372</v>
      </c>
      <c r="B10" s="64">
        <v>1743</v>
      </c>
      <c r="C10" s="64">
        <v>1743</v>
      </c>
      <c r="D10" s="64">
        <v>1743</v>
      </c>
      <c r="E10" s="64">
        <v>1743</v>
      </c>
      <c r="F10" s="64">
        <v>1901</v>
      </c>
      <c r="G10" s="2"/>
      <c r="H10" s="22" t="s">
        <v>372</v>
      </c>
      <c r="I10" s="65">
        <f>IFERROR(
ROUND(
IF($A$2="COSTO",
   B10,
   B10
   *1.21
   *(1+IFERROR(VLOOKUP("PVC",PVC[],2,FALSE),0))
   *(1+IFERROR(VLOOKUP("PVC",PVC[],3,FALSE),0))
),0),0)</f>
        <v>3396</v>
      </c>
      <c r="J10" s="65">
        <f>IFERROR(
ROUND(
IF($A$2="COSTO",
   C10,
   C10
   *1.21
   *(1+IFERROR(VLOOKUP("PVC",PVC[],2,FALSE),0))
   *(1+IFERROR(VLOOKUP("PVC",PVC[],3,FALSE),0))
),0),0)</f>
        <v>3396</v>
      </c>
      <c r="K10" s="65">
        <f>IFERROR(
ROUND(
IF($A$2="COSTO",
   D10,
   D10
   *1.21
   *(1+IFERROR(VLOOKUP("PVC",PVC[],2,FALSE),0))
   *(1+IFERROR(VLOOKUP("PVC",PVC[],3,FALSE),0))
),0),0)</f>
        <v>3396</v>
      </c>
      <c r="L10" s="65">
        <f>IFERROR(
ROUND(
IF($A$2="COSTO",
   D10,
   D10
   *1.21
   *(1+IFERROR(VLOOKUP("PVC",PVC[],2,FALSE),0))
   *(1+IFERROR(VLOOKUP("PVC",PVC[],3,FALSE),0))
),0),0)</f>
        <v>3396</v>
      </c>
      <c r="M10" s="66">
        <f>IFERROR(
ROUND(
IF($A$2="COSTO",
   F10,
   F10
   *1.21
   *(1+IFERROR(VLOOKUP("PVC",PVC[],2,FALSE),0))
   *(1+IFERROR(VLOOKUP("PVC",PVC[],3,FALSE),0))
),0),0)</f>
        <v>3703</v>
      </c>
    </row>
  </sheetData>
  <mergeCells count="2">
    <mergeCell ref="A5:F5"/>
    <mergeCell ref="H5:M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tabColor rgb="FFFF0000"/>
  </sheetPr>
  <dimension ref="A1:I47"/>
  <sheetViews>
    <sheetView zoomScale="70" zoomScaleNormal="70" workbookViewId="0">
      <selection activeCell="D9" sqref="D9"/>
    </sheetView>
  </sheetViews>
  <sheetFormatPr baseColWidth="10" defaultRowHeight="14.25"/>
  <cols>
    <col min="1" max="1" width="20.3984375" customWidth="1"/>
    <col min="6" max="6" width="20.3984375" customWidth="1"/>
    <col min="11" max="11" width="14.3984375" customWidth="1"/>
    <col min="13" max="13" width="16" customWidth="1"/>
  </cols>
  <sheetData>
    <row r="1" spans="1:9">
      <c r="A1" s="254" t="s">
        <v>34</v>
      </c>
      <c r="B1" s="255" t="s">
        <v>395</v>
      </c>
      <c r="C1" s="255" t="s">
        <v>396</v>
      </c>
      <c r="D1" s="256" t="s">
        <v>28</v>
      </c>
    </row>
    <row r="2" spans="1:9" ht="14.65" thickBot="1">
      <c r="A2" s="210" t="str">
        <f>CONTROL!B4</f>
        <v>VENTA</v>
      </c>
      <c r="B2" s="252" t="s">
        <v>398</v>
      </c>
      <c r="C2" s="252" t="str">
        <f>CONTROL!C4</f>
        <v>AMARILLA</v>
      </c>
      <c r="D2" s="253" t="str">
        <f>CONTROL!D4</f>
        <v>BLANCO</v>
      </c>
    </row>
    <row r="4" spans="1:9" ht="14.65" thickBot="1"/>
    <row r="5" spans="1:9">
      <c r="A5" s="322" t="s">
        <v>375</v>
      </c>
      <c r="B5" s="323"/>
      <c r="C5" s="323"/>
      <c r="D5" s="324"/>
      <c r="F5" s="322" t="s">
        <v>375</v>
      </c>
      <c r="G5" s="323"/>
      <c r="H5" s="323"/>
      <c r="I5" s="324"/>
    </row>
    <row r="6" spans="1:9" ht="14.65" thickBot="1">
      <c r="A6" s="325"/>
      <c r="B6" s="326"/>
      <c r="C6" s="326"/>
      <c r="D6" s="327"/>
      <c r="F6" s="325"/>
      <c r="G6" s="326"/>
      <c r="H6" s="326"/>
      <c r="I6" s="327"/>
    </row>
    <row r="7" spans="1:9">
      <c r="A7" s="328" t="s">
        <v>376</v>
      </c>
      <c r="B7" s="205" t="s">
        <v>377</v>
      </c>
      <c r="C7" s="206" t="s">
        <v>378</v>
      </c>
      <c r="D7" s="207" t="s">
        <v>379</v>
      </c>
      <c r="F7" s="328" t="s">
        <v>376</v>
      </c>
      <c r="G7" s="205" t="s">
        <v>377</v>
      </c>
      <c r="H7" s="206" t="s">
        <v>378</v>
      </c>
      <c r="I7" s="207" t="s">
        <v>379</v>
      </c>
    </row>
    <row r="8" spans="1:9" ht="14.65" thickBot="1">
      <c r="A8" s="329"/>
      <c r="B8" s="208" t="s">
        <v>390</v>
      </c>
      <c r="C8" s="209">
        <v>62100</v>
      </c>
      <c r="D8" s="209">
        <v>66000</v>
      </c>
      <c r="F8" s="329"/>
      <c r="G8" s="208" t="s">
        <v>390</v>
      </c>
      <c r="H8" s="209">
        <f>IFERROR(
ROUND(
IF($A$2="COSTO",
   C8*(1-0.09),
   C8*(1-0.09)
   *(1+VLOOKUP($C$2,LISTAS[],3,FALSE))
   *(1+VLOOKUP($C$2,LISTAS[],7,FALSE))
),0),0)</f>
        <v>80811</v>
      </c>
      <c r="I8" s="209">
        <f>IFERROR(
ROUND(
IF($A$2="COSTO",
   D8*(1-0.09),
   D8*(1-0.09)
   *(1+VLOOKUP($C$2,LISTAS[],3,FALSE))
   *(1+VLOOKUP($C$2,LISTAS[],7,FALSE))
),0),0)</f>
        <v>85886</v>
      </c>
    </row>
    <row r="9" spans="1:9">
      <c r="A9" s="328" t="s">
        <v>380</v>
      </c>
      <c r="B9" s="208" t="s">
        <v>393</v>
      </c>
      <c r="C9" s="209">
        <v>62100</v>
      </c>
      <c r="D9" s="209">
        <v>66000</v>
      </c>
      <c r="F9" s="328" t="s">
        <v>380</v>
      </c>
      <c r="G9" s="208" t="s">
        <v>393</v>
      </c>
      <c r="H9" s="209">
        <f>IFERROR(
ROUND(
IF($A$2="COSTO",
   C9*(1-0.09),
   C9*(1-0.09)
   *(1+VLOOKUP($C$2,LISTAS[],3,FALSE))
   *(1+VLOOKUP($C$2,LISTAS[],7,FALSE))
),0),0)</f>
        <v>80811</v>
      </c>
      <c r="I9" s="209">
        <f>IFERROR(
ROUND(
IF($A$2="COSTO",
   D9*(1-0.09),
   D9*(1-0.09)
   *(1+VLOOKUP($C$2,LISTAS[],3,FALSE))
   *(1+VLOOKUP($C$2,LISTAS[],7,FALSE))
),0),0)</f>
        <v>85886</v>
      </c>
    </row>
    <row r="10" spans="1:9" ht="14.65" thickBot="1">
      <c r="A10" s="330"/>
      <c r="B10" s="210" t="s">
        <v>394</v>
      </c>
      <c r="C10" s="209">
        <v>66000</v>
      </c>
      <c r="D10" s="209">
        <v>70100</v>
      </c>
      <c r="F10" s="330"/>
      <c r="G10" s="210" t="s">
        <v>394</v>
      </c>
      <c r="H10" s="209">
        <f>IFERROR(
ROUND(
IF($A$2="COSTO",
   C10*(1-0.09),
   C10*(1-0.09)
   *(1+VLOOKUP($C$2,LISTAS[],3,FALSE))
   *(1+VLOOKUP($C$2,LISTAS[],7,FALSE))
),0),0)</f>
        <v>85886</v>
      </c>
      <c r="I10" s="209">
        <f>IFERROR(
ROUND(
IF($A$2="COSTO",
   D10*(1-0.09),
   D10*(1-0.09)
   *(1+VLOOKUP($C$2,LISTAS[],3,FALSE))
   *(1+VLOOKUP($C$2,LISTAS[],7,FALSE))
),0),0)</f>
        <v>91221</v>
      </c>
    </row>
    <row r="11" spans="1:9" ht="14.65" thickBot="1">
      <c r="H11" s="209"/>
      <c r="I11" s="209"/>
    </row>
    <row r="12" spans="1:9">
      <c r="A12" s="328" t="s">
        <v>381</v>
      </c>
      <c r="B12" s="205" t="s">
        <v>377</v>
      </c>
      <c r="C12" s="206" t="s">
        <v>378</v>
      </c>
      <c r="D12" s="207" t="s">
        <v>379</v>
      </c>
      <c r="F12" s="328" t="s">
        <v>382</v>
      </c>
      <c r="G12" s="205" t="s">
        <v>377</v>
      </c>
      <c r="H12" s="206" t="s">
        <v>378</v>
      </c>
      <c r="I12" s="207" t="s">
        <v>379</v>
      </c>
    </row>
    <row r="13" spans="1:9" ht="14.65" thickBot="1">
      <c r="A13" s="329"/>
      <c r="B13" s="208" t="s">
        <v>390</v>
      </c>
      <c r="C13" s="209">
        <v>112717</v>
      </c>
      <c r="D13" s="209">
        <v>117180</v>
      </c>
      <c r="F13" s="329"/>
      <c r="G13" s="208" t="s">
        <v>390</v>
      </c>
      <c r="H13" s="209">
        <f>IFERROR(
ROUND(
IF($A$2="COSTO",
   C13*(1-0.09),
   C13*(1-0.09)
   *(1+VLOOKUP($C$2,LISTAS[],3,FALSE))
   *(1+VLOOKUP($C$2,LISTAS[],7,FALSE))
),0),0)</f>
        <v>146679</v>
      </c>
      <c r="I13" s="209">
        <f>IFERROR(
ROUND(
IF($A$2="COSTO",
   D13*(1-0.09),
   D13*(1-0.09)
   *(1+VLOOKUP($C$2,LISTAS[],3,FALSE))
   *(1+VLOOKUP($C$2,LISTAS[],7,FALSE))
),0),0)</f>
        <v>152486</v>
      </c>
    </row>
    <row r="14" spans="1:9">
      <c r="A14" s="328" t="s">
        <v>383</v>
      </c>
      <c r="B14" s="208" t="s">
        <v>393</v>
      </c>
      <c r="C14" s="209">
        <v>112717</v>
      </c>
      <c r="D14" s="209">
        <v>117180</v>
      </c>
      <c r="F14" s="328" t="s">
        <v>380</v>
      </c>
      <c r="G14" s="208" t="s">
        <v>393</v>
      </c>
      <c r="H14" s="209">
        <f>IFERROR(
ROUND(
IF($A$2="COSTO",
   C14*(1-0.09),
   C14*(1-0.09)
   *(1+VLOOKUP($C$2,LISTAS[],3,FALSE))
   *(1+VLOOKUP($C$2,LISTAS[],7,FALSE))
),0),0)</f>
        <v>146679</v>
      </c>
      <c r="I14" s="209">
        <f>IFERROR(
ROUND(
IF($A$2="COSTO",
   D14*(1-0.09),
   D14*(1-0.09)
   *(1+VLOOKUP($C$2,LISTAS[],3,FALSE))
   *(1+VLOOKUP($C$2,LISTAS[],7,FALSE))
),0),0)</f>
        <v>152486</v>
      </c>
    </row>
    <row r="15" spans="1:9" ht="14.65" thickBot="1">
      <c r="A15" s="330"/>
      <c r="B15" s="210" t="s">
        <v>394</v>
      </c>
      <c r="C15" s="209">
        <v>116550</v>
      </c>
      <c r="D15" s="209">
        <v>122300</v>
      </c>
      <c r="F15" s="330"/>
      <c r="G15" s="210" t="s">
        <v>394</v>
      </c>
      <c r="H15" s="209">
        <f>IFERROR(
ROUND(
IF($A$2="COSTO",
   C15*(1-0.09),
   C15*(1-0.09)
   *(1+VLOOKUP($C$2,LISTAS[],3,FALSE))
   *(1+VLOOKUP($C$2,LISTAS[],7,FALSE))
),0),0)</f>
        <v>151667</v>
      </c>
      <c r="I15" s="209">
        <f>IFERROR(
ROUND(
IF($A$2="COSTO",
   D15*(1-0.09),
   D15*(1-0.09)
   *(1+VLOOKUP($C$2,LISTAS[],3,FALSE))
   *(1+VLOOKUP($C$2,LISTAS[],7,FALSE))
),0),0)</f>
        <v>159149</v>
      </c>
    </row>
    <row r="16" spans="1:9" ht="14.65" thickBot="1">
      <c r="H16" s="209"/>
      <c r="I16" s="209"/>
    </row>
    <row r="17" spans="1:9">
      <c r="A17" s="328" t="s">
        <v>382</v>
      </c>
      <c r="B17" s="205" t="s">
        <v>377</v>
      </c>
      <c r="C17" s="206" t="s">
        <v>378</v>
      </c>
      <c r="D17" s="207" t="s">
        <v>379</v>
      </c>
      <c r="F17" s="328" t="s">
        <v>382</v>
      </c>
      <c r="G17" s="205" t="s">
        <v>377</v>
      </c>
      <c r="H17" s="206" t="s">
        <v>378</v>
      </c>
      <c r="I17" s="207" t="s">
        <v>379</v>
      </c>
    </row>
    <row r="18" spans="1:9" ht="14.65" thickBot="1">
      <c r="A18" s="329"/>
      <c r="B18" s="208" t="s">
        <v>390</v>
      </c>
      <c r="C18" s="209">
        <v>184297</v>
      </c>
      <c r="D18" s="209">
        <v>204498</v>
      </c>
      <c r="F18" s="329"/>
      <c r="G18" s="208" t="s">
        <v>390</v>
      </c>
      <c r="H18" s="209">
        <f>IFERROR(
ROUND(
IF($A$2="COSTO",
   C18*(1-0.09),
   C18*(1-0.09)
   *(1+VLOOKUP($C$2,LISTAS[],3,FALSE))
   *(1+VLOOKUP($C$2,LISTAS[],7,FALSE))
),0),0)</f>
        <v>239826</v>
      </c>
      <c r="I18" s="209">
        <f>IFERROR(
ROUND(
IF($A$2="COSTO",
   D18*(1-0.09),
   D18*(1-0.09)
   *(1+VLOOKUP($C$2,LISTAS[],3,FALSE))
   *(1+VLOOKUP($C$2,LISTAS[],7,FALSE))
),0),0)</f>
        <v>266113</v>
      </c>
    </row>
    <row r="19" spans="1:9">
      <c r="A19" s="328" t="s">
        <v>383</v>
      </c>
      <c r="B19" s="208" t="s">
        <v>393</v>
      </c>
      <c r="C19" s="209">
        <v>184297</v>
      </c>
      <c r="D19" s="209">
        <v>204498</v>
      </c>
      <c r="F19" s="328" t="s">
        <v>383</v>
      </c>
      <c r="G19" s="208" t="s">
        <v>393</v>
      </c>
      <c r="H19" s="209">
        <f>IFERROR(
ROUND(
IF($A$2="COSTO",
   C19*(1-0.09),
   C19*(1-0.09)
   *(1+VLOOKUP($C$2,LISTAS[],3,FALSE))
   *(1+VLOOKUP($C$2,LISTAS[],7,FALSE))
),0),0)</f>
        <v>239826</v>
      </c>
      <c r="I19" s="209">
        <f>IFERROR(
ROUND(
IF($A$2="COSTO",
   D19*(1-0.09),
   D19*(1-0.09)
   *(1+VLOOKUP($C$2,LISTAS[],3,FALSE))
   *(1+VLOOKUP($C$2,LISTAS[],7,FALSE))
),0),0)</f>
        <v>266113</v>
      </c>
    </row>
    <row r="20" spans="1:9" ht="14.65" thickBot="1">
      <c r="A20" s="330"/>
      <c r="B20" s="210" t="s">
        <v>394</v>
      </c>
      <c r="C20" s="209">
        <v>194121</v>
      </c>
      <c r="D20" s="209">
        <v>208575</v>
      </c>
      <c r="F20" s="330"/>
      <c r="G20" s="210" t="s">
        <v>394</v>
      </c>
      <c r="H20" s="209">
        <f>IFERROR(
ROUND(
IF($A$2="COSTO",
   C20*(1-0.09),
   C20*(1-0.09)
   *(1+VLOOKUP($C$2,LISTAS[],3,FALSE))
   *(1+VLOOKUP($C$2,LISTAS[],7,FALSE))
),0),0)</f>
        <v>252610</v>
      </c>
      <c r="I20" s="209">
        <f>IFERROR(
ROUND(
IF($A$2="COSTO",
   D20*(1-0.09),
   D20*(1-0.09)
   *(1+VLOOKUP($C$2,LISTAS[],3,FALSE))
   *(1+VLOOKUP($C$2,LISTAS[],7,FALSE))
),0),0)</f>
        <v>271419</v>
      </c>
    </row>
    <row r="21" spans="1:9" ht="14.65" thickBot="1">
      <c r="H21" s="209"/>
    </row>
    <row r="22" spans="1:9">
      <c r="A22" s="328" t="s">
        <v>384</v>
      </c>
      <c r="B22" s="205" t="s">
        <v>377</v>
      </c>
      <c r="C22" s="211" t="s">
        <v>384</v>
      </c>
      <c r="F22" s="328" t="s">
        <v>384</v>
      </c>
      <c r="G22" s="205" t="s">
        <v>377</v>
      </c>
      <c r="H22" s="211" t="s">
        <v>384</v>
      </c>
    </row>
    <row r="23" spans="1:9" ht="14.65" thickBot="1">
      <c r="A23" s="329"/>
      <c r="B23" s="208" t="s">
        <v>390</v>
      </c>
      <c r="C23" s="209">
        <v>64350</v>
      </c>
      <c r="F23" s="329"/>
      <c r="G23" s="208" t="s">
        <v>390</v>
      </c>
      <c r="H23" s="209">
        <f>IFERROR(
ROUND(
IF($A$2="COSTO",
   C23*(1-0.09),
   C23*(1-0.09)
   *(1+VLOOKUP($C$2,LISTAS[],3,FALSE))
   *(1+VLOOKUP($C$2,LISTAS[],7,FALSE))
),0),0)</f>
        <v>83739</v>
      </c>
    </row>
    <row r="24" spans="1:9">
      <c r="A24" s="328" t="s">
        <v>380</v>
      </c>
      <c r="B24" s="208" t="s">
        <v>393</v>
      </c>
      <c r="C24" s="209">
        <v>64350</v>
      </c>
      <c r="F24" s="328" t="s">
        <v>380</v>
      </c>
      <c r="G24" s="208" t="s">
        <v>393</v>
      </c>
      <c r="H24" s="209">
        <f>IFERROR(
ROUND(
IF($A$2="COSTO",
   C24*(1-0.09),
   C24*(1-0.09)
   *(1+VLOOKUP($C$2,LISTAS[],3,FALSE))
   *(1+VLOOKUP($C$2,LISTAS[],7,FALSE))
),0),0)</f>
        <v>83739</v>
      </c>
    </row>
    <row r="25" spans="1:9" ht="14.65" thickBot="1">
      <c r="A25" s="330"/>
      <c r="B25" s="210" t="s">
        <v>394</v>
      </c>
      <c r="C25" s="209">
        <v>67260</v>
      </c>
      <c r="F25" s="330"/>
      <c r="G25" s="210" t="s">
        <v>394</v>
      </c>
      <c r="H25" s="209">
        <f>IFERROR(
ROUND(
IF($A$2="COSTO",
   C25*(1-0.09),
   C25*(1-0.09)
   *(1+VLOOKUP($C$2,LISTAS[],3,FALSE))
   *(1+VLOOKUP($C$2,LISTAS[],7,FALSE))
),0),0)</f>
        <v>87525</v>
      </c>
    </row>
    <row r="26" spans="1:9" ht="16.149999999999999" thickBot="1">
      <c r="A26" s="212"/>
      <c r="B26" s="4"/>
      <c r="C26" s="213"/>
      <c r="F26" s="212"/>
      <c r="G26" s="4"/>
      <c r="H26" s="209"/>
    </row>
    <row r="27" spans="1:9">
      <c r="A27" s="328" t="s">
        <v>384</v>
      </c>
      <c r="B27" s="205" t="s">
        <v>377</v>
      </c>
      <c r="C27" s="211" t="s">
        <v>384</v>
      </c>
      <c r="F27" s="328" t="s">
        <v>384</v>
      </c>
      <c r="G27" s="205" t="s">
        <v>377</v>
      </c>
      <c r="H27" s="211" t="s">
        <v>384</v>
      </c>
    </row>
    <row r="28" spans="1:9" ht="14.65" thickBot="1">
      <c r="A28" s="329"/>
      <c r="B28" s="208" t="s">
        <v>390</v>
      </c>
      <c r="C28" s="209">
        <v>133075</v>
      </c>
      <c r="F28" s="329"/>
      <c r="G28" s="208" t="s">
        <v>390</v>
      </c>
      <c r="H28" s="209">
        <f>IFERROR(
ROUND(
IF($A$2="COSTO",
   C28*(1-0.09),
   C28*(1-0.09)
   *(1+VLOOKUP($C$2,LISTAS[],3,FALSE))
   *(1+VLOOKUP($C$2,LISTAS[],7,FALSE))
),0),0)</f>
        <v>173170</v>
      </c>
    </row>
    <row r="29" spans="1:9">
      <c r="A29" s="328" t="s">
        <v>383</v>
      </c>
      <c r="B29" s="208" t="s">
        <v>393</v>
      </c>
      <c r="C29" s="209">
        <v>133875</v>
      </c>
      <c r="F29" s="328" t="s">
        <v>383</v>
      </c>
      <c r="G29" s="208" t="s">
        <v>393</v>
      </c>
      <c r="H29" s="209">
        <f>IFERROR(
ROUND(
IF($A$2="COSTO",
   C29*(1-0.09),
   C29*(1-0.09)
   *(1+VLOOKUP($C$2,LISTAS[],3,FALSE))
   *(1+VLOOKUP($C$2,LISTAS[],7,FALSE))
),0),0)</f>
        <v>174212</v>
      </c>
    </row>
    <row r="30" spans="1:9" ht="14.65" thickBot="1">
      <c r="A30" s="330"/>
      <c r="B30" s="210" t="s">
        <v>394</v>
      </c>
      <c r="C30" s="209">
        <v>145763</v>
      </c>
      <c r="F30" s="330"/>
      <c r="G30" s="210" t="s">
        <v>394</v>
      </c>
      <c r="H30" s="209">
        <f>IFERROR(
ROUND(
IF($A$2="COSTO",
   C30*(1-0.09),
   C30*(1-0.09)
   *(1+VLOOKUP($C$2,LISTAS[],3,FALSE))
   *(1+VLOOKUP($C$2,LISTAS[],7,FALSE))
),0),0)</f>
        <v>189681</v>
      </c>
    </row>
    <row r="31" spans="1:9" ht="14.65" thickBot="1"/>
    <row r="32" spans="1:9">
      <c r="A32" s="322" t="s">
        <v>385</v>
      </c>
      <c r="B32" s="323"/>
      <c r="C32" s="323"/>
      <c r="D32" s="324"/>
      <c r="F32" s="322" t="s">
        <v>385</v>
      </c>
      <c r="G32" s="323"/>
      <c r="H32" s="323"/>
      <c r="I32" s="324"/>
    </row>
    <row r="33" spans="1:9" ht="14.65" thickBot="1">
      <c r="A33" s="325"/>
      <c r="B33" s="326"/>
      <c r="C33" s="326"/>
      <c r="D33" s="327"/>
      <c r="F33" s="325"/>
      <c r="G33" s="326"/>
      <c r="H33" s="326"/>
      <c r="I33" s="327"/>
    </row>
    <row r="34" spans="1:9">
      <c r="A34" s="328" t="s">
        <v>386</v>
      </c>
      <c r="B34" s="205" t="s">
        <v>377</v>
      </c>
      <c r="C34" s="206" t="s">
        <v>378</v>
      </c>
      <c r="D34" s="207" t="s">
        <v>379</v>
      </c>
      <c r="F34" s="328" t="s">
        <v>386</v>
      </c>
      <c r="G34" s="205" t="s">
        <v>377</v>
      </c>
      <c r="H34" s="206" t="s">
        <v>378</v>
      </c>
      <c r="I34" s="207" t="s">
        <v>379</v>
      </c>
    </row>
    <row r="35" spans="1:9" ht="14.65" thickBot="1">
      <c r="A35" s="329"/>
      <c r="B35" s="208" t="s">
        <v>390</v>
      </c>
      <c r="C35" s="209">
        <v>0</v>
      </c>
      <c r="D35" s="209">
        <v>174350</v>
      </c>
      <c r="F35" s="329"/>
      <c r="G35" s="208" t="s">
        <v>390</v>
      </c>
      <c r="H35" s="214">
        <f>IFERROR(
ROUND(
IF($A$2="COSTO",
   C8*(1-0.09),
   C35*(1-0.09)
   *(1+VLOOKUP($C$2,LISTAS[],3,FALSE))
   *(1+VLOOKUP($C$2,LISTAS[],7,FALSE))
),0),0)</f>
        <v>0</v>
      </c>
      <c r="I35" s="214">
        <f>IFERROR(
ROUND(
IF($A$2="COSTO",
   D8*(1-0.09),
   D35*(1-0.09)
   *(1+VLOOKUP($C$2,LISTAS[],3,FALSE))
   *(1+VLOOKUP($C$2,LISTAS[],7,FALSE))
),0),0)</f>
        <v>226882</v>
      </c>
    </row>
    <row r="36" spans="1:9">
      <c r="A36" s="328" t="s">
        <v>387</v>
      </c>
      <c r="B36" s="208" t="s">
        <v>393</v>
      </c>
      <c r="C36" s="209">
        <v>0</v>
      </c>
      <c r="D36" s="209">
        <v>174350</v>
      </c>
      <c r="F36" s="328" t="s">
        <v>387</v>
      </c>
      <c r="G36" s="208" t="s">
        <v>393</v>
      </c>
      <c r="H36" s="214">
        <f>IFERROR(
ROUND(
IF($A$2="COSTO",
   C9*(1-0.09),
   C36*(1-0.09)
   *(1+VLOOKUP($C$2,LISTAS[],3,FALSE))
   *(1+VLOOKUP($C$2,LISTAS[],7,FALSE))
),0),0)</f>
        <v>0</v>
      </c>
      <c r="I36" s="214">
        <f>IFERROR(
ROUND(
IF($A$2="COSTO",
   D9*(1-0.09),
   D36*(1-0.09)
   *(1+VLOOKUP($C$2,LISTAS[],3,FALSE))
   *(1+VLOOKUP($C$2,LISTAS[],7,FALSE))
),0),0)</f>
        <v>226882</v>
      </c>
    </row>
    <row r="37" spans="1:9" ht="14.65" thickBot="1">
      <c r="A37" s="330"/>
      <c r="B37" s="210" t="s">
        <v>394</v>
      </c>
      <c r="C37" s="209">
        <v>0</v>
      </c>
      <c r="D37" s="209">
        <v>186300</v>
      </c>
      <c r="F37" s="330"/>
      <c r="G37" s="210" t="s">
        <v>394</v>
      </c>
      <c r="H37" s="214">
        <f>IFERROR(
ROUND(
IF($A$2="COSTO",
   C10*(1-0.09),
   C37*(1-0.09)
   *(1+VLOOKUP($C$2,LISTAS[],3,FALSE))
   *(1+VLOOKUP($C$2,LISTAS[],7,FALSE))
),0),0)</f>
        <v>0</v>
      </c>
      <c r="I37" s="214">
        <f>IFERROR(
ROUND(
IF($A$2="COSTO",
   D10*(1-0.09),
   D37*(1-0.09)
   *(1+VLOOKUP($C$2,LISTAS[],3,FALSE))
   *(1+VLOOKUP($C$2,LISTAS[],7,FALSE))
),0),0)</f>
        <v>242432</v>
      </c>
    </row>
    <row r="38" spans="1:9" ht="14.65" thickBot="1">
      <c r="H38" s="214"/>
      <c r="I38" s="214"/>
    </row>
    <row r="39" spans="1:9">
      <c r="A39" s="328" t="s">
        <v>386</v>
      </c>
      <c r="B39" s="205" t="s">
        <v>377</v>
      </c>
      <c r="C39" s="206" t="s">
        <v>378</v>
      </c>
      <c r="D39" s="207" t="s">
        <v>379</v>
      </c>
      <c r="F39" s="328" t="s">
        <v>386</v>
      </c>
      <c r="G39" s="205" t="s">
        <v>377</v>
      </c>
      <c r="H39" s="206" t="s">
        <v>378</v>
      </c>
      <c r="I39" s="207" t="s">
        <v>379</v>
      </c>
    </row>
    <row r="40" spans="1:9" ht="14.65" thickBot="1">
      <c r="A40" s="329"/>
      <c r="B40" s="208" t="s">
        <v>390</v>
      </c>
      <c r="C40" s="209">
        <v>0</v>
      </c>
      <c r="D40" s="209">
        <v>206731</v>
      </c>
      <c r="F40" s="329"/>
      <c r="G40" s="208" t="s">
        <v>390</v>
      </c>
      <c r="H40" s="214">
        <f>IFERROR(
ROUND(
IF($A$2="COSTO",
   C13*(1-0.09),
   C40*(1-0.09)
   *(1+VLOOKUP($C$2,LISTAS[],3,FALSE))
   *(1+VLOOKUP($C$2,LISTAS[],7,FALSE))
),0),0)</f>
        <v>0</v>
      </c>
      <c r="I40" s="214">
        <f>IFERROR(
ROUND(
IF($A$2="COSTO",
   D13*(1-0.09),
   D40*(1-0.09)
   *(1+VLOOKUP($C$2,LISTAS[],3,FALSE))
   *(1+VLOOKUP($C$2,LISTAS[],7,FALSE))
),0),0)</f>
        <v>269019</v>
      </c>
    </row>
    <row r="41" spans="1:9">
      <c r="A41" s="328" t="s">
        <v>388</v>
      </c>
      <c r="B41" s="208" t="s">
        <v>393</v>
      </c>
      <c r="C41" s="209">
        <v>0</v>
      </c>
      <c r="D41" s="209">
        <v>206731</v>
      </c>
      <c r="F41" s="328" t="s">
        <v>388</v>
      </c>
      <c r="G41" s="208" t="s">
        <v>393</v>
      </c>
      <c r="H41" s="214">
        <f>IFERROR(
ROUND(
IF($A$2="COSTO",
   C14*(1-0.09),
   C41*(1-0.09)
   *(1+VLOOKUP($C$2,LISTAS[],3,FALSE))
   *(1+VLOOKUP($C$2,LISTAS[],7,FALSE))
),0),0)</f>
        <v>0</v>
      </c>
      <c r="I41" s="214">
        <f>IFERROR(
ROUND(
IF($A$2="COSTO",
   D14*(1-0.09),
   D41*(1-0.09)
   *(1+VLOOKUP($C$2,LISTAS[],3,FALSE))
   *(1+VLOOKUP($C$2,LISTAS[],7,FALSE))
),0),0)</f>
        <v>269019</v>
      </c>
    </row>
    <row r="42" spans="1:9" ht="14.65" thickBot="1">
      <c r="A42" s="330"/>
      <c r="B42" s="210" t="s">
        <v>394</v>
      </c>
      <c r="C42" s="209">
        <v>0</v>
      </c>
      <c r="D42" s="209">
        <v>208285</v>
      </c>
      <c r="F42" s="330"/>
      <c r="G42" s="210" t="s">
        <v>394</v>
      </c>
      <c r="H42" s="214">
        <f>IFERROR(
ROUND(
IF($A$2="COSTO",
   C15*(1-0.09),
   C42*(1-0.09)
   *(1+VLOOKUP($C$2,LISTAS[],3,FALSE))
   *(1+VLOOKUP($C$2,LISTAS[],7,FALSE))
),0),0)</f>
        <v>0</v>
      </c>
      <c r="I42" s="214">
        <f>IFERROR(
ROUND(
IF($A$2="COSTO",
   D15*(1-0.09),
   D42*(1-0.09)
   *(1+VLOOKUP($C$2,LISTAS[],3,FALSE))
   *(1+VLOOKUP($C$2,LISTAS[],7,FALSE))
),0),0)</f>
        <v>271041</v>
      </c>
    </row>
    <row r="43" spans="1:9" ht="14.65" thickBot="1">
      <c r="H43" s="214"/>
      <c r="I43" s="214"/>
    </row>
    <row r="44" spans="1:9">
      <c r="A44" s="328" t="s">
        <v>389</v>
      </c>
      <c r="B44" s="205" t="s">
        <v>377</v>
      </c>
      <c r="C44" s="206" t="s">
        <v>378</v>
      </c>
      <c r="D44" s="207" t="s">
        <v>379</v>
      </c>
      <c r="F44" s="328" t="s">
        <v>389</v>
      </c>
      <c r="G44" s="205" t="s">
        <v>377</v>
      </c>
      <c r="H44" s="206" t="s">
        <v>378</v>
      </c>
      <c r="I44" s="207" t="s">
        <v>379</v>
      </c>
    </row>
    <row r="45" spans="1:9" ht="14.65" thickBot="1">
      <c r="A45" s="329"/>
      <c r="B45" s="208" t="s">
        <v>390</v>
      </c>
      <c r="C45" s="209">
        <v>0</v>
      </c>
      <c r="D45" s="209">
        <v>271005</v>
      </c>
      <c r="F45" s="329"/>
      <c r="G45" s="208" t="s">
        <v>390</v>
      </c>
      <c r="H45" s="214">
        <f>IFERROR(
ROUND(
IF($A$2="COSTO",
   C18*(1-0.09),
   C45*(1-0.09)
   *(1+VLOOKUP($C$2,LISTAS[],3,FALSE))
   *(1+VLOOKUP($C$2,LISTAS[],7,FALSE))
),0),0)</f>
        <v>0</v>
      </c>
      <c r="I45" s="214">
        <f>IFERROR(
ROUND(
IF($A$2="COSTO",
   D18*(1-0.09),
   D45*(1-0.09)
   *(1+VLOOKUP($C$2,LISTAS[],3,FALSE))
   *(1+VLOOKUP($C$2,LISTAS[],7,FALSE))
),0),0)</f>
        <v>352659</v>
      </c>
    </row>
    <row r="46" spans="1:9">
      <c r="A46" s="328" t="s">
        <v>388</v>
      </c>
      <c r="B46" s="208" t="s">
        <v>393</v>
      </c>
      <c r="C46" s="209">
        <v>0</v>
      </c>
      <c r="D46" s="209">
        <v>271005</v>
      </c>
      <c r="F46" s="328" t="s">
        <v>388</v>
      </c>
      <c r="G46" s="208" t="s">
        <v>393</v>
      </c>
      <c r="H46" s="214">
        <f>IFERROR(
ROUND(
IF($A$2="COSTO",
   C19*(1-0.09),
   C46*(1-0.09)
   *(1+VLOOKUP($C$2,LISTAS[],3,FALSE))
   *(1+VLOOKUP($C$2,LISTAS[],7,FALSE))
),0),0)</f>
        <v>0</v>
      </c>
      <c r="I46" s="214">
        <f>IFERROR(
ROUND(
IF($A$2="COSTO",
   D19*(1-0.09),
   D46*(1-0.09)
   *(1+VLOOKUP($C$2,LISTAS[],3,FALSE))
   *(1+VLOOKUP($C$2,LISTAS[],7,FALSE))
),0),0)</f>
        <v>352659</v>
      </c>
    </row>
    <row r="47" spans="1:9" ht="14.65" thickBot="1">
      <c r="A47" s="330"/>
      <c r="B47" s="210" t="s">
        <v>394</v>
      </c>
      <c r="C47" s="209">
        <v>0</v>
      </c>
      <c r="D47" s="209">
        <v>286182</v>
      </c>
      <c r="F47" s="330"/>
      <c r="G47" s="210" t="s">
        <v>394</v>
      </c>
      <c r="H47" s="214">
        <f>IFERROR(
ROUND(
IF($A$2="COSTO",
   C20*(1-0.09),
   C47*(1-0.09)
   *(1+VLOOKUP($C$2,LISTAS[],3,FALSE))
   *(1+VLOOKUP($C$2,LISTAS[],7,FALSE))
),0),0)</f>
        <v>0</v>
      </c>
      <c r="I47" s="214">
        <f>IFERROR(
ROUND(
IF($A$2="COSTO",
   D20*(1-0.09),
   D47*(1-0.09)
   *(1+VLOOKUP($C$2,LISTAS[],3,FALSE))
   *(1+VLOOKUP($C$2,LISTAS[],7,FALSE))
),0),0)</f>
        <v>372409</v>
      </c>
    </row>
  </sheetData>
  <mergeCells count="36">
    <mergeCell ref="A41:A42"/>
    <mergeCell ref="F41:F42"/>
    <mergeCell ref="A44:A45"/>
    <mergeCell ref="F44:F45"/>
    <mergeCell ref="A46:A47"/>
    <mergeCell ref="F46:F47"/>
    <mergeCell ref="A34:A35"/>
    <mergeCell ref="F34:F35"/>
    <mergeCell ref="A36:A37"/>
    <mergeCell ref="F36:F37"/>
    <mergeCell ref="A39:A40"/>
    <mergeCell ref="F39:F40"/>
    <mergeCell ref="A27:A28"/>
    <mergeCell ref="F27:F28"/>
    <mergeCell ref="A29:A30"/>
    <mergeCell ref="F29:F30"/>
    <mergeCell ref="A32:D33"/>
    <mergeCell ref="F32:I33"/>
    <mergeCell ref="A19:A20"/>
    <mergeCell ref="F19:F20"/>
    <mergeCell ref="A22:A23"/>
    <mergeCell ref="F22:F23"/>
    <mergeCell ref="A24:A25"/>
    <mergeCell ref="F24:F25"/>
    <mergeCell ref="A12:A13"/>
    <mergeCell ref="F12:F13"/>
    <mergeCell ref="A14:A15"/>
    <mergeCell ref="F14:F15"/>
    <mergeCell ref="A17:A18"/>
    <mergeCell ref="F17:F18"/>
    <mergeCell ref="A5:D6"/>
    <mergeCell ref="F5:I6"/>
    <mergeCell ref="A7:A8"/>
    <mergeCell ref="F7:F8"/>
    <mergeCell ref="A9:A10"/>
    <mergeCell ref="F9:F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rgb="FF00B050"/>
    <pageSetUpPr fitToPage="1"/>
  </sheetPr>
  <dimension ref="B6:G64"/>
  <sheetViews>
    <sheetView topLeftCell="A24" zoomScale="85" zoomScaleNormal="85" workbookViewId="0">
      <selection activeCell="D37" sqref="D37"/>
    </sheetView>
  </sheetViews>
  <sheetFormatPr baseColWidth="10" defaultColWidth="11.3984375" defaultRowHeight="12.75"/>
  <cols>
    <col min="1" max="2" width="11.3984375" style="25"/>
    <col min="3" max="3" width="15" style="25" customWidth="1"/>
    <col min="4" max="4" width="15.59765625" style="25" customWidth="1"/>
    <col min="5" max="5" width="13.86328125" style="25" customWidth="1"/>
    <col min="6" max="6" width="13.59765625" style="25" customWidth="1"/>
    <col min="7" max="16384" width="11.3984375" style="25"/>
  </cols>
  <sheetData>
    <row r="6" spans="2:7" ht="15.75">
      <c r="B6" s="331" t="s">
        <v>21</v>
      </c>
      <c r="C6" s="331"/>
      <c r="D6" s="331"/>
      <c r="E6" s="331"/>
      <c r="F6" s="331"/>
    </row>
    <row r="7" spans="2:7" ht="15.75">
      <c r="B7" s="331" t="s">
        <v>22</v>
      </c>
      <c r="C7" s="331"/>
      <c r="D7" s="331"/>
      <c r="E7" s="331"/>
      <c r="F7" s="331"/>
    </row>
    <row r="8" spans="2:7" ht="13.15" thickBot="1"/>
    <row r="9" spans="2:7" ht="21.4" thickBot="1">
      <c r="B9" s="332" t="s">
        <v>23</v>
      </c>
      <c r="C9" s="333"/>
      <c r="D9" s="333"/>
      <c r="E9" s="333"/>
      <c r="F9" s="334"/>
      <c r="G9" s="26"/>
    </row>
    <row r="10" spans="2:7" ht="17.25" thickBot="1">
      <c r="B10" s="27" t="s">
        <v>24</v>
      </c>
      <c r="C10" s="28" t="s">
        <v>25</v>
      </c>
      <c r="D10" s="28" t="s">
        <v>121</v>
      </c>
      <c r="E10" s="28" t="s">
        <v>26</v>
      </c>
      <c r="F10" s="29" t="s">
        <v>27</v>
      </c>
    </row>
    <row r="11" spans="2:7" ht="14.25">
      <c r="B11" s="30" t="s">
        <v>6</v>
      </c>
      <c r="C11" s="5">
        <f>'ventana herrero'!H7</f>
        <v>29040</v>
      </c>
      <c r="D11" s="5">
        <f>'ventana herrero'!I7</f>
        <v>33585</v>
      </c>
      <c r="E11" s="5">
        <f>'ventana herrero'!J7</f>
        <v>9720</v>
      </c>
      <c r="F11" s="6">
        <f>'ventana herrero'!K7</f>
        <v>36265</v>
      </c>
    </row>
    <row r="12" spans="2:7" ht="14.25">
      <c r="B12" s="31" t="s">
        <v>7</v>
      </c>
      <c r="C12" s="5">
        <f>'ventana herrero'!H8</f>
        <v>42660</v>
      </c>
      <c r="D12" s="5">
        <f>'ventana herrero'!I8</f>
        <v>51200</v>
      </c>
      <c r="E12" s="5">
        <f>'ventana herrero'!J8</f>
        <v>15865</v>
      </c>
      <c r="F12" s="6">
        <f>'ventana herrero'!K8</f>
        <v>55460</v>
      </c>
    </row>
    <row r="13" spans="2:7" ht="14.25">
      <c r="B13" s="31" t="s">
        <v>8</v>
      </c>
      <c r="C13" s="5">
        <f>'ventana herrero'!H9</f>
        <v>46860</v>
      </c>
      <c r="D13" s="5">
        <f>'ventana herrero'!I9</f>
        <v>55400</v>
      </c>
      <c r="E13" s="5">
        <f>'ventana herrero'!J9</f>
        <v>18190</v>
      </c>
      <c r="F13" s="6">
        <f>'ventana herrero'!K9</f>
        <v>60920</v>
      </c>
    </row>
    <row r="14" spans="2:7" ht="14.25">
      <c r="B14" s="31" t="s">
        <v>9</v>
      </c>
      <c r="C14" s="5">
        <f>'ventana herrero'!H10</f>
        <v>52460</v>
      </c>
      <c r="D14" s="5">
        <f>'ventana herrero'!I10</f>
        <v>60995</v>
      </c>
      <c r="E14" s="5">
        <f>'ventana herrero'!J10</f>
        <v>20515</v>
      </c>
      <c r="F14" s="6">
        <f>'ventana herrero'!K10</f>
        <v>68195</v>
      </c>
    </row>
    <row r="15" spans="2:7" ht="14.25">
      <c r="B15" s="31" t="s">
        <v>10</v>
      </c>
      <c r="C15" s="5">
        <f>'ventana herrero'!H11</f>
        <v>61510</v>
      </c>
      <c r="D15" s="5">
        <f>'ventana herrero'!I11</f>
        <v>70045</v>
      </c>
      <c r="E15" s="5">
        <f>'ventana herrero'!J11</f>
        <v>24005</v>
      </c>
      <c r="F15" s="6">
        <f>'ventana herrero'!K11</f>
        <v>79960</v>
      </c>
    </row>
    <row r="16" spans="2:7" ht="14.25">
      <c r="B16" s="31" t="s">
        <v>11</v>
      </c>
      <c r="C16" s="5">
        <f>'ventana herrero'!H12</f>
        <v>69200</v>
      </c>
      <c r="D16" s="5">
        <f>'ventana herrero'!I12</f>
        <v>77735</v>
      </c>
      <c r="E16" s="5">
        <f>'ventana herrero'!J12</f>
        <v>27490</v>
      </c>
      <c r="F16" s="6">
        <f>'ventana herrero'!K12</f>
        <v>89960</v>
      </c>
    </row>
    <row r="17" spans="2:6" ht="14.25">
      <c r="B17" s="31" t="s">
        <v>12</v>
      </c>
      <c r="C17" s="5">
        <f>'ventana herrero'!H13</f>
        <v>76855</v>
      </c>
      <c r="D17" s="5">
        <f>'ventana herrero'!I13</f>
        <v>85390</v>
      </c>
      <c r="E17" s="5">
        <f>'ventana herrero'!J13</f>
        <v>29815</v>
      </c>
      <c r="F17" s="6">
        <f>'ventana herrero'!K13</f>
        <v>99910</v>
      </c>
    </row>
    <row r="18" spans="2:6" ht="14.25">
      <c r="B18" s="31" t="s">
        <v>13</v>
      </c>
      <c r="C18" s="5">
        <f>'ventana herrero'!H14</f>
        <v>42410</v>
      </c>
      <c r="D18" s="5">
        <f>'ventana herrero'!I14</f>
        <v>55215</v>
      </c>
      <c r="E18" s="5">
        <f>'ventana herrero'!J14</f>
        <v>17850</v>
      </c>
      <c r="F18" s="6">
        <f>'ventana herrero'!K14</f>
        <v>55135</v>
      </c>
    </row>
    <row r="19" spans="2:6" ht="14.25">
      <c r="B19" s="31" t="s">
        <v>14</v>
      </c>
      <c r="C19" s="5">
        <f>'ventana herrero'!H15</f>
        <v>52290</v>
      </c>
      <c r="D19" s="5">
        <f>'ventana herrero'!I15</f>
        <v>65095</v>
      </c>
      <c r="E19" s="5">
        <f>'ventana herrero'!J15</f>
        <v>20515</v>
      </c>
      <c r="F19" s="6">
        <f>'ventana herrero'!K15</f>
        <v>67975</v>
      </c>
    </row>
    <row r="20" spans="2:6" ht="14.25">
      <c r="B20" s="31" t="s">
        <v>97</v>
      </c>
      <c r="C20" s="5">
        <f>'ventana herrero'!H16</f>
        <v>58200</v>
      </c>
      <c r="D20" s="5">
        <f>'ventana herrero'!I16</f>
        <v>71005</v>
      </c>
      <c r="E20" s="5">
        <f>'ventana herrero'!J16</f>
        <v>23180</v>
      </c>
      <c r="F20" s="6">
        <f>'ventana herrero'!K16</f>
        <v>75655</v>
      </c>
    </row>
    <row r="21" spans="2:6" ht="14.25">
      <c r="B21" s="31" t="s">
        <v>98</v>
      </c>
      <c r="C21" s="5">
        <f>'ventana herrero'!H17</f>
        <v>64455</v>
      </c>
      <c r="D21" s="5">
        <f>'ventana herrero'!I17</f>
        <v>77260</v>
      </c>
      <c r="E21" s="5">
        <f>'ventana herrero'!J17</f>
        <v>25850</v>
      </c>
      <c r="F21" s="6">
        <f>'ventana herrero'!K17</f>
        <v>83790</v>
      </c>
    </row>
    <row r="22" spans="2:6" ht="14.25">
      <c r="B22" s="31" t="s">
        <v>99</v>
      </c>
      <c r="C22" s="5">
        <f>'ventana herrero'!H18</f>
        <v>74790</v>
      </c>
      <c r="D22" s="5">
        <f>'ventana herrero'!I18</f>
        <v>87595</v>
      </c>
      <c r="E22" s="5">
        <f>'ventana herrero'!J18</f>
        <v>29850</v>
      </c>
      <c r="F22" s="6">
        <f>'ventana herrero'!K18</f>
        <v>97225</v>
      </c>
    </row>
    <row r="23" spans="2:6" ht="14.25">
      <c r="B23" s="31" t="s">
        <v>100</v>
      </c>
      <c r="C23" s="5">
        <f>'ventana herrero'!H19</f>
        <v>83740</v>
      </c>
      <c r="D23" s="5">
        <f>'ventana herrero'!I19</f>
        <v>96545</v>
      </c>
      <c r="E23" s="5">
        <f>'ventana herrero'!J19</f>
        <v>33850</v>
      </c>
      <c r="F23" s="6">
        <f>'ventana herrero'!K19</f>
        <v>108860</v>
      </c>
    </row>
    <row r="24" spans="2:6" ht="14.25">
      <c r="B24" s="31" t="s">
        <v>101</v>
      </c>
      <c r="C24" s="5">
        <f>'ventana herrero'!H20</f>
        <v>95305</v>
      </c>
      <c r="D24" s="5">
        <f>'ventana herrero'!I20</f>
        <v>108110</v>
      </c>
      <c r="E24" s="5">
        <f>'ventana herrero'!J20</f>
        <v>36515</v>
      </c>
      <c r="F24" s="6">
        <f>'ventana herrero'!K20</f>
        <v>123900</v>
      </c>
    </row>
    <row r="25" spans="2:6" ht="14.25">
      <c r="B25" s="31" t="s">
        <v>44</v>
      </c>
      <c r="C25" s="5">
        <f>'ventana herrero'!H21</f>
        <v>71955</v>
      </c>
      <c r="D25" s="5">
        <f>'ventana herrero'!I21</f>
        <v>89030</v>
      </c>
      <c r="E25" s="5">
        <f>'ventana herrero'!J21</f>
        <v>28175</v>
      </c>
      <c r="F25" s="6">
        <f>'ventana herrero'!K21</f>
        <v>93540</v>
      </c>
    </row>
    <row r="26" spans="2:6" ht="14.25">
      <c r="B26" s="31" t="s">
        <v>45</v>
      </c>
      <c r="C26" s="5">
        <f>'ventana herrero'!H22</f>
        <v>78540</v>
      </c>
      <c r="D26" s="5">
        <f>'ventana herrero'!I22</f>
        <v>95615</v>
      </c>
      <c r="E26" s="5">
        <f>'ventana herrero'!J22</f>
        <v>31185</v>
      </c>
      <c r="F26" s="6">
        <f>'ventana herrero'!K22</f>
        <v>102105</v>
      </c>
    </row>
    <row r="27" spans="2:6" ht="14.25">
      <c r="B27" s="31" t="s">
        <v>46</v>
      </c>
      <c r="C27" s="5">
        <f>'ventana herrero'!H23</f>
        <v>90135</v>
      </c>
      <c r="D27" s="5">
        <f>'ventana herrero'!I23</f>
        <v>107210</v>
      </c>
      <c r="E27" s="5">
        <f>'ventana herrero'!J23</f>
        <v>35695</v>
      </c>
      <c r="F27" s="6">
        <f>'ventana herrero'!K23</f>
        <v>117175</v>
      </c>
    </row>
    <row r="28" spans="2:6" ht="14.25">
      <c r="B28" s="31" t="s">
        <v>47</v>
      </c>
      <c r="C28" s="5">
        <f>'ventana herrero'!H24</f>
        <v>99665</v>
      </c>
      <c r="D28" s="5">
        <f>'ventana herrero'!I24</f>
        <v>116740</v>
      </c>
      <c r="E28" s="5">
        <f>'ventana herrero'!J24</f>
        <v>40210</v>
      </c>
      <c r="F28" s="6">
        <f>'ventana herrero'!K24</f>
        <v>129565</v>
      </c>
    </row>
    <row r="29" spans="2:6" ht="14.25">
      <c r="B29" s="31" t="s">
        <v>48</v>
      </c>
      <c r="C29" s="5">
        <f>'ventana herrero'!H25</f>
        <v>112460</v>
      </c>
      <c r="D29" s="5">
        <f>'ventana herrero'!I25</f>
        <v>129535</v>
      </c>
      <c r="E29" s="5">
        <f>'ventana herrero'!J25</f>
        <v>43220</v>
      </c>
      <c r="F29" s="6">
        <f>'ventana herrero'!K25</f>
        <v>146200</v>
      </c>
    </row>
    <row r="30" spans="2:6" ht="14.25">
      <c r="B30" s="31" t="s">
        <v>15</v>
      </c>
      <c r="C30" s="5">
        <f>'ventana herrero'!H26</f>
        <v>83105</v>
      </c>
      <c r="D30" s="5">
        <f>'ventana herrero'!I26</f>
        <v>104450</v>
      </c>
      <c r="E30" s="5">
        <f>'ventana herrero'!J26</f>
        <v>33165</v>
      </c>
      <c r="F30" s="6">
        <f>'ventana herrero'!K26</f>
        <v>108040</v>
      </c>
    </row>
    <row r="31" spans="2:6" ht="14.25">
      <c r="B31" s="31" t="s">
        <v>102</v>
      </c>
      <c r="C31" s="5">
        <f>'ventana herrero'!H27</f>
        <v>90255</v>
      </c>
      <c r="D31" s="5">
        <f>'ventana herrero'!I27</f>
        <v>111600</v>
      </c>
      <c r="E31" s="5">
        <f>'ventana herrero'!J27</f>
        <v>36515</v>
      </c>
      <c r="F31" s="6">
        <f>'ventana herrero'!K27</f>
        <v>117335</v>
      </c>
    </row>
    <row r="32" spans="2:6" ht="14.25">
      <c r="B32" s="31" t="s">
        <v>16</v>
      </c>
      <c r="C32" s="5">
        <f>'ventana herrero'!H28</f>
        <v>103395</v>
      </c>
      <c r="D32" s="5">
        <f>'ventana herrero'!I28</f>
        <v>124735</v>
      </c>
      <c r="E32" s="5">
        <f>'ventana herrero'!J28</f>
        <v>41545</v>
      </c>
      <c r="F32" s="6">
        <f>'ventana herrero'!K28</f>
        <v>134415</v>
      </c>
    </row>
    <row r="33" spans="2:6" ht="14.25">
      <c r="B33" s="31" t="s">
        <v>103</v>
      </c>
      <c r="C33" s="5">
        <f>'ventana herrero'!H29</f>
        <v>114180</v>
      </c>
      <c r="D33" s="5">
        <f>'ventana herrero'!I29</f>
        <v>135525</v>
      </c>
      <c r="E33" s="5">
        <f>'ventana herrero'!J29</f>
        <v>46570</v>
      </c>
      <c r="F33" s="6">
        <f>'ventana herrero'!K29</f>
        <v>148435</v>
      </c>
    </row>
    <row r="34" spans="2:6" ht="14.25">
      <c r="B34" s="31" t="s">
        <v>104</v>
      </c>
      <c r="C34" s="5">
        <f>'ventana herrero'!H30</f>
        <v>127830</v>
      </c>
      <c r="D34" s="5">
        <f>'ventana herrero'!I30</f>
        <v>149175</v>
      </c>
      <c r="E34" s="5">
        <f>'ventana herrero'!J30</f>
        <v>49920</v>
      </c>
      <c r="F34" s="6">
        <f>'ventana herrero'!K30</f>
        <v>166180</v>
      </c>
    </row>
    <row r="35" spans="2:6" ht="14.25">
      <c r="B35" s="31" t="s">
        <v>105</v>
      </c>
      <c r="C35" s="5">
        <f>'ventana herrero'!H31</f>
        <v>134565</v>
      </c>
      <c r="D35" s="5">
        <f>'ventana herrero'!I31</f>
        <v>155905</v>
      </c>
      <c r="E35" s="5">
        <f>'ventana herrero'!J31</f>
        <v>53270</v>
      </c>
      <c r="F35" s="6">
        <f>'ventana herrero'!K31</f>
        <v>174930</v>
      </c>
    </row>
    <row r="36" spans="2:6" ht="14.25">
      <c r="B36" s="31" t="s">
        <v>106</v>
      </c>
      <c r="C36" s="5">
        <f>'ventana herrero'!H32</f>
        <v>142675</v>
      </c>
      <c r="D36" s="5">
        <f>'ventana herrero'!I32</f>
        <v>164020</v>
      </c>
      <c r="E36" s="5">
        <f>'ventana herrero'!J32</f>
        <v>56620</v>
      </c>
      <c r="F36" s="6">
        <f>'ventana herrero'!K32</f>
        <v>185480</v>
      </c>
    </row>
    <row r="37" spans="2:6" ht="14.25">
      <c r="B37" s="31" t="s">
        <v>58</v>
      </c>
      <c r="C37" s="5">
        <f>'ventana herrero'!H33</f>
        <v>89395</v>
      </c>
      <c r="D37" s="5">
        <f>'ventana herrero'!I33</f>
        <v>112870</v>
      </c>
      <c r="E37" s="5">
        <f>'ventana herrero'!J33</f>
        <v>35660</v>
      </c>
      <c r="F37" s="6">
        <f>'ventana herrero'!K33</f>
        <v>116215</v>
      </c>
    </row>
    <row r="38" spans="2:6" ht="14.25">
      <c r="B38" s="31" t="s">
        <v>59</v>
      </c>
      <c r="C38" s="5">
        <f>'ventana herrero'!H34</f>
        <v>97920</v>
      </c>
      <c r="D38" s="5">
        <f>'ventana herrero'!I34</f>
        <v>121400</v>
      </c>
      <c r="E38" s="5">
        <f>'ventana herrero'!J34</f>
        <v>39185</v>
      </c>
      <c r="F38" s="6">
        <f>'ventana herrero'!K34</f>
        <v>127300</v>
      </c>
    </row>
    <row r="39" spans="2:6" ht="14.25">
      <c r="B39" s="31" t="s">
        <v>60</v>
      </c>
      <c r="C39" s="5">
        <f>'ventana herrero'!H35</f>
        <v>111490</v>
      </c>
      <c r="D39" s="5">
        <f>'ventana herrero'!I35</f>
        <v>134965</v>
      </c>
      <c r="E39" s="5">
        <f>'ventana herrero'!J35</f>
        <v>44465</v>
      </c>
      <c r="F39" s="6">
        <f>'ventana herrero'!K35</f>
        <v>144935</v>
      </c>
    </row>
    <row r="40" spans="2:6" ht="14.25">
      <c r="B40" s="31" t="s">
        <v>61</v>
      </c>
      <c r="C40" s="5">
        <f>'ventana herrero'!H36</f>
        <v>123605</v>
      </c>
      <c r="D40" s="5">
        <f>'ventana herrero'!I36</f>
        <v>147080</v>
      </c>
      <c r="E40" s="5">
        <f>'ventana herrero'!J36</f>
        <v>49750</v>
      </c>
      <c r="F40" s="6">
        <f>'ventana herrero'!K36</f>
        <v>160690</v>
      </c>
    </row>
    <row r="41" spans="2:6" ht="14.25">
      <c r="B41" s="31" t="s">
        <v>63</v>
      </c>
      <c r="C41" s="5">
        <f>'ventana herrero'!H37</f>
        <v>145000</v>
      </c>
      <c r="D41" s="5">
        <f>'ventana herrero'!I37</f>
        <v>168475</v>
      </c>
      <c r="E41" s="5">
        <f>'ventana herrero'!J37</f>
        <v>60315</v>
      </c>
      <c r="F41" s="6">
        <f>'ventana herrero'!K37</f>
        <v>188500</v>
      </c>
    </row>
    <row r="42" spans="2:6" ht="14.25">
      <c r="B42" s="31" t="s">
        <v>64</v>
      </c>
      <c r="C42" s="5">
        <f>'ventana herrero'!H38</f>
        <v>149220</v>
      </c>
      <c r="D42" s="5">
        <f>'ventana herrero'!I38</f>
        <v>172695</v>
      </c>
      <c r="E42" s="5">
        <f>'ventana herrero'!J38</f>
        <v>60315</v>
      </c>
      <c r="F42" s="6">
        <f>'ventana herrero'!K38</f>
        <v>193985</v>
      </c>
    </row>
    <row r="43" spans="2:6" ht="14.25">
      <c r="B43" s="31" t="s">
        <v>107</v>
      </c>
      <c r="C43" s="5">
        <f>'ventana herrero'!H39</f>
        <v>94350</v>
      </c>
      <c r="D43" s="5">
        <f>'ventana herrero'!I39</f>
        <v>119960</v>
      </c>
      <c r="E43" s="5">
        <f>'ventana herrero'!J39</f>
        <v>38155</v>
      </c>
      <c r="F43" s="6">
        <f>'ventana herrero'!K39</f>
        <v>122655</v>
      </c>
    </row>
    <row r="44" spans="2:6" ht="14.25">
      <c r="B44" s="31" t="s">
        <v>108</v>
      </c>
      <c r="C44" s="5">
        <f>'ventana herrero'!H40</f>
        <v>103300</v>
      </c>
      <c r="D44" s="5">
        <f>'ventana herrero'!I40</f>
        <v>128910</v>
      </c>
      <c r="E44" s="5">
        <f>'ventana herrero'!J40</f>
        <v>41850</v>
      </c>
      <c r="F44" s="6">
        <f>'ventana herrero'!K40</f>
        <v>134290</v>
      </c>
    </row>
    <row r="45" spans="2:6" ht="14.25">
      <c r="B45" s="31" t="s">
        <v>109</v>
      </c>
      <c r="C45" s="5">
        <f>'ventana herrero'!H41</f>
        <v>117435</v>
      </c>
      <c r="D45" s="5">
        <f>'ventana herrero'!I41</f>
        <v>143045</v>
      </c>
      <c r="E45" s="5">
        <f>'ventana herrero'!J41</f>
        <v>47390</v>
      </c>
      <c r="F45" s="6">
        <f>'ventana herrero'!K41</f>
        <v>152665</v>
      </c>
    </row>
    <row r="46" spans="2:6" ht="14.25">
      <c r="B46" s="31" t="s">
        <v>110</v>
      </c>
      <c r="C46" s="5">
        <f>'ventana herrero'!H42</f>
        <v>130175</v>
      </c>
      <c r="D46" s="5">
        <f>'ventana herrero'!I42</f>
        <v>155785</v>
      </c>
      <c r="E46" s="5">
        <f>'ventana herrero'!J42</f>
        <v>52930</v>
      </c>
      <c r="F46" s="6">
        <f>'ventana herrero'!K42</f>
        <v>169230</v>
      </c>
    </row>
    <row r="47" spans="2:6" ht="14.25">
      <c r="B47" s="31" t="s">
        <v>111</v>
      </c>
      <c r="C47" s="5">
        <f>'ventana herrero'!H43</f>
        <v>143225</v>
      </c>
      <c r="D47" s="5">
        <f>'ventana herrero'!I43</f>
        <v>168835</v>
      </c>
      <c r="E47" s="5">
        <f>'ventana herrero'!J43</f>
        <v>56620</v>
      </c>
      <c r="F47" s="6">
        <f>'ventana herrero'!K43</f>
        <v>186195</v>
      </c>
    </row>
    <row r="48" spans="2:6" ht="14.25">
      <c r="B48" s="31" t="s">
        <v>112</v>
      </c>
      <c r="C48" s="5">
        <f>'ventana herrero'!H44</f>
        <v>152250</v>
      </c>
      <c r="D48" s="5">
        <f>'ventana herrero'!I44</f>
        <v>177860</v>
      </c>
      <c r="E48" s="5">
        <f>'ventana herrero'!J44</f>
        <v>60315</v>
      </c>
      <c r="F48" s="6">
        <f>'ventana herrero'!K44</f>
        <v>197925</v>
      </c>
    </row>
    <row r="49" spans="2:6" ht="14.25">
      <c r="B49" s="31" t="s">
        <v>113</v>
      </c>
      <c r="C49" s="5">
        <f>'ventana herrero'!H45</f>
        <v>159470</v>
      </c>
      <c r="D49" s="5">
        <f>'ventana herrero'!I45</f>
        <v>185080</v>
      </c>
      <c r="E49" s="5">
        <f>'ventana herrero'!J45</f>
        <v>64005</v>
      </c>
      <c r="F49" s="6">
        <f>'ventana herrero'!K45</f>
        <v>207310</v>
      </c>
    </row>
    <row r="50" spans="2:6" ht="14.25">
      <c r="B50" s="31" t="s">
        <v>114</v>
      </c>
      <c r="C50" s="5">
        <f>'ventana herrero'!H46</f>
        <v>110330</v>
      </c>
      <c r="D50" s="5">
        <f>'ventana herrero'!I46</f>
        <v>142345</v>
      </c>
      <c r="E50" s="5">
        <f>'ventana herrero'!J46</f>
        <v>45645</v>
      </c>
      <c r="F50" s="6">
        <f>'ventana herrero'!K46</f>
        <v>143430</v>
      </c>
    </row>
    <row r="51" spans="2:6" ht="14.25">
      <c r="B51" s="31" t="s">
        <v>71</v>
      </c>
      <c r="C51" s="5">
        <f>'ventana herrero'!H47</f>
        <v>120555</v>
      </c>
      <c r="D51" s="5">
        <f>'ventana herrero'!I47</f>
        <v>152570</v>
      </c>
      <c r="E51" s="5">
        <f>'ventana herrero'!J47</f>
        <v>49850</v>
      </c>
      <c r="F51" s="6">
        <f>'ventana herrero'!K47</f>
        <v>156725</v>
      </c>
    </row>
    <row r="52" spans="2:6" ht="14.25">
      <c r="B52" s="31" t="s">
        <v>72</v>
      </c>
      <c r="C52" s="5">
        <f>'ventana herrero'!H48</f>
        <v>136580</v>
      </c>
      <c r="D52" s="5">
        <f>'ventana herrero'!I48</f>
        <v>168590</v>
      </c>
      <c r="E52" s="5">
        <f>'ventana herrero'!J48</f>
        <v>56160</v>
      </c>
      <c r="F52" s="6">
        <f>'ventana herrero'!K48</f>
        <v>177550</v>
      </c>
    </row>
    <row r="53" spans="2:6" ht="14.25">
      <c r="B53" s="31" t="s">
        <v>73</v>
      </c>
      <c r="C53" s="5">
        <f>'ventana herrero'!H49</f>
        <v>149845</v>
      </c>
      <c r="D53" s="5">
        <f>'ventana herrero'!I49</f>
        <v>181855</v>
      </c>
      <c r="E53" s="5">
        <f>'ventana herrero'!J49</f>
        <v>62470</v>
      </c>
      <c r="F53" s="6">
        <f>'ventana herrero'!K49</f>
        <v>194795</v>
      </c>
    </row>
    <row r="54" spans="2:6" ht="14.25">
      <c r="B54" s="31" t="s">
        <v>74</v>
      </c>
      <c r="C54" s="5">
        <f>'ventana herrero'!H50</f>
        <v>165180</v>
      </c>
      <c r="D54" s="5">
        <f>'ventana herrero'!I50</f>
        <v>197195</v>
      </c>
      <c r="E54" s="5">
        <f>'ventana herrero'!J50</f>
        <v>66675</v>
      </c>
      <c r="F54" s="6">
        <f>'ventana herrero'!K50</f>
        <v>214735</v>
      </c>
    </row>
    <row r="55" spans="2:6" ht="14.25">
      <c r="B55" s="31" t="s">
        <v>75</v>
      </c>
      <c r="C55" s="5">
        <f>'ventana herrero'!H51</f>
        <v>174440</v>
      </c>
      <c r="D55" s="5">
        <f>'ventana herrero'!I51</f>
        <v>206450</v>
      </c>
      <c r="E55" s="5">
        <f>'ventana herrero'!J51</f>
        <v>70880</v>
      </c>
      <c r="F55" s="6">
        <f>'ventana herrero'!K51</f>
        <v>226770</v>
      </c>
    </row>
    <row r="56" spans="2:6" ht="14.25">
      <c r="B56" s="31" t="s">
        <v>76</v>
      </c>
      <c r="C56" s="5">
        <f>'ventana herrero'!H52</f>
        <v>184670</v>
      </c>
      <c r="D56" s="5">
        <f>'ventana herrero'!I52</f>
        <v>216685</v>
      </c>
      <c r="E56" s="5">
        <f>'ventana herrero'!J52</f>
        <v>75085</v>
      </c>
      <c r="F56" s="6">
        <f>'ventana herrero'!K52</f>
        <v>240070</v>
      </c>
    </row>
    <row r="57" spans="2:6" ht="14.25">
      <c r="B57" s="31" t="s">
        <v>17</v>
      </c>
      <c r="C57" s="5">
        <f>'ventana herrero'!H53</f>
        <v>143540</v>
      </c>
      <c r="D57" s="5">
        <f>'ventana herrero'!I53</f>
        <v>186225</v>
      </c>
      <c r="E57" s="5">
        <f>'ventana herrero'!J53</f>
        <v>58125</v>
      </c>
      <c r="F57" s="6">
        <f>'ventana herrero'!K53</f>
        <v>186600</v>
      </c>
    </row>
    <row r="58" spans="2:6" ht="14.25">
      <c r="B58" s="31" t="s">
        <v>83</v>
      </c>
      <c r="C58" s="5">
        <f>'ventana herrero'!H54</f>
        <v>159155</v>
      </c>
      <c r="D58" s="5">
        <f>'ventana herrero'!I54</f>
        <v>201845</v>
      </c>
      <c r="E58" s="5">
        <f>'ventana herrero'!J54</f>
        <v>63185</v>
      </c>
      <c r="F58" s="6">
        <f>'ventana herrero'!K54</f>
        <v>206905</v>
      </c>
    </row>
    <row r="59" spans="2:6" ht="14.25">
      <c r="B59" s="31" t="s">
        <v>84</v>
      </c>
      <c r="C59" s="5">
        <f>'ventana herrero'!H55</f>
        <v>185145</v>
      </c>
      <c r="D59" s="5">
        <f>'ventana herrero'!I55</f>
        <v>227830</v>
      </c>
      <c r="E59" s="5">
        <f>'ventana herrero'!J55</f>
        <v>70775</v>
      </c>
      <c r="F59" s="6">
        <f>'ventana herrero'!K55</f>
        <v>240690</v>
      </c>
    </row>
    <row r="60" spans="2:6" ht="14.25">
      <c r="B60" s="31" t="s">
        <v>85</v>
      </c>
      <c r="C60" s="5">
        <f>'ventana herrero'!H56</f>
        <v>206955</v>
      </c>
      <c r="D60" s="5">
        <f>'ventana herrero'!I56</f>
        <v>249640</v>
      </c>
      <c r="E60" s="5">
        <f>'ventana herrero'!J56</f>
        <v>78365</v>
      </c>
      <c r="F60" s="6">
        <f>'ventana herrero'!K56</f>
        <v>269040</v>
      </c>
    </row>
    <row r="61" spans="2:6" ht="14.25">
      <c r="B61" s="31" t="s">
        <v>86</v>
      </c>
      <c r="C61" s="5">
        <f>'ventana herrero'!H57</f>
        <v>224130</v>
      </c>
      <c r="D61" s="5">
        <f>'ventana herrero'!I57</f>
        <v>266815</v>
      </c>
      <c r="E61" s="5">
        <f>'ventana herrero'!J57</f>
        <v>83425</v>
      </c>
      <c r="F61" s="6">
        <f>'ventana herrero'!K57</f>
        <v>291365</v>
      </c>
    </row>
    <row r="62" spans="2:6" ht="14.25">
      <c r="B62" s="31" t="s">
        <v>87</v>
      </c>
      <c r="C62" s="5">
        <f>'ventana herrero'!H58</f>
        <v>241215</v>
      </c>
      <c r="D62" s="5">
        <f>'ventana herrero'!I58</f>
        <v>283900</v>
      </c>
      <c r="E62" s="5">
        <f>'ventana herrero'!J58</f>
        <v>88485</v>
      </c>
      <c r="F62" s="6">
        <f>'ventana herrero'!K58</f>
        <v>313580</v>
      </c>
    </row>
    <row r="63" spans="2:6" ht="14.25">
      <c r="B63" s="31" t="s">
        <v>88</v>
      </c>
      <c r="C63" s="5">
        <f>'ventana herrero'!H59</f>
        <v>255595</v>
      </c>
      <c r="D63" s="5">
        <f>'ventana herrero'!I59</f>
        <v>298280</v>
      </c>
      <c r="E63" s="5">
        <f>'ventana herrero'!J59</f>
        <v>93545</v>
      </c>
      <c r="F63" s="6">
        <f>'ventana herrero'!K59</f>
        <v>332275</v>
      </c>
    </row>
    <row r="64" spans="2:6" ht="14.65" thickBot="1">
      <c r="B64" s="32" t="s">
        <v>115</v>
      </c>
      <c r="C64" s="10">
        <f>'ventana herrero'!H60</f>
        <v>268375</v>
      </c>
      <c r="D64" s="10">
        <f>'ventana herrero'!I60</f>
        <v>313195</v>
      </c>
      <c r="E64" s="10">
        <f>'ventana herrero'!J60</f>
        <v>98225</v>
      </c>
      <c r="F64" s="11">
        <f>'ventana herrero'!K60</f>
        <v>348890</v>
      </c>
    </row>
  </sheetData>
  <mergeCells count="3">
    <mergeCell ref="B6:F6"/>
    <mergeCell ref="B7:F7"/>
    <mergeCell ref="B9:F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78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C68BC645-687F-4F37-8E90-C81DD0551E1C}">
            <xm:f>'ventana herrero'!$C$2="VERDE"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9" id="{57FBA112-FE94-402F-B81E-CD42F62ED17A}">
            <xm:f>'ventana herrero'!$C$2="AMARILLA"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A1E91C1C-FE2A-40D0-8138-E1FA438582BB}">
            <xm:f>'ventana herrero'!$C$2="AZUL"</xm:f>
            <x14:dxf>
              <fill>
                <patternFill>
                  <bgColor theme="8"/>
                </patternFill>
              </fill>
            </x14:dxf>
          </x14:cfRule>
          <xm:sqref>B9:F10 B11:B64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tabColor rgb="FF00B050"/>
    <pageSetUpPr fitToPage="1"/>
  </sheetPr>
  <dimension ref="B6:F64"/>
  <sheetViews>
    <sheetView topLeftCell="A18" zoomScale="85" zoomScaleNormal="85" workbookViewId="0">
      <selection activeCell="D37" sqref="D37"/>
    </sheetView>
  </sheetViews>
  <sheetFormatPr baseColWidth="10" defaultColWidth="10.73046875" defaultRowHeight="12.75"/>
  <cols>
    <col min="1" max="3" width="10.73046875" style="1"/>
    <col min="4" max="4" width="17.73046875" style="1" customWidth="1"/>
    <col min="5" max="16384" width="10.73046875" style="1"/>
  </cols>
  <sheetData>
    <row r="6" spans="2:6" ht="13.15">
      <c r="B6" s="337" t="s">
        <v>21</v>
      </c>
      <c r="C6" s="337"/>
      <c r="D6" s="337"/>
      <c r="E6" s="337"/>
      <c r="F6" s="40"/>
    </row>
    <row r="7" spans="2:6" ht="13.15">
      <c r="B7" s="337" t="s">
        <v>22</v>
      </c>
      <c r="C7" s="337"/>
      <c r="D7" s="337"/>
      <c r="E7" s="337"/>
      <c r="F7" s="40"/>
    </row>
    <row r="8" spans="2:6" ht="13.15" thickBot="1"/>
    <row r="9" spans="2:6" ht="13.15" thickBot="1">
      <c r="C9" s="335" t="s">
        <v>95</v>
      </c>
      <c r="D9" s="336"/>
    </row>
    <row r="10" spans="2:6" ht="17.25" thickBot="1">
      <c r="C10" s="27" t="s">
        <v>24</v>
      </c>
      <c r="D10" s="29" t="s">
        <v>35</v>
      </c>
    </row>
    <row r="11" spans="2:6" ht="14.25">
      <c r="C11" s="30" t="s">
        <v>36</v>
      </c>
      <c r="D11" s="6">
        <f>mosquiteros!E7</f>
        <v>22046</v>
      </c>
    </row>
    <row r="12" spans="2:6" ht="14.25">
      <c r="C12" s="31" t="s">
        <v>37</v>
      </c>
      <c r="D12" s="6">
        <f>mosquiteros!E8</f>
        <v>25496</v>
      </c>
    </row>
    <row r="13" spans="2:6" ht="14.25">
      <c r="C13" s="31" t="s">
        <v>38</v>
      </c>
      <c r="D13" s="6">
        <f>mosquiteros!E9</f>
        <v>28944</v>
      </c>
    </row>
    <row r="14" spans="2:6" ht="14.25">
      <c r="C14" s="31" t="s">
        <v>39</v>
      </c>
      <c r="D14" s="6">
        <f>mosquiteros!E10</f>
        <v>32391</v>
      </c>
    </row>
    <row r="15" spans="2:6" ht="14.25">
      <c r="C15" s="31" t="s">
        <v>40</v>
      </c>
      <c r="D15" s="6">
        <f>mosquiteros!E11</f>
        <v>37568</v>
      </c>
    </row>
    <row r="16" spans="2:6" ht="14.25">
      <c r="C16" s="31" t="s">
        <v>41</v>
      </c>
      <c r="D16" s="6">
        <f>mosquiteros!E12</f>
        <v>42741</v>
      </c>
    </row>
    <row r="17" spans="3:4" ht="14.25">
      <c r="C17" s="31" t="s">
        <v>42</v>
      </c>
      <c r="D17" s="6">
        <f>mosquiteros!E13</f>
        <v>46190</v>
      </c>
    </row>
    <row r="18" spans="3:4" ht="14.25">
      <c r="C18" s="31" t="s">
        <v>43</v>
      </c>
      <c r="D18" s="6">
        <f>mosquiteros!E14</f>
        <v>34935</v>
      </c>
    </row>
    <row r="19" spans="3:4" ht="14.25">
      <c r="C19" s="31" t="s">
        <v>44</v>
      </c>
      <c r="D19" s="6">
        <f>mosquiteros!E15</f>
        <v>39291</v>
      </c>
    </row>
    <row r="20" spans="3:4" ht="14.25">
      <c r="C20" s="31" t="s">
        <v>45</v>
      </c>
      <c r="D20" s="6">
        <f>mosquiteros!E16</f>
        <v>43649</v>
      </c>
    </row>
    <row r="21" spans="3:4" ht="14.25">
      <c r="C21" s="31" t="s">
        <v>46</v>
      </c>
      <c r="D21" s="6">
        <f>mosquiteros!E17</f>
        <v>50185</v>
      </c>
    </row>
    <row r="22" spans="3:4" ht="14.25">
      <c r="C22" s="31" t="s">
        <v>47</v>
      </c>
      <c r="D22" s="6">
        <f>mosquiteros!E18</f>
        <v>56719</v>
      </c>
    </row>
    <row r="23" spans="3:4" ht="14.25">
      <c r="C23" s="31" t="s">
        <v>48</v>
      </c>
      <c r="D23" s="6">
        <f>mosquiteros!E19</f>
        <v>61079</v>
      </c>
    </row>
    <row r="24" spans="3:4" ht="14.25">
      <c r="C24" s="31" t="s">
        <v>49</v>
      </c>
      <c r="D24" s="6">
        <f>mosquiteros!E20</f>
        <v>65433</v>
      </c>
    </row>
    <row r="25" spans="3:4" ht="14.25">
      <c r="C25" s="31" t="s">
        <v>50</v>
      </c>
      <c r="D25" s="6">
        <f>mosquiteros!E21</f>
        <v>69790</v>
      </c>
    </row>
    <row r="26" spans="3:4" ht="14.25">
      <c r="C26" s="31" t="s">
        <v>51</v>
      </c>
      <c r="D26" s="6">
        <f>mosquiteros!E22</f>
        <v>42741</v>
      </c>
    </row>
    <row r="27" spans="3:4" ht="14.25">
      <c r="C27" s="31" t="s">
        <v>52</v>
      </c>
      <c r="D27" s="6">
        <f>mosquiteros!E23</f>
        <v>47401</v>
      </c>
    </row>
    <row r="28" spans="3:4" ht="14.25">
      <c r="C28" s="31" t="s">
        <v>53</v>
      </c>
      <c r="D28" s="6">
        <f>mosquiteros!E24</f>
        <v>54392</v>
      </c>
    </row>
    <row r="29" spans="3:4" ht="14.25">
      <c r="C29" s="31" t="s">
        <v>54</v>
      </c>
      <c r="D29" s="6">
        <f>mosquiteros!E25</f>
        <v>61379</v>
      </c>
    </row>
    <row r="30" spans="3:4" ht="14.25">
      <c r="C30" s="31" t="s">
        <v>55</v>
      </c>
      <c r="D30" s="6">
        <f>mosquiteros!E26</f>
        <v>66039</v>
      </c>
    </row>
    <row r="31" spans="3:4" ht="14.25">
      <c r="C31" s="31" t="s">
        <v>56</v>
      </c>
      <c r="D31" s="6">
        <f>mosquiteros!E27</f>
        <v>70701</v>
      </c>
    </row>
    <row r="32" spans="3:4" ht="14.25">
      <c r="C32" s="31" t="s">
        <v>57</v>
      </c>
      <c r="D32" s="6">
        <f>mosquiteros!E28</f>
        <v>75361</v>
      </c>
    </row>
    <row r="33" spans="3:4" ht="14.25">
      <c r="C33" s="31" t="s">
        <v>58</v>
      </c>
      <c r="D33" s="6">
        <f>mosquiteros!E29</f>
        <v>49640</v>
      </c>
    </row>
    <row r="34" spans="3:4" ht="14.25">
      <c r="C34" s="31" t="s">
        <v>59</v>
      </c>
      <c r="D34" s="6">
        <f>mosquiteros!E30</f>
        <v>54906</v>
      </c>
    </row>
    <row r="35" spans="3:4" ht="14.25">
      <c r="C35" s="31" t="s">
        <v>60</v>
      </c>
      <c r="D35" s="6">
        <f>mosquiteros!E31</f>
        <v>62801</v>
      </c>
    </row>
    <row r="36" spans="3:4" ht="14.25">
      <c r="C36" s="31" t="s">
        <v>61</v>
      </c>
      <c r="D36" s="6">
        <f>mosquiteros!E32</f>
        <v>70701</v>
      </c>
    </row>
    <row r="37" spans="3:4" ht="14.25">
      <c r="C37" s="31" t="s">
        <v>62</v>
      </c>
      <c r="D37" s="6">
        <f>mosquiteros!E33</f>
        <v>75965</v>
      </c>
    </row>
    <row r="38" spans="3:4" ht="14.25">
      <c r="C38" s="31" t="s">
        <v>63</v>
      </c>
      <c r="D38" s="6">
        <f>mosquiteros!E34</f>
        <v>81231</v>
      </c>
    </row>
    <row r="39" spans="3:4" ht="14.25">
      <c r="C39" s="31" t="s">
        <v>64</v>
      </c>
      <c r="D39" s="6">
        <f>mosquiteros!E35</f>
        <v>86495</v>
      </c>
    </row>
    <row r="40" spans="3:4" ht="14.25">
      <c r="C40" s="31" t="s">
        <v>65</v>
      </c>
      <c r="D40" s="6">
        <f>mosquiteros!E36</f>
        <v>62408</v>
      </c>
    </row>
    <row r="41" spans="3:4" ht="14.25">
      <c r="C41" s="31" t="s">
        <v>66</v>
      </c>
      <c r="D41" s="6">
        <f>mosquiteros!E37</f>
        <v>71213</v>
      </c>
    </row>
    <row r="42" spans="3:4" ht="14.25">
      <c r="C42" s="31" t="s">
        <v>67</v>
      </c>
      <c r="D42" s="6">
        <f>mosquiteros!E38</f>
        <v>80021</v>
      </c>
    </row>
    <row r="43" spans="3:4" ht="14.25">
      <c r="C43" s="31" t="s">
        <v>68</v>
      </c>
      <c r="D43" s="6">
        <f>mosquiteros!E39</f>
        <v>85889</v>
      </c>
    </row>
    <row r="44" spans="3:4" ht="14.25">
      <c r="C44" s="31" t="s">
        <v>69</v>
      </c>
      <c r="D44" s="6">
        <f>mosquiteros!E40</f>
        <v>91761</v>
      </c>
    </row>
    <row r="45" spans="3:4" ht="14.25">
      <c r="C45" s="31" t="s">
        <v>70</v>
      </c>
      <c r="D45" s="6">
        <f>mosquiteros!E41</f>
        <v>97631</v>
      </c>
    </row>
    <row r="46" spans="3:4" ht="14.25">
      <c r="C46" s="31" t="s">
        <v>71</v>
      </c>
      <c r="D46" s="6">
        <f>mosquiteros!E42</f>
        <v>65542</v>
      </c>
    </row>
    <row r="47" spans="3:4" ht="14.25">
      <c r="C47" s="31" t="s">
        <v>72</v>
      </c>
      <c r="D47" s="6">
        <f>mosquiteros!E43</f>
        <v>74649</v>
      </c>
    </row>
    <row r="48" spans="3:4" ht="14.25">
      <c r="C48" s="31" t="s">
        <v>73</v>
      </c>
      <c r="D48" s="6">
        <f>mosquiteros!E44</f>
        <v>83757</v>
      </c>
    </row>
    <row r="49" spans="3:4" ht="14.25">
      <c r="C49" s="31" t="s">
        <v>74</v>
      </c>
      <c r="D49" s="6">
        <f>mosquiteros!E45</f>
        <v>89827</v>
      </c>
    </row>
    <row r="50" spans="3:4" ht="14.25">
      <c r="C50" s="31" t="s">
        <v>75</v>
      </c>
      <c r="D50" s="6">
        <f>mosquiteros!E46</f>
        <v>95896</v>
      </c>
    </row>
    <row r="51" spans="3:4" ht="14.25">
      <c r="C51" s="31" t="s">
        <v>76</v>
      </c>
      <c r="D51" s="6">
        <f>mosquiteros!E47</f>
        <v>101969</v>
      </c>
    </row>
    <row r="52" spans="3:4" ht="14.25">
      <c r="C52" s="31" t="s">
        <v>77</v>
      </c>
      <c r="D52" s="6">
        <f>mosquiteros!E48</f>
        <v>76094</v>
      </c>
    </row>
    <row r="53" spans="3:4" ht="14.25">
      <c r="C53" s="31" t="s">
        <v>78</v>
      </c>
      <c r="D53" s="6">
        <f>mosquiteros!E49</f>
        <v>86479</v>
      </c>
    </row>
    <row r="54" spans="3:4" ht="14.25">
      <c r="C54" s="31" t="s">
        <v>79</v>
      </c>
      <c r="D54" s="6">
        <f>mosquiteros!E50</f>
        <v>96862</v>
      </c>
    </row>
    <row r="55" spans="3:4" ht="14.25">
      <c r="C55" s="31" t="s">
        <v>80</v>
      </c>
      <c r="D55" s="6">
        <f>mosquiteros!E51</f>
        <v>103784</v>
      </c>
    </row>
    <row r="56" spans="3:4" ht="14.25">
      <c r="C56" s="31" t="s">
        <v>81</v>
      </c>
      <c r="D56" s="6">
        <f>mosquiteros!E52</f>
        <v>110705</v>
      </c>
    </row>
    <row r="57" spans="3:4" ht="14.25">
      <c r="C57" s="31" t="s">
        <v>82</v>
      </c>
      <c r="D57" s="6">
        <f>mosquiteros!E53</f>
        <v>117628</v>
      </c>
    </row>
    <row r="58" spans="3:4" ht="14.25">
      <c r="C58" s="31" t="s">
        <v>83</v>
      </c>
      <c r="D58" s="6">
        <f>mosquiteros!E54</f>
        <v>83129</v>
      </c>
    </row>
    <row r="59" spans="3:4" ht="14.25">
      <c r="C59" s="31" t="s">
        <v>84</v>
      </c>
      <c r="D59" s="6">
        <f>mosquiteros!E55</f>
        <v>94364</v>
      </c>
    </row>
    <row r="60" spans="3:4" ht="14.25">
      <c r="C60" s="31" t="s">
        <v>85</v>
      </c>
      <c r="D60" s="6">
        <f>mosquiteros!E56</f>
        <v>105598</v>
      </c>
    </row>
    <row r="61" spans="3:4" ht="14.25">
      <c r="C61" s="31" t="s">
        <v>86</v>
      </c>
      <c r="D61" s="6">
        <f>mosquiteros!E57</f>
        <v>113088</v>
      </c>
    </row>
    <row r="62" spans="3:4" ht="14.25">
      <c r="C62" s="31" t="s">
        <v>87</v>
      </c>
      <c r="D62" s="6">
        <f>mosquiteros!E58</f>
        <v>120577</v>
      </c>
    </row>
    <row r="63" spans="3:4" ht="14.25">
      <c r="C63" s="31" t="s">
        <v>88</v>
      </c>
      <c r="D63" s="6">
        <f>mosquiteros!E59</f>
        <v>128067</v>
      </c>
    </row>
    <row r="64" spans="3:4" ht="14.65" thickBot="1">
      <c r="C64" s="32" t="s">
        <v>115</v>
      </c>
      <c r="D64" s="11">
        <f>mosquiteros!E60</f>
        <v>147053</v>
      </c>
    </row>
  </sheetData>
  <mergeCells count="3">
    <mergeCell ref="C9:D9"/>
    <mergeCell ref="B6:E6"/>
    <mergeCell ref="B7:E7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id="{432888A1-87BE-4DDC-8D96-86285F7BE95A}">
            <xm:f>mosquiteros!$E$2="VERDE"</xm:f>
            <x14:dxf>
              <fill>
                <patternFill>
                  <bgColor theme="9"/>
                </patternFill>
              </fill>
            </x14:dxf>
          </x14:cfRule>
          <x14:cfRule type="expression" priority="61" id="{F9F56AA9-0108-40F6-801B-B0526F4D29BE}">
            <xm:f>mosquiteros!$E$2="AZUL"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62" id="{93A9AF21-B562-4AB1-A279-F50506A79CF2}">
            <xm:f>mosquiteros!$E$2="AMARILLA"</xm:f>
            <x14:dxf>
              <fill>
                <patternFill>
                  <bgColor rgb="FFFFFF00"/>
                </patternFill>
              </fill>
            </x14:dxf>
          </x14:cfRule>
          <xm:sqref>C9:D10 C11:C64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tabColor rgb="FF00B050"/>
    <pageSetUpPr fitToPage="1"/>
  </sheetPr>
  <dimension ref="B8:H82"/>
  <sheetViews>
    <sheetView topLeftCell="A59" zoomScale="55" zoomScaleNormal="55" workbookViewId="0">
      <selection activeCell="D37" sqref="D37"/>
    </sheetView>
  </sheetViews>
  <sheetFormatPr baseColWidth="10" defaultColWidth="11.3984375" defaultRowHeight="12.75"/>
  <cols>
    <col min="1" max="4" width="11.3984375" style="25"/>
    <col min="5" max="5" width="13.265625" style="25" customWidth="1"/>
    <col min="6" max="16384" width="11.3984375" style="25"/>
  </cols>
  <sheetData>
    <row r="8" spans="2:8" ht="13.15">
      <c r="B8" s="40"/>
      <c r="C8" s="337" t="s">
        <v>21</v>
      </c>
      <c r="D8" s="337"/>
      <c r="E8" s="337"/>
      <c r="F8" s="337"/>
      <c r="G8" s="337"/>
    </row>
    <row r="9" spans="2:8" ht="13.15">
      <c r="B9" s="40"/>
      <c r="C9" s="337" t="s">
        <v>22</v>
      </c>
      <c r="D9" s="337"/>
      <c r="E9" s="337"/>
      <c r="F9" s="337"/>
      <c r="G9" s="337"/>
    </row>
    <row r="10" spans="2:8" ht="13.15" thickBot="1"/>
    <row r="11" spans="2:8" ht="18.399999999999999" thickBot="1">
      <c r="B11" s="338" t="s">
        <v>154</v>
      </c>
      <c r="C11" s="339"/>
      <c r="D11" s="339"/>
      <c r="E11" s="339"/>
      <c r="F11" s="339"/>
      <c r="G11" s="339"/>
      <c r="H11" s="340"/>
    </row>
    <row r="12" spans="2:8" ht="13.5" thickBot="1">
      <c r="B12" s="49" t="s">
        <v>24</v>
      </c>
      <c r="C12" s="50" t="s">
        <v>122</v>
      </c>
      <c r="D12" s="50" t="s">
        <v>123</v>
      </c>
      <c r="E12" s="50" t="s">
        <v>124</v>
      </c>
      <c r="F12" s="50" t="s">
        <v>125</v>
      </c>
      <c r="G12" s="50" t="s">
        <v>126</v>
      </c>
      <c r="H12" s="51" t="s">
        <v>127</v>
      </c>
    </row>
    <row r="13" spans="2:8" ht="13.15">
      <c r="B13" s="54" t="s">
        <v>128</v>
      </c>
      <c r="C13" s="57">
        <f>'rajas herrero'!L7</f>
        <v>40750</v>
      </c>
      <c r="D13" s="58">
        <f>'rajas herrero'!M7</f>
        <v>41395</v>
      </c>
      <c r="E13" s="58">
        <f>'rajas herrero'!N7</f>
        <v>42560</v>
      </c>
      <c r="F13" s="58">
        <f>'rajas herrero'!O7</f>
        <v>48205</v>
      </c>
      <c r="G13" s="58">
        <f>'rajas herrero'!P7</f>
        <v>41765</v>
      </c>
      <c r="H13" s="59">
        <f>'rajas herrero'!Q7</f>
        <v>53405</v>
      </c>
    </row>
    <row r="14" spans="2:8" ht="13.15">
      <c r="B14" s="55" t="s">
        <v>129</v>
      </c>
      <c r="C14" s="60">
        <f>'rajas herrero'!L8</f>
        <v>44360</v>
      </c>
      <c r="D14" s="52">
        <f>'rajas herrero'!M8</f>
        <v>45220</v>
      </c>
      <c r="E14" s="52">
        <f>'rajas herrero'!N8</f>
        <v>46780</v>
      </c>
      <c r="F14" s="52">
        <f>'rajas herrero'!O8</f>
        <v>54300</v>
      </c>
      <c r="G14" s="52">
        <f>'rajas herrero'!P8</f>
        <v>45715</v>
      </c>
      <c r="H14" s="53">
        <f>'rajas herrero'!Q8</f>
        <v>61245</v>
      </c>
    </row>
    <row r="15" spans="2:8" ht="13.15">
      <c r="B15" s="55" t="s">
        <v>130</v>
      </c>
      <c r="C15" s="60">
        <f>'rajas herrero'!L9</f>
        <v>47975</v>
      </c>
      <c r="D15" s="52">
        <f>'rajas herrero'!M9</f>
        <v>49050</v>
      </c>
      <c r="E15" s="52">
        <f>'rajas herrero'!N9</f>
        <v>51000</v>
      </c>
      <c r="F15" s="52">
        <f>'rajas herrero'!O9</f>
        <v>60405</v>
      </c>
      <c r="G15" s="52">
        <f>'rajas herrero'!P9</f>
        <v>49680</v>
      </c>
      <c r="H15" s="53">
        <f>'rajas herrero'!Q9</f>
        <v>69090</v>
      </c>
    </row>
    <row r="16" spans="2:8" ht="13.15">
      <c r="B16" s="55" t="s">
        <v>131</v>
      </c>
      <c r="C16" s="60">
        <f>'rajas herrero'!L10</f>
        <v>51585</v>
      </c>
      <c r="D16" s="52">
        <f>'rajas herrero'!M10</f>
        <v>52875</v>
      </c>
      <c r="E16" s="52">
        <f>'rajas herrero'!N10</f>
        <v>55220</v>
      </c>
      <c r="F16" s="52">
        <f>'rajas herrero'!O10</f>
        <v>66505</v>
      </c>
      <c r="G16" s="52">
        <f>'rajas herrero'!P10</f>
        <v>53635</v>
      </c>
      <c r="H16" s="53">
        <f>'rajas herrero'!Q10</f>
        <v>76930</v>
      </c>
    </row>
    <row r="17" spans="2:8" ht="13.15">
      <c r="B17" s="55" t="s">
        <v>132</v>
      </c>
      <c r="C17" s="60">
        <f>'rajas herrero'!L11</f>
        <v>55195</v>
      </c>
      <c r="D17" s="52">
        <f>'rajas herrero'!M11</f>
        <v>56695</v>
      </c>
      <c r="E17" s="52">
        <f>'rajas herrero'!N11</f>
        <v>59435</v>
      </c>
      <c r="F17" s="52">
        <f>'rajas herrero'!O11</f>
        <v>72605</v>
      </c>
      <c r="G17" s="52">
        <f>'rajas herrero'!P11</f>
        <v>57590</v>
      </c>
      <c r="H17" s="53">
        <f>'rajas herrero'!Q11</f>
        <v>84775</v>
      </c>
    </row>
    <row r="18" spans="2:8" ht="13.15">
      <c r="B18" s="55" t="s">
        <v>133</v>
      </c>
      <c r="C18" s="60">
        <f>'rajas herrero'!L12</f>
        <v>58805</v>
      </c>
      <c r="D18" s="52">
        <f>'rajas herrero'!M12</f>
        <v>60520</v>
      </c>
      <c r="E18" s="52">
        <f>'rajas herrero'!N12</f>
        <v>63650</v>
      </c>
      <c r="F18" s="52">
        <f>'rajas herrero'!O12</f>
        <v>78700</v>
      </c>
      <c r="G18" s="52">
        <f>'rajas herrero'!P12</f>
        <v>61545</v>
      </c>
      <c r="H18" s="53">
        <f>'rajas herrero'!Q12</f>
        <v>92615</v>
      </c>
    </row>
    <row r="19" spans="2:8" ht="13.15">
      <c r="B19" s="55" t="s">
        <v>134</v>
      </c>
      <c r="C19" s="60">
        <f>'rajas herrero'!L13</f>
        <v>62415</v>
      </c>
      <c r="D19" s="52">
        <f>'rajas herrero'!M13</f>
        <v>64345</v>
      </c>
      <c r="E19" s="52">
        <f>'rajas herrero'!N13</f>
        <v>67870</v>
      </c>
      <c r="F19" s="52">
        <f>'rajas herrero'!O13</f>
        <v>84800</v>
      </c>
      <c r="G19" s="52">
        <f>'rajas herrero'!P13</f>
        <v>65500</v>
      </c>
      <c r="H19" s="53">
        <f>'rajas herrero'!Q13</f>
        <v>100455</v>
      </c>
    </row>
    <row r="20" spans="2:8" ht="13.15">
      <c r="B20" s="55" t="s">
        <v>135</v>
      </c>
      <c r="C20" s="60">
        <f>'rajas herrero'!L14</f>
        <v>44360</v>
      </c>
      <c r="D20" s="52">
        <f>'rajas herrero'!M14</f>
        <v>45220</v>
      </c>
      <c r="E20" s="52">
        <f>'rajas herrero'!N14</f>
        <v>46780</v>
      </c>
      <c r="F20" s="52">
        <f>'rajas herrero'!O14</f>
        <v>54300</v>
      </c>
      <c r="G20" s="52">
        <f>'rajas herrero'!P14</f>
        <v>45715</v>
      </c>
      <c r="H20" s="53">
        <f>'rajas herrero'!Q14</f>
        <v>61245</v>
      </c>
    </row>
    <row r="21" spans="2:8" ht="13.15">
      <c r="B21" s="55" t="s">
        <v>136</v>
      </c>
      <c r="C21" s="60">
        <f>'rajas herrero'!L15</f>
        <v>48320</v>
      </c>
      <c r="D21" s="52">
        <f>'rajas herrero'!M15</f>
        <v>49455</v>
      </c>
      <c r="E21" s="52">
        <f>'rajas herrero'!N15</f>
        <v>51550</v>
      </c>
      <c r="F21" s="52">
        <f>'rajas herrero'!O15</f>
        <v>61560</v>
      </c>
      <c r="G21" s="52">
        <f>'rajas herrero'!P15</f>
        <v>50120</v>
      </c>
      <c r="H21" s="53">
        <f>'rajas herrero'!Q15</f>
        <v>70820</v>
      </c>
    </row>
    <row r="22" spans="2:8" ht="13.15">
      <c r="B22" s="55" t="s">
        <v>137</v>
      </c>
      <c r="C22" s="60">
        <f>'rajas herrero'!L16</f>
        <v>52265</v>
      </c>
      <c r="D22" s="52">
        <f>'rajas herrero'!M16</f>
        <v>53685</v>
      </c>
      <c r="E22" s="52">
        <f>'rajas herrero'!N16</f>
        <v>56315</v>
      </c>
      <c r="F22" s="52">
        <f>'rajas herrero'!O16</f>
        <v>68815</v>
      </c>
      <c r="G22" s="52">
        <f>'rajas herrero'!P16</f>
        <v>54515</v>
      </c>
      <c r="H22" s="53">
        <f>'rajas herrero'!Q16</f>
        <v>80390</v>
      </c>
    </row>
    <row r="23" spans="2:8" ht="13.15">
      <c r="B23" s="55" t="s">
        <v>138</v>
      </c>
      <c r="C23" s="60">
        <f>'rajas herrero'!L17</f>
        <v>56210</v>
      </c>
      <c r="D23" s="52">
        <f>'rajas herrero'!M17</f>
        <v>57910</v>
      </c>
      <c r="E23" s="52">
        <f>'rajas herrero'!N17</f>
        <v>61075</v>
      </c>
      <c r="F23" s="52">
        <f>'rajas herrero'!O17</f>
        <v>76070</v>
      </c>
      <c r="G23" s="52">
        <f>'rajas herrero'!P17</f>
        <v>58910</v>
      </c>
      <c r="H23" s="53">
        <f>'rajas herrero'!Q17</f>
        <v>89960</v>
      </c>
    </row>
    <row r="24" spans="2:8" ht="13.15">
      <c r="B24" s="55" t="s">
        <v>139</v>
      </c>
      <c r="C24" s="60">
        <f>'rajas herrero'!L18</f>
        <v>60160</v>
      </c>
      <c r="D24" s="52">
        <f>'rajas herrero'!M18</f>
        <v>62140</v>
      </c>
      <c r="E24" s="52">
        <f>'rajas herrero'!N18</f>
        <v>65840</v>
      </c>
      <c r="F24" s="52">
        <f>'rajas herrero'!O18</f>
        <v>83320</v>
      </c>
      <c r="G24" s="52">
        <f>'rajas herrero'!P18</f>
        <v>63305</v>
      </c>
      <c r="H24" s="53">
        <f>'rajas herrero'!Q18</f>
        <v>99530</v>
      </c>
    </row>
    <row r="25" spans="2:8" ht="13.15">
      <c r="B25" s="55" t="s">
        <v>140</v>
      </c>
      <c r="C25" s="60">
        <f>'rajas herrero'!L19</f>
        <v>64105</v>
      </c>
      <c r="D25" s="52">
        <f>'rajas herrero'!M19</f>
        <v>66370</v>
      </c>
      <c r="E25" s="52">
        <f>'rajas herrero'!N19</f>
        <v>70605</v>
      </c>
      <c r="F25" s="52">
        <f>'rajas herrero'!O19</f>
        <v>90575</v>
      </c>
      <c r="G25" s="52">
        <f>'rajas herrero'!P19</f>
        <v>67700</v>
      </c>
      <c r="H25" s="53">
        <f>'rajas herrero'!Q19</f>
        <v>109100</v>
      </c>
    </row>
    <row r="26" spans="2:8" ht="13.15">
      <c r="B26" s="55" t="s">
        <v>141</v>
      </c>
      <c r="C26" s="60">
        <f>'rajas herrero'!L20</f>
        <v>68050</v>
      </c>
      <c r="D26" s="52">
        <f>'rajas herrero'!M20</f>
        <v>70595</v>
      </c>
      <c r="E26" s="52">
        <f>'rajas herrero'!N20</f>
        <v>75370</v>
      </c>
      <c r="F26" s="52">
        <f>'rajas herrero'!O20</f>
        <v>97825</v>
      </c>
      <c r="G26" s="52">
        <f>'rajas herrero'!P20</f>
        <v>72095</v>
      </c>
      <c r="H26" s="53">
        <f>'rajas herrero'!Q20</f>
        <v>118665</v>
      </c>
    </row>
    <row r="27" spans="2:8" ht="13.15">
      <c r="B27" s="55" t="s">
        <v>156</v>
      </c>
      <c r="C27" s="60">
        <f>'rajas herrero'!L21</f>
        <v>47975</v>
      </c>
      <c r="D27" s="52">
        <f>'rajas herrero'!M21</f>
        <v>49050</v>
      </c>
      <c r="E27" s="52">
        <f>'rajas herrero'!N21</f>
        <v>51000</v>
      </c>
      <c r="F27" s="52">
        <f>'rajas herrero'!O21</f>
        <v>60405</v>
      </c>
      <c r="G27" s="52">
        <f>'rajas herrero'!P21</f>
        <v>49680</v>
      </c>
      <c r="H27" s="53">
        <f>'rajas herrero'!Q21</f>
        <v>69090</v>
      </c>
    </row>
    <row r="28" spans="2:8" ht="13.15">
      <c r="B28" s="55" t="s">
        <v>157</v>
      </c>
      <c r="C28" s="60">
        <f>'rajas herrero'!L22</f>
        <v>52265</v>
      </c>
      <c r="D28" s="52">
        <f>'rajas herrero'!M22</f>
        <v>53685</v>
      </c>
      <c r="E28" s="52">
        <f>'rajas herrero'!N22</f>
        <v>56315</v>
      </c>
      <c r="F28" s="52">
        <f>'rajas herrero'!O22</f>
        <v>68815</v>
      </c>
      <c r="G28" s="52">
        <f>'rajas herrero'!P22</f>
        <v>54515</v>
      </c>
      <c r="H28" s="53">
        <f>'rajas herrero'!Q22</f>
        <v>80390</v>
      </c>
    </row>
    <row r="29" spans="2:8" ht="13.15">
      <c r="B29" s="55" t="s">
        <v>158</v>
      </c>
      <c r="C29" s="60">
        <f>'rajas herrero'!L23</f>
        <v>56540</v>
      </c>
      <c r="D29" s="52">
        <f>'rajas herrero'!M23</f>
        <v>58315</v>
      </c>
      <c r="E29" s="52">
        <f>'rajas herrero'!N23</f>
        <v>61625</v>
      </c>
      <c r="F29" s="52">
        <f>'rajas herrero'!O23</f>
        <v>77220</v>
      </c>
      <c r="G29" s="52">
        <f>'rajas herrero'!P23</f>
        <v>59350</v>
      </c>
      <c r="H29" s="53">
        <f>'rajas herrero'!Q23</f>
        <v>91690</v>
      </c>
    </row>
    <row r="30" spans="2:8" ht="13.15">
      <c r="B30" s="55" t="s">
        <v>159</v>
      </c>
      <c r="C30" s="60">
        <f>'rajas herrero'!L24</f>
        <v>60830</v>
      </c>
      <c r="D30" s="52">
        <f>'rajas herrero'!M24</f>
        <v>62950</v>
      </c>
      <c r="E30" s="52">
        <f>'rajas herrero'!N24</f>
        <v>66935</v>
      </c>
      <c r="F30" s="52">
        <f>'rajas herrero'!O24</f>
        <v>85750</v>
      </c>
      <c r="G30" s="52">
        <f>'rajas herrero'!P24</f>
        <v>64185</v>
      </c>
      <c r="H30" s="53">
        <f>'rajas herrero'!Q24</f>
        <v>102985</v>
      </c>
    </row>
    <row r="31" spans="2:8" ht="13.15">
      <c r="B31" s="55" t="s">
        <v>160</v>
      </c>
      <c r="C31" s="60">
        <f>'rajas herrero'!L25</f>
        <v>65120</v>
      </c>
      <c r="D31" s="52">
        <f>'rajas herrero'!M25</f>
        <v>67580</v>
      </c>
      <c r="E31" s="52">
        <f>'rajas herrero'!N25</f>
        <v>72250</v>
      </c>
      <c r="F31" s="52">
        <f>'rajas herrero'!O25</f>
        <v>94275</v>
      </c>
      <c r="G31" s="52">
        <f>'rajas herrero'!P25</f>
        <v>69025</v>
      </c>
      <c r="H31" s="53">
        <f>'rajas herrero'!Q25</f>
        <v>114285</v>
      </c>
    </row>
    <row r="32" spans="2:8" ht="13.15">
      <c r="B32" s="55" t="s">
        <v>161</v>
      </c>
      <c r="C32" s="60">
        <f>'rajas herrero'!L26</f>
        <v>69405</v>
      </c>
      <c r="D32" s="52">
        <f>'rajas herrero'!M26</f>
        <v>72215</v>
      </c>
      <c r="E32" s="52">
        <f>'rajas herrero'!N26</f>
        <v>77560</v>
      </c>
      <c r="F32" s="52">
        <f>'rajas herrero'!O26</f>
        <v>102800</v>
      </c>
      <c r="G32" s="52">
        <f>'rajas herrero'!P26</f>
        <v>73860</v>
      </c>
      <c r="H32" s="53">
        <f>'rajas herrero'!Q26</f>
        <v>125585</v>
      </c>
    </row>
    <row r="33" spans="2:8" ht="13.15">
      <c r="B33" s="55" t="s">
        <v>162</v>
      </c>
      <c r="C33" s="60">
        <f>'rajas herrero'!L27</f>
        <v>73695</v>
      </c>
      <c r="D33" s="52">
        <f>'rajas herrero'!M27</f>
        <v>76850</v>
      </c>
      <c r="E33" s="52">
        <f>'rajas herrero'!N27</f>
        <v>82875</v>
      </c>
      <c r="F33" s="52">
        <f>'rajas herrero'!O27</f>
        <v>111330</v>
      </c>
      <c r="G33" s="52">
        <f>'rajas herrero'!P27</f>
        <v>78695</v>
      </c>
      <c r="H33" s="53">
        <f>'rajas herrero'!Q27</f>
        <v>136880</v>
      </c>
    </row>
    <row r="34" spans="2:8" ht="13.15">
      <c r="B34" s="55" t="s">
        <v>163</v>
      </c>
      <c r="C34" s="60">
        <f>'rajas herrero'!L28</f>
        <v>51585</v>
      </c>
      <c r="D34" s="52">
        <f>'rajas herrero'!M28</f>
        <v>52875</v>
      </c>
      <c r="E34" s="52">
        <f>'rajas herrero'!N28</f>
        <v>55220</v>
      </c>
      <c r="F34" s="52">
        <f>'rajas herrero'!O28</f>
        <v>66505</v>
      </c>
      <c r="G34" s="52">
        <f>'rajas herrero'!P28</f>
        <v>53635</v>
      </c>
      <c r="H34" s="53">
        <f>'rajas herrero'!Q28</f>
        <v>76930</v>
      </c>
    </row>
    <row r="35" spans="2:8" ht="13.15">
      <c r="B35" s="55" t="s">
        <v>164</v>
      </c>
      <c r="C35" s="60">
        <f>'rajas herrero'!L29</f>
        <v>56210</v>
      </c>
      <c r="D35" s="52">
        <f>'rajas herrero'!M29</f>
        <v>57910</v>
      </c>
      <c r="E35" s="52">
        <f>'rajas herrero'!N29</f>
        <v>61075</v>
      </c>
      <c r="F35" s="52">
        <f>'rajas herrero'!O29</f>
        <v>76070</v>
      </c>
      <c r="G35" s="52">
        <f>'rajas herrero'!P29</f>
        <v>58910</v>
      </c>
      <c r="H35" s="53">
        <f>'rajas herrero'!Q29</f>
        <v>89960</v>
      </c>
    </row>
    <row r="36" spans="2:8" ht="13.15">
      <c r="B36" s="55" t="s">
        <v>165</v>
      </c>
      <c r="C36" s="60">
        <f>'rajas herrero'!L30</f>
        <v>60830</v>
      </c>
      <c r="D36" s="52">
        <f>'rajas herrero'!M30</f>
        <v>62950</v>
      </c>
      <c r="E36" s="52">
        <f>'rajas herrero'!N30</f>
        <v>66935</v>
      </c>
      <c r="F36" s="52">
        <f>'rajas herrero'!O30</f>
        <v>85750</v>
      </c>
      <c r="G36" s="52">
        <f>'rajas herrero'!P30</f>
        <v>64185</v>
      </c>
      <c r="H36" s="53">
        <f>'rajas herrero'!Q30</f>
        <v>102985</v>
      </c>
    </row>
    <row r="37" spans="2:8" ht="13.15">
      <c r="B37" s="55" t="s">
        <v>166</v>
      </c>
      <c r="C37" s="60">
        <f>'rajas herrero'!L31</f>
        <v>65465</v>
      </c>
      <c r="D37" s="52">
        <f>'rajas herrero'!M31</f>
        <v>67990</v>
      </c>
      <c r="E37" s="52">
        <f>'rajas herrero'!N31</f>
        <v>72795</v>
      </c>
      <c r="F37" s="52">
        <f>'rajas herrero'!O31</f>
        <v>95430</v>
      </c>
      <c r="G37" s="52">
        <f>'rajas herrero'!P31</f>
        <v>69465</v>
      </c>
      <c r="H37" s="53">
        <f>'rajas herrero'!Q31</f>
        <v>116015</v>
      </c>
    </row>
    <row r="38" spans="2:8" ht="13.15">
      <c r="B38" s="55" t="s">
        <v>167</v>
      </c>
      <c r="C38" s="60">
        <f>'rajas herrero'!L32</f>
        <v>70085</v>
      </c>
      <c r="D38" s="52">
        <f>'rajas herrero'!M32</f>
        <v>73025</v>
      </c>
      <c r="E38" s="52">
        <f>'rajas herrero'!N32</f>
        <v>78655</v>
      </c>
      <c r="F38" s="52">
        <f>'rajas herrero'!O32</f>
        <v>105110</v>
      </c>
      <c r="G38" s="52">
        <f>'rajas herrero'!P32</f>
        <v>74740</v>
      </c>
      <c r="H38" s="53">
        <f>'rajas herrero'!Q32</f>
        <v>129040</v>
      </c>
    </row>
    <row r="39" spans="2:8" ht="13.15">
      <c r="B39" s="55" t="s">
        <v>168</v>
      </c>
      <c r="C39" s="60">
        <f>'rajas herrero'!L33</f>
        <v>74705</v>
      </c>
      <c r="D39" s="52">
        <f>'rajas herrero'!M33</f>
        <v>78065</v>
      </c>
      <c r="E39" s="52">
        <f>'rajas herrero'!N33</f>
        <v>84515</v>
      </c>
      <c r="F39" s="52">
        <f>'rajas herrero'!O33</f>
        <v>114795</v>
      </c>
      <c r="G39" s="52">
        <f>'rajas herrero'!P33</f>
        <v>80015</v>
      </c>
      <c r="H39" s="53">
        <f>'rajas herrero'!Q33</f>
        <v>142065</v>
      </c>
    </row>
    <row r="40" spans="2:8" ht="13.15">
      <c r="B40" s="55" t="s">
        <v>169</v>
      </c>
      <c r="C40" s="60">
        <f>'rajas herrero'!L34</f>
        <v>79330</v>
      </c>
      <c r="D40" s="52">
        <f>'rajas herrero'!M34</f>
        <v>83100</v>
      </c>
      <c r="E40" s="52">
        <f>'rajas herrero'!N34</f>
        <v>90375</v>
      </c>
      <c r="F40" s="52">
        <f>'rajas herrero'!O34</f>
        <v>124475</v>
      </c>
      <c r="G40" s="52">
        <f>'rajas herrero'!P34</f>
        <v>85290</v>
      </c>
      <c r="H40" s="53">
        <f>'rajas herrero'!Q34</f>
        <v>155095</v>
      </c>
    </row>
    <row r="41" spans="2:8" ht="13.15">
      <c r="B41" s="55" t="s">
        <v>170</v>
      </c>
      <c r="C41" s="60">
        <f>'rajas herrero'!L35</f>
        <v>55195</v>
      </c>
      <c r="D41" s="52">
        <f>'rajas herrero'!M35</f>
        <v>56695</v>
      </c>
      <c r="E41" s="52">
        <f>'rajas herrero'!N35</f>
        <v>59435</v>
      </c>
      <c r="F41" s="52">
        <f>'rajas herrero'!O35</f>
        <v>72605</v>
      </c>
      <c r="G41" s="52">
        <f>'rajas herrero'!P35</f>
        <v>57590</v>
      </c>
      <c r="H41" s="53">
        <f>'rajas herrero'!Q35</f>
        <v>84775</v>
      </c>
    </row>
    <row r="42" spans="2:8" ht="13.15">
      <c r="B42" s="55" t="s">
        <v>171</v>
      </c>
      <c r="C42" s="60">
        <f>'rajas herrero'!L36</f>
        <v>60160</v>
      </c>
      <c r="D42" s="52">
        <f>'rajas herrero'!M36</f>
        <v>62140</v>
      </c>
      <c r="E42" s="52">
        <f>'rajas herrero'!N36</f>
        <v>65840</v>
      </c>
      <c r="F42" s="52">
        <f>'rajas herrero'!O36</f>
        <v>83320</v>
      </c>
      <c r="G42" s="52">
        <f>'rajas herrero'!P36</f>
        <v>63305</v>
      </c>
      <c r="H42" s="53">
        <f>'rajas herrero'!Q36</f>
        <v>99530</v>
      </c>
    </row>
    <row r="43" spans="2:8" ht="13.15">
      <c r="B43" s="55" t="s">
        <v>172</v>
      </c>
      <c r="C43" s="60">
        <f>'rajas herrero'!L37</f>
        <v>70085</v>
      </c>
      <c r="D43" s="52">
        <f>'rajas herrero'!M37</f>
        <v>73025</v>
      </c>
      <c r="E43" s="52">
        <f>'rajas herrero'!N37</f>
        <v>78655</v>
      </c>
      <c r="F43" s="52">
        <f>'rajas herrero'!O37</f>
        <v>105110</v>
      </c>
      <c r="G43" s="52">
        <f>'rajas herrero'!P37</f>
        <v>74740</v>
      </c>
      <c r="H43" s="53">
        <f>'rajas herrero'!Q37</f>
        <v>129040</v>
      </c>
    </row>
    <row r="44" spans="2:8" ht="13.15">
      <c r="B44" s="55" t="s">
        <v>173</v>
      </c>
      <c r="C44" s="60">
        <f>'rajas herrero'!L38</f>
        <v>75040</v>
      </c>
      <c r="D44" s="52">
        <f>'rajas herrero'!M38</f>
        <v>78470</v>
      </c>
      <c r="E44" s="52">
        <f>'rajas herrero'!N38</f>
        <v>85065</v>
      </c>
      <c r="F44" s="52">
        <f>'rajas herrero'!O38</f>
        <v>115950</v>
      </c>
      <c r="G44" s="52">
        <f>'rajas herrero'!P38</f>
        <v>80455</v>
      </c>
      <c r="H44" s="53">
        <f>'rajas herrero'!Q38</f>
        <v>143795</v>
      </c>
    </row>
    <row r="45" spans="2:8" ht="13.15">
      <c r="B45" s="55" t="s">
        <v>174</v>
      </c>
      <c r="C45" s="60">
        <f>'rajas herrero'!L39</f>
        <v>79995</v>
      </c>
      <c r="D45" s="52">
        <f>'rajas herrero'!M39</f>
        <v>83910</v>
      </c>
      <c r="E45" s="52">
        <f>'rajas herrero'!N39</f>
        <v>91470</v>
      </c>
      <c r="F45" s="52">
        <f>'rajas herrero'!O39</f>
        <v>126785</v>
      </c>
      <c r="G45" s="52">
        <f>'rajas herrero'!P39</f>
        <v>86175</v>
      </c>
      <c r="H45" s="53">
        <f>'rajas herrero'!Q39</f>
        <v>158550</v>
      </c>
    </row>
    <row r="46" spans="2:8" ht="13.15">
      <c r="B46" s="55" t="s">
        <v>175</v>
      </c>
      <c r="C46" s="60">
        <f>'rajas herrero'!L40</f>
        <v>84950</v>
      </c>
      <c r="D46" s="52">
        <f>'rajas herrero'!M40</f>
        <v>89355</v>
      </c>
      <c r="E46" s="52">
        <f>'rajas herrero'!N40</f>
        <v>97880</v>
      </c>
      <c r="F46" s="52">
        <f>'rajas herrero'!O40</f>
        <v>137620</v>
      </c>
      <c r="G46" s="52">
        <f>'rajas herrero'!P40</f>
        <v>91890</v>
      </c>
      <c r="H46" s="53">
        <f>'rajas herrero'!Q40</f>
        <v>173305</v>
      </c>
    </row>
    <row r="47" spans="2:8" ht="13.15">
      <c r="B47" s="55" t="s">
        <v>176</v>
      </c>
      <c r="C47" s="60">
        <f>'rajas herrero'!L41</f>
        <v>58805</v>
      </c>
      <c r="D47" s="52">
        <f>'rajas herrero'!M41</f>
        <v>60520</v>
      </c>
      <c r="E47" s="52">
        <f>'rajas herrero'!N41</f>
        <v>63650</v>
      </c>
      <c r="F47" s="52">
        <f>'rajas herrero'!O41</f>
        <v>78700</v>
      </c>
      <c r="G47" s="52">
        <f>'rajas herrero'!P41</f>
        <v>61545</v>
      </c>
      <c r="H47" s="53">
        <f>'rajas herrero'!Q41</f>
        <v>92615</v>
      </c>
    </row>
    <row r="48" spans="2:8" ht="13.15">
      <c r="B48" s="55" t="s">
        <v>177</v>
      </c>
      <c r="C48" s="60">
        <f>'rajas herrero'!L42</f>
        <v>64105</v>
      </c>
      <c r="D48" s="52">
        <f>'rajas herrero'!M42</f>
        <v>66370</v>
      </c>
      <c r="E48" s="52">
        <f>'rajas herrero'!N42</f>
        <v>70605</v>
      </c>
      <c r="F48" s="52">
        <f>'rajas herrero'!O42</f>
        <v>90575</v>
      </c>
      <c r="G48" s="52">
        <f>'rajas herrero'!P42</f>
        <v>67700</v>
      </c>
      <c r="H48" s="53">
        <f>'rajas herrero'!Q42</f>
        <v>109100</v>
      </c>
    </row>
    <row r="49" spans="2:8" ht="13.15">
      <c r="B49" s="55" t="s">
        <v>178</v>
      </c>
      <c r="C49" s="60">
        <f>'rajas herrero'!L43</f>
        <v>69405</v>
      </c>
      <c r="D49" s="52">
        <f>'rajas herrero'!M43</f>
        <v>72215</v>
      </c>
      <c r="E49" s="52">
        <f>'rajas herrero'!N43</f>
        <v>77560</v>
      </c>
      <c r="F49" s="52">
        <f>'rajas herrero'!O43</f>
        <v>102800</v>
      </c>
      <c r="G49" s="52">
        <f>'rajas herrero'!P43</f>
        <v>73860</v>
      </c>
      <c r="H49" s="53">
        <f>'rajas herrero'!Q43</f>
        <v>125585</v>
      </c>
    </row>
    <row r="50" spans="2:8" ht="13.15">
      <c r="B50" s="55" t="s">
        <v>179</v>
      </c>
      <c r="C50" s="60">
        <f>'rajas herrero'!L44</f>
        <v>74705</v>
      </c>
      <c r="D50" s="52">
        <f>'rajas herrero'!M44</f>
        <v>78065</v>
      </c>
      <c r="E50" s="52">
        <f>'rajas herrero'!N44</f>
        <v>84515</v>
      </c>
      <c r="F50" s="52">
        <f>'rajas herrero'!O44</f>
        <v>114795</v>
      </c>
      <c r="G50" s="52">
        <f>'rajas herrero'!P44</f>
        <v>80015</v>
      </c>
      <c r="H50" s="53">
        <f>'rajas herrero'!Q44</f>
        <v>142065</v>
      </c>
    </row>
    <row r="51" spans="2:8" ht="13.15">
      <c r="B51" s="55" t="s">
        <v>180</v>
      </c>
      <c r="C51" s="60">
        <f>'rajas herrero'!L45</f>
        <v>79995</v>
      </c>
      <c r="D51" s="52">
        <f>'rajas herrero'!M45</f>
        <v>83910</v>
      </c>
      <c r="E51" s="52">
        <f>'rajas herrero'!N45</f>
        <v>91470</v>
      </c>
      <c r="F51" s="52">
        <f>'rajas herrero'!O45</f>
        <v>126785</v>
      </c>
      <c r="G51" s="52">
        <f>'rajas herrero'!P45</f>
        <v>86175</v>
      </c>
      <c r="H51" s="53">
        <f>'rajas herrero'!Q45</f>
        <v>158550</v>
      </c>
    </row>
    <row r="52" spans="2:8" ht="13.15">
      <c r="B52" s="55" t="s">
        <v>181</v>
      </c>
      <c r="C52" s="60">
        <f>'rajas herrero'!L46</f>
        <v>85295</v>
      </c>
      <c r="D52" s="52">
        <f>'rajas herrero'!M46</f>
        <v>89760</v>
      </c>
      <c r="E52" s="52">
        <f>'rajas herrero'!N46</f>
        <v>98425</v>
      </c>
      <c r="F52" s="52">
        <f>'rajas herrero'!O46</f>
        <v>138775</v>
      </c>
      <c r="G52" s="52">
        <f>'rajas herrero'!P46</f>
        <v>92330</v>
      </c>
      <c r="H52" s="53">
        <f>'rajas herrero'!Q46</f>
        <v>175035</v>
      </c>
    </row>
    <row r="53" spans="2:8" ht="13.15">
      <c r="B53" s="55" t="s">
        <v>182</v>
      </c>
      <c r="C53" s="60">
        <f>'rajas herrero'!L47</f>
        <v>90600</v>
      </c>
      <c r="D53" s="52">
        <f>'rajas herrero'!M47</f>
        <v>95615</v>
      </c>
      <c r="E53" s="52">
        <f>'rajas herrero'!N47</f>
        <v>105375</v>
      </c>
      <c r="F53" s="52">
        <f>'rajas herrero'!O47</f>
        <v>150775</v>
      </c>
      <c r="G53" s="52">
        <f>'rajas herrero'!P47</f>
        <v>98495</v>
      </c>
      <c r="H53" s="53">
        <f>'rajas herrero'!Q47</f>
        <v>191530</v>
      </c>
    </row>
    <row r="54" spans="2:8" ht="13.15">
      <c r="B54" s="55" t="s">
        <v>183</v>
      </c>
      <c r="C54" s="60">
        <f>'rajas herrero'!L48</f>
        <v>62415</v>
      </c>
      <c r="D54" s="52">
        <f>'rajas herrero'!M48</f>
        <v>64345</v>
      </c>
      <c r="E54" s="52">
        <f>'rajas herrero'!N48</f>
        <v>67870</v>
      </c>
      <c r="F54" s="52">
        <f>'rajas herrero'!O48</f>
        <v>84800</v>
      </c>
      <c r="G54" s="52">
        <f>'rajas herrero'!P48</f>
        <v>65500</v>
      </c>
      <c r="H54" s="53">
        <f>'rajas herrero'!Q48</f>
        <v>100455</v>
      </c>
    </row>
    <row r="55" spans="2:8" ht="13.15">
      <c r="B55" s="55" t="s">
        <v>184</v>
      </c>
      <c r="C55" s="60">
        <f>'rajas herrero'!L49</f>
        <v>68050</v>
      </c>
      <c r="D55" s="52">
        <f>'rajas herrero'!M49</f>
        <v>70595</v>
      </c>
      <c r="E55" s="52">
        <f>'rajas herrero'!N49</f>
        <v>75370</v>
      </c>
      <c r="F55" s="52">
        <f>'rajas herrero'!O49</f>
        <v>97825</v>
      </c>
      <c r="G55" s="52">
        <f>'rajas herrero'!P49</f>
        <v>72095</v>
      </c>
      <c r="H55" s="53">
        <f>'rajas herrero'!Q49</f>
        <v>118665</v>
      </c>
    </row>
    <row r="56" spans="2:8" ht="13.15">
      <c r="B56" s="55" t="s">
        <v>185</v>
      </c>
      <c r="C56" s="60">
        <f>'rajas herrero'!L50</f>
        <v>73695</v>
      </c>
      <c r="D56" s="52">
        <f>'rajas herrero'!M50</f>
        <v>76850</v>
      </c>
      <c r="E56" s="52">
        <f>'rajas herrero'!N50</f>
        <v>82875</v>
      </c>
      <c r="F56" s="52">
        <f>'rajas herrero'!O50</f>
        <v>111330</v>
      </c>
      <c r="G56" s="52">
        <f>'rajas herrero'!P50</f>
        <v>78695</v>
      </c>
      <c r="H56" s="53">
        <f>'rajas herrero'!Q50</f>
        <v>136880</v>
      </c>
    </row>
    <row r="57" spans="2:8" ht="13.15">
      <c r="B57" s="55" t="s">
        <v>186</v>
      </c>
      <c r="C57" s="60">
        <f>'rajas herrero'!L51</f>
        <v>79330</v>
      </c>
      <c r="D57" s="52">
        <f>'rajas herrero'!M51</f>
        <v>83100</v>
      </c>
      <c r="E57" s="52">
        <f>'rajas herrero'!N51</f>
        <v>90375</v>
      </c>
      <c r="F57" s="52">
        <f>'rajas herrero'!O51</f>
        <v>124475</v>
      </c>
      <c r="G57" s="52">
        <f>'rajas herrero'!P51</f>
        <v>85290</v>
      </c>
      <c r="H57" s="53">
        <f>'rajas herrero'!Q51</f>
        <v>155095</v>
      </c>
    </row>
    <row r="58" spans="2:8" ht="13.15">
      <c r="B58" s="55" t="s">
        <v>187</v>
      </c>
      <c r="C58" s="60">
        <f>'rajas herrero'!L52</f>
        <v>84950</v>
      </c>
      <c r="D58" s="52">
        <f>'rajas herrero'!M52</f>
        <v>89355</v>
      </c>
      <c r="E58" s="52">
        <f>'rajas herrero'!N52</f>
        <v>97880</v>
      </c>
      <c r="F58" s="52">
        <f>'rajas herrero'!O52</f>
        <v>137620</v>
      </c>
      <c r="G58" s="52">
        <f>'rajas herrero'!P52</f>
        <v>91890</v>
      </c>
      <c r="H58" s="53">
        <f>'rajas herrero'!Q52</f>
        <v>173305</v>
      </c>
    </row>
    <row r="59" spans="2:8" ht="13.15">
      <c r="B59" s="55" t="s">
        <v>188</v>
      </c>
      <c r="C59" s="60">
        <f>'rajas herrero'!L53</f>
        <v>90600</v>
      </c>
      <c r="D59" s="52">
        <f>'rajas herrero'!M53</f>
        <v>95615</v>
      </c>
      <c r="E59" s="52">
        <f>'rajas herrero'!N53</f>
        <v>105375</v>
      </c>
      <c r="F59" s="52">
        <f>'rajas herrero'!O53</f>
        <v>150775</v>
      </c>
      <c r="G59" s="52">
        <f>'rajas herrero'!P53</f>
        <v>98495</v>
      </c>
      <c r="H59" s="53">
        <f>'rajas herrero'!Q53</f>
        <v>191530</v>
      </c>
    </row>
    <row r="60" spans="2:8" ht="13.15">
      <c r="B60" s="55" t="s">
        <v>15</v>
      </c>
      <c r="C60" s="60">
        <f>'rajas herrero'!L54</f>
        <v>96245</v>
      </c>
      <c r="D60" s="52">
        <f>'rajas herrero'!M54</f>
        <v>101245</v>
      </c>
      <c r="E60" s="52">
        <f>'rajas herrero'!N54</f>
        <v>112870</v>
      </c>
      <c r="F60" s="52">
        <f>'rajas herrero'!O54</f>
        <v>163290</v>
      </c>
      <c r="G60" s="52">
        <f>'rajas herrero'!P54</f>
        <v>105095</v>
      </c>
      <c r="H60" s="53">
        <f>'rajas herrero'!Q54</f>
        <v>209740</v>
      </c>
    </row>
    <row r="61" spans="2:8" ht="13.15">
      <c r="B61" s="55" t="s">
        <v>189</v>
      </c>
      <c r="C61" s="60">
        <f>'rajas herrero'!L55</f>
        <v>66025</v>
      </c>
      <c r="D61" s="52">
        <f>'rajas herrero'!M55</f>
        <v>68170</v>
      </c>
      <c r="E61" s="52">
        <f>'rajas herrero'!N55</f>
        <v>72095</v>
      </c>
      <c r="F61" s="52">
        <f>'rajas herrero'!O55</f>
        <v>90860</v>
      </c>
      <c r="G61" s="52">
        <f>'rajas herrero'!P55</f>
        <v>69405</v>
      </c>
      <c r="H61" s="53">
        <f>'rajas herrero'!Q55</f>
        <v>108210</v>
      </c>
    </row>
    <row r="62" spans="2:8" ht="13.15">
      <c r="B62" s="55" t="s">
        <v>190</v>
      </c>
      <c r="C62" s="60">
        <f>'rajas herrero'!L56</f>
        <v>72005</v>
      </c>
      <c r="D62" s="52">
        <f>'rajas herrero'!M56</f>
        <v>74850</v>
      </c>
      <c r="E62" s="52">
        <f>'rajas herrero'!N56</f>
        <v>80090</v>
      </c>
      <c r="F62" s="52">
        <f>'rajas herrero'!O56</f>
        <v>105115</v>
      </c>
      <c r="G62" s="52">
        <f>'rajas herrero'!P56</f>
        <v>76505</v>
      </c>
      <c r="H62" s="53">
        <f>'rajas herrero'!Q56</f>
        <v>128255</v>
      </c>
    </row>
    <row r="63" spans="2:8" ht="13.15">
      <c r="B63" s="55" t="s">
        <v>191</v>
      </c>
      <c r="C63" s="60">
        <f>'rajas herrero'!L57</f>
        <v>77985</v>
      </c>
      <c r="D63" s="52">
        <f>'rajas herrero'!M57</f>
        <v>81540</v>
      </c>
      <c r="E63" s="52">
        <f>'rajas herrero'!N57</f>
        <v>88080</v>
      </c>
      <c r="F63" s="52">
        <f>'rajas herrero'!O57</f>
        <v>119365</v>
      </c>
      <c r="G63" s="52">
        <f>'rajas herrero'!P57</f>
        <v>83600</v>
      </c>
      <c r="H63" s="53">
        <f>'rajas herrero'!Q57</f>
        <v>148295</v>
      </c>
    </row>
    <row r="64" spans="2:8" ht="13.15">
      <c r="B64" s="55" t="s">
        <v>192</v>
      </c>
      <c r="C64" s="60">
        <f>'rajas herrero'!L58</f>
        <v>83960</v>
      </c>
      <c r="D64" s="52">
        <f>'rajas herrero'!M58</f>
        <v>88225</v>
      </c>
      <c r="E64" s="52">
        <f>'rajas herrero'!N58</f>
        <v>96070</v>
      </c>
      <c r="F64" s="52">
        <f>'rajas herrero'!O58</f>
        <v>133620</v>
      </c>
      <c r="G64" s="52">
        <f>'rajas herrero'!P58</f>
        <v>90700</v>
      </c>
      <c r="H64" s="53">
        <f>'rajas herrero'!Q58</f>
        <v>168335</v>
      </c>
    </row>
    <row r="65" spans="2:8" ht="13.15">
      <c r="B65" s="55" t="s">
        <v>193</v>
      </c>
      <c r="C65" s="60">
        <f>'rajas herrero'!L59</f>
        <v>89945</v>
      </c>
      <c r="D65" s="52">
        <f>'rajas herrero'!M59</f>
        <v>94910</v>
      </c>
      <c r="E65" s="52">
        <f>'rajas herrero'!N59</f>
        <v>104065</v>
      </c>
      <c r="F65" s="52">
        <f>'rajas herrero'!O59</f>
        <v>147880</v>
      </c>
      <c r="G65" s="52">
        <f>'rajas herrero'!P59</f>
        <v>97805</v>
      </c>
      <c r="H65" s="53">
        <f>'rajas herrero'!Q59</f>
        <v>188385</v>
      </c>
    </row>
    <row r="66" spans="2:8" ht="13.15">
      <c r="B66" s="55" t="s">
        <v>194</v>
      </c>
      <c r="C66" s="60">
        <f>'rajas herrero'!L60</f>
        <v>95925</v>
      </c>
      <c r="D66" s="52">
        <f>'rajas herrero'!M60</f>
        <v>101595</v>
      </c>
      <c r="E66" s="52">
        <f>'rajas herrero'!N60</f>
        <v>112060</v>
      </c>
      <c r="F66" s="52">
        <f>'rajas herrero'!O60</f>
        <v>162135</v>
      </c>
      <c r="G66" s="52">
        <f>'rajas herrero'!P60</f>
        <v>104900</v>
      </c>
      <c r="H66" s="53">
        <f>'rajas herrero'!Q60</f>
        <v>208425</v>
      </c>
    </row>
    <row r="67" spans="2:8" ht="13.15">
      <c r="B67" s="55" t="s">
        <v>58</v>
      </c>
      <c r="C67" s="60">
        <f>'rajas herrero'!L61</f>
        <v>101905</v>
      </c>
      <c r="D67" s="52">
        <f>'rajas herrero'!M61</f>
        <v>108275</v>
      </c>
      <c r="E67" s="52">
        <f>'rajas herrero'!N61</f>
        <v>120050</v>
      </c>
      <c r="F67" s="52">
        <f>'rajas herrero'!O61</f>
        <v>176385</v>
      </c>
      <c r="G67" s="52">
        <f>'rajas herrero'!P61</f>
        <v>112000</v>
      </c>
      <c r="H67" s="53">
        <f>'rajas herrero'!Q61</f>
        <v>228470</v>
      </c>
    </row>
    <row r="68" spans="2:8" ht="13.15">
      <c r="B68" s="55" t="s">
        <v>142</v>
      </c>
      <c r="C68" s="60">
        <f>'rajas herrero'!L62</f>
        <v>69645</v>
      </c>
      <c r="D68" s="52">
        <f>'rajas herrero'!M62</f>
        <v>71990</v>
      </c>
      <c r="E68" s="52">
        <f>'rajas herrero'!N62</f>
        <v>76315</v>
      </c>
      <c r="F68" s="52">
        <f>'rajas herrero'!O62</f>
        <v>96960</v>
      </c>
      <c r="G68" s="52">
        <f>'rajas herrero'!P62</f>
        <v>73350</v>
      </c>
      <c r="H68" s="53">
        <f>'rajas herrero'!Q62</f>
        <v>116035</v>
      </c>
    </row>
    <row r="69" spans="2:8" ht="13.15">
      <c r="B69" s="55" t="s">
        <v>143</v>
      </c>
      <c r="C69" s="60">
        <f>'rajas herrero'!L63</f>
        <v>75960</v>
      </c>
      <c r="D69" s="52">
        <f>'rajas herrero'!M63</f>
        <v>79090</v>
      </c>
      <c r="E69" s="52">
        <f>'rajas herrero'!N63</f>
        <v>84850</v>
      </c>
      <c r="F69" s="52">
        <f>'rajas herrero'!O63</f>
        <v>112380</v>
      </c>
      <c r="G69" s="52">
        <f>'rajas herrero'!P63</f>
        <v>80900</v>
      </c>
      <c r="H69" s="53">
        <f>'rajas herrero'!Q63</f>
        <v>137820</v>
      </c>
    </row>
    <row r="70" spans="2:8" ht="13.15">
      <c r="B70" s="55" t="s">
        <v>144</v>
      </c>
      <c r="C70" s="60">
        <f>'rajas herrero'!L64</f>
        <v>82270</v>
      </c>
      <c r="D70" s="52">
        <f>'rajas herrero'!M64</f>
        <v>86185</v>
      </c>
      <c r="E70" s="52">
        <f>'rajas herrero'!N64</f>
        <v>93390</v>
      </c>
      <c r="F70" s="52">
        <f>'rajas herrero'!O64</f>
        <v>127800</v>
      </c>
      <c r="G70" s="52">
        <f>'rajas herrero'!P64</f>
        <v>88450</v>
      </c>
      <c r="H70" s="53">
        <f>'rajas herrero'!Q64</f>
        <v>159605</v>
      </c>
    </row>
    <row r="71" spans="2:8" ht="13.15">
      <c r="B71" s="55" t="s">
        <v>145</v>
      </c>
      <c r="C71" s="60">
        <f>'rajas herrero'!L65</f>
        <v>88590</v>
      </c>
      <c r="D71" s="52">
        <f>'rajas herrero'!M65</f>
        <v>93290</v>
      </c>
      <c r="E71" s="52">
        <f>'rajas herrero'!N65</f>
        <v>101935</v>
      </c>
      <c r="F71" s="52">
        <f>'rajas herrero'!O65</f>
        <v>143225</v>
      </c>
      <c r="G71" s="52">
        <f>'rajas herrero'!P65</f>
        <v>96005</v>
      </c>
      <c r="H71" s="53">
        <f>'rajas herrero'!Q65</f>
        <v>181400</v>
      </c>
    </row>
    <row r="72" spans="2:8" ht="13.15">
      <c r="B72" s="55" t="s">
        <v>146</v>
      </c>
      <c r="C72" s="60">
        <f>'rajas herrero'!L66</f>
        <v>94900</v>
      </c>
      <c r="D72" s="52">
        <f>'rajas herrero'!M66</f>
        <v>100390</v>
      </c>
      <c r="E72" s="52">
        <f>'rajas herrero'!N66</f>
        <v>110475</v>
      </c>
      <c r="F72" s="52">
        <f>'rajas herrero'!O66</f>
        <v>158645</v>
      </c>
      <c r="G72" s="52">
        <f>'rajas herrero'!P66</f>
        <v>103560</v>
      </c>
      <c r="H72" s="53">
        <f>'rajas herrero'!Q66</f>
        <v>203185</v>
      </c>
    </row>
    <row r="73" spans="2:8" ht="13.15">
      <c r="B73" s="55" t="s">
        <v>147</v>
      </c>
      <c r="C73" s="60">
        <f>'rajas herrero'!L67</f>
        <v>101215</v>
      </c>
      <c r="D73" s="52">
        <f>'rajas herrero'!M67</f>
        <v>107490</v>
      </c>
      <c r="E73" s="52">
        <f>'rajas herrero'!N67</f>
        <v>119015</v>
      </c>
      <c r="F73" s="52">
        <f>'rajas herrero'!O67</f>
        <v>174065</v>
      </c>
      <c r="G73" s="52">
        <f>'rajas herrero'!P67</f>
        <v>111105</v>
      </c>
      <c r="H73" s="53">
        <f>'rajas herrero'!Q67</f>
        <v>224970</v>
      </c>
    </row>
    <row r="74" spans="2:8" ht="13.15">
      <c r="B74" s="55" t="s">
        <v>107</v>
      </c>
      <c r="C74" s="60">
        <f>'rajas herrero'!L68</f>
        <v>107525</v>
      </c>
      <c r="D74" s="52">
        <f>'rajas herrero'!M68</f>
        <v>114585</v>
      </c>
      <c r="E74" s="52">
        <f>'rajas herrero'!N68</f>
        <v>127550</v>
      </c>
      <c r="F74" s="52">
        <f>'rajas herrero'!O68</f>
        <v>189485</v>
      </c>
      <c r="G74" s="52">
        <f>'rajas herrero'!P68</f>
        <v>118660</v>
      </c>
      <c r="H74" s="53">
        <f>'rajas herrero'!Q68</f>
        <v>246755</v>
      </c>
    </row>
    <row r="75" spans="2:8" ht="13.15">
      <c r="B75" s="55" t="s">
        <v>148</v>
      </c>
      <c r="C75" s="60">
        <f>'rajas herrero'!L69</f>
        <v>80480</v>
      </c>
      <c r="D75" s="52">
        <f>'rajas herrero'!M69</f>
        <v>83470</v>
      </c>
      <c r="E75" s="52">
        <f>'rajas herrero'!N69</f>
        <v>88970</v>
      </c>
      <c r="F75" s="52">
        <f>'rajas herrero'!O69</f>
        <v>115245</v>
      </c>
      <c r="G75" s="52">
        <f>'rajas herrero'!P69</f>
        <v>85210</v>
      </c>
      <c r="H75" s="53">
        <f>'rajas herrero'!Q69</f>
        <v>139535</v>
      </c>
    </row>
    <row r="76" spans="2:8" ht="13.15">
      <c r="B76" s="55" t="s">
        <v>149</v>
      </c>
      <c r="C76" s="60">
        <f>'rajas herrero'!L70</f>
        <v>87805</v>
      </c>
      <c r="D76" s="52">
        <f>'rajas herrero'!M70</f>
        <v>91795</v>
      </c>
      <c r="E76" s="52">
        <f>'rajas herrero'!N70</f>
        <v>99130</v>
      </c>
      <c r="F76" s="52">
        <f>'rajas herrero'!O70</f>
        <v>134155</v>
      </c>
      <c r="G76" s="52">
        <f>'rajas herrero'!P70</f>
        <v>94105</v>
      </c>
      <c r="H76" s="53">
        <f>'rajas herrero'!Q70</f>
        <v>166540</v>
      </c>
    </row>
    <row r="77" spans="2:8" ht="13.15">
      <c r="B77" s="55" t="s">
        <v>150</v>
      </c>
      <c r="C77" s="60">
        <f>'rajas herrero'!L71</f>
        <v>95130</v>
      </c>
      <c r="D77" s="52">
        <f>'rajas herrero'!M71</f>
        <v>100120</v>
      </c>
      <c r="E77" s="52">
        <f>'rajas herrero'!N71</f>
        <v>109285</v>
      </c>
      <c r="F77" s="52">
        <f>'rajas herrero'!O71</f>
        <v>153065</v>
      </c>
      <c r="G77" s="52">
        <f>'rajas herrero'!P71</f>
        <v>103000</v>
      </c>
      <c r="H77" s="53">
        <f>'rajas herrero'!Q71</f>
        <v>193535</v>
      </c>
    </row>
    <row r="78" spans="2:8" ht="13.15">
      <c r="B78" s="55" t="s">
        <v>151</v>
      </c>
      <c r="C78" s="60">
        <f>'rajas herrero'!L72</f>
        <v>102455</v>
      </c>
      <c r="D78" s="52">
        <f>'rajas herrero'!M72</f>
        <v>108445</v>
      </c>
      <c r="E78" s="52">
        <f>'rajas herrero'!N72</f>
        <v>119445</v>
      </c>
      <c r="F78" s="52">
        <f>'rajas herrero'!O72</f>
        <v>171975</v>
      </c>
      <c r="G78" s="52">
        <f>'rajas herrero'!P72</f>
        <v>111895</v>
      </c>
      <c r="H78" s="53">
        <f>'rajas herrero'!Q72</f>
        <v>220535</v>
      </c>
    </row>
    <row r="79" spans="2:8" ht="13.15">
      <c r="B79" s="55" t="s">
        <v>152</v>
      </c>
      <c r="C79" s="60">
        <f>'rajas herrero'!L73</f>
        <v>109780</v>
      </c>
      <c r="D79" s="52">
        <f>'rajas herrero'!M73</f>
        <v>116765</v>
      </c>
      <c r="E79" s="52">
        <f>'rajas herrero'!N73</f>
        <v>129600</v>
      </c>
      <c r="F79" s="52">
        <f>'rajas herrero'!O73</f>
        <v>190880</v>
      </c>
      <c r="G79" s="52">
        <f>'rajas herrero'!P73</f>
        <v>120790</v>
      </c>
      <c r="H79" s="53">
        <f>'rajas herrero'!Q73</f>
        <v>238535</v>
      </c>
    </row>
    <row r="80" spans="2:8" ht="13.15">
      <c r="B80" s="55" t="s">
        <v>153</v>
      </c>
      <c r="C80" s="60">
        <f>'rajas herrero'!L74</f>
        <v>117100</v>
      </c>
      <c r="D80" s="52">
        <f>'rajas herrero'!M74</f>
        <v>125090</v>
      </c>
      <c r="E80" s="52">
        <f>'rajas herrero'!N74</f>
        <v>139760</v>
      </c>
      <c r="F80" s="52">
        <f>'rajas herrero'!O74</f>
        <v>209790</v>
      </c>
      <c r="G80" s="52">
        <f>'rajas herrero'!P74</f>
        <v>129685</v>
      </c>
      <c r="H80" s="53">
        <f>'rajas herrero'!Q74</f>
        <v>256535</v>
      </c>
    </row>
    <row r="81" spans="2:8" ht="13.5" thickBot="1">
      <c r="B81" s="56" t="s">
        <v>114</v>
      </c>
      <c r="C81" s="61">
        <f>'rajas herrero'!L75</f>
        <v>124425</v>
      </c>
      <c r="D81" s="62">
        <f>'rajas herrero'!M75</f>
        <v>133415</v>
      </c>
      <c r="E81" s="62">
        <f>'rajas herrero'!N75</f>
        <v>149915</v>
      </c>
      <c r="F81" s="62">
        <f>'rajas herrero'!O75</f>
        <v>228700</v>
      </c>
      <c r="G81" s="62">
        <f>'rajas herrero'!P75</f>
        <v>138580</v>
      </c>
      <c r="H81" s="63">
        <f>'rajas herrero'!Q75</f>
        <v>283535</v>
      </c>
    </row>
    <row r="82" spans="2:8" ht="14.65" thickBot="1">
      <c r="B82" s="341" t="s">
        <v>155</v>
      </c>
      <c r="C82" s="342"/>
      <c r="D82" s="342"/>
      <c r="E82" s="342"/>
      <c r="F82" s="342"/>
      <c r="G82" s="342"/>
      <c r="H82" s="343"/>
    </row>
  </sheetData>
  <mergeCells count="4">
    <mergeCell ref="C8:G8"/>
    <mergeCell ref="C9:G9"/>
    <mergeCell ref="B11:H11"/>
    <mergeCell ref="B82:H82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6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FCF76BC4-651E-48AF-AC70-C9C4209C1EC0}">
            <xm:f>'rajas herrero'!$C$2="VERDE"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17" id="{A67C1BEE-7D43-490F-B829-94B8EDCB2227}">
            <xm:f>'rajas herrero'!$C$2="AZUL"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18" id="{D8AF7D6C-1EF4-49C1-B199-03ABF0AABE5B}">
            <xm:f>'rajas herrero'!$C$2="AMARILLA"</xm:f>
            <x14:dxf>
              <fill>
                <patternFill>
                  <bgColor rgb="FFFFFF00"/>
                </patternFill>
              </fill>
            </x14:dxf>
          </x14:cfRule>
          <xm:sqref>B11:H12 B13:B81 B82:H82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>
    <tabColor rgb="FF00B050"/>
    <pageSetUpPr fitToPage="1"/>
  </sheetPr>
  <dimension ref="B4:J27"/>
  <sheetViews>
    <sheetView zoomScale="115" zoomScaleNormal="115" workbookViewId="0">
      <selection activeCell="D37" sqref="D37"/>
    </sheetView>
  </sheetViews>
  <sheetFormatPr baseColWidth="10" defaultColWidth="10.73046875" defaultRowHeight="12.75"/>
  <cols>
    <col min="1" max="1" width="10.73046875" style="1"/>
    <col min="2" max="2" width="15.59765625" style="1" customWidth="1"/>
    <col min="3" max="3" width="15.86328125" style="1" customWidth="1"/>
    <col min="4" max="4" width="10.73046875" style="1"/>
    <col min="5" max="5" width="14.1328125" style="1" customWidth="1"/>
    <col min="6" max="6" width="10.73046875" style="1"/>
    <col min="7" max="7" width="14.86328125" style="1" customWidth="1"/>
    <col min="8" max="16384" width="10.73046875" style="1"/>
  </cols>
  <sheetData>
    <row r="4" spans="2:9" ht="13.9">
      <c r="B4" s="77" t="s">
        <v>226</v>
      </c>
    </row>
    <row r="5" spans="2:9" ht="13.9">
      <c r="B5" s="77" t="s">
        <v>227</v>
      </c>
    </row>
    <row r="6" spans="2:9" ht="13.15">
      <c r="B6" s="345" t="s">
        <v>21</v>
      </c>
      <c r="C6" s="345"/>
      <c r="D6" s="345"/>
      <c r="E6" s="345"/>
      <c r="F6" s="345"/>
      <c r="G6" s="345"/>
      <c r="H6" s="345"/>
      <c r="I6" s="345"/>
    </row>
    <row r="7" spans="2:9" ht="13.15">
      <c r="B7" s="345" t="s">
        <v>22</v>
      </c>
      <c r="C7" s="345"/>
      <c r="D7" s="345"/>
      <c r="E7" s="345"/>
      <c r="F7" s="345"/>
      <c r="G7" s="345"/>
      <c r="H7" s="345"/>
      <c r="I7" s="345"/>
    </row>
    <row r="8" spans="2:9" ht="13.15" thickBot="1"/>
    <row r="9" spans="2:9" ht="25.9" thickBot="1">
      <c r="B9" s="346" t="s">
        <v>195</v>
      </c>
      <c r="C9" s="347"/>
      <c r="D9" s="347"/>
      <c r="E9" s="347"/>
      <c r="F9" s="347"/>
      <c r="G9" s="347"/>
      <c r="H9" s="347"/>
      <c r="I9" s="348"/>
    </row>
    <row r="10" spans="2:9" ht="16.149999999999999" thickBot="1">
      <c r="B10" s="78" t="s">
        <v>228</v>
      </c>
      <c r="C10" s="79" t="s">
        <v>122</v>
      </c>
      <c r="D10" s="79" t="s">
        <v>123</v>
      </c>
      <c r="E10" s="79" t="s">
        <v>124</v>
      </c>
      <c r="F10" s="79" t="s">
        <v>229</v>
      </c>
      <c r="G10" s="79" t="s">
        <v>230</v>
      </c>
      <c r="H10" s="79" t="s">
        <v>202</v>
      </c>
      <c r="I10" s="80" t="s">
        <v>231</v>
      </c>
    </row>
    <row r="11" spans="2:9" ht="17.25" customHeight="1">
      <c r="B11" s="81" t="s">
        <v>203</v>
      </c>
      <c r="C11" s="82" t="str">
        <f>'puertas herrero'!K6</f>
        <v>-</v>
      </c>
      <c r="D11" s="82">
        <f>'puertas herrero'!L6</f>
        <v>183735</v>
      </c>
      <c r="E11" s="82" t="str">
        <f>'puertas herrero'!M6</f>
        <v>-</v>
      </c>
      <c r="F11" s="82">
        <f>'puertas herrero'!N6</f>
        <v>186910</v>
      </c>
      <c r="G11" s="82">
        <f>'puertas herrero'!O6</f>
        <v>242115</v>
      </c>
      <c r="H11" s="82">
        <f>'puertas herrero'!P6</f>
        <v>286760</v>
      </c>
      <c r="I11" s="349" t="s">
        <v>232</v>
      </c>
    </row>
    <row r="12" spans="2:9" ht="16.899999999999999">
      <c r="B12" s="83" t="s">
        <v>205</v>
      </c>
      <c r="C12" s="82" t="str">
        <f>'puertas herrero'!K7</f>
        <v>-</v>
      </c>
      <c r="D12" s="82">
        <f>'puertas herrero'!L7</f>
        <v>233245</v>
      </c>
      <c r="E12" s="82" t="str">
        <f>'puertas herrero'!M7</f>
        <v>-</v>
      </c>
      <c r="F12" s="82">
        <f>'puertas herrero'!N7</f>
        <v>236420</v>
      </c>
      <c r="G12" s="82">
        <f>'puertas herrero'!O7</f>
        <v>291625</v>
      </c>
      <c r="H12" s="82">
        <f>'puertas herrero'!P7</f>
        <v>201685</v>
      </c>
      <c r="I12" s="344"/>
    </row>
    <row r="13" spans="2:9" ht="16.899999999999999">
      <c r="B13" s="83" t="s">
        <v>206</v>
      </c>
      <c r="C13" s="82">
        <f>'puertas herrero'!K8</f>
        <v>185060</v>
      </c>
      <c r="D13" s="82">
        <f>'puertas herrero'!L8</f>
        <v>190300</v>
      </c>
      <c r="E13" s="82">
        <f>'puertas herrero'!M8</f>
        <v>199765</v>
      </c>
      <c r="F13" s="82">
        <f>'puertas herrero'!N8</f>
        <v>193300</v>
      </c>
      <c r="G13" s="82">
        <f>'puertas herrero'!O8</f>
        <v>245600</v>
      </c>
      <c r="H13" s="82">
        <f>'puertas herrero'!P8</f>
        <v>263375</v>
      </c>
      <c r="I13" s="344"/>
    </row>
    <row r="14" spans="2:9" ht="16.899999999999999">
      <c r="B14" s="83" t="s">
        <v>207</v>
      </c>
      <c r="C14" s="82">
        <f>'puertas herrero'!K9</f>
        <v>224530</v>
      </c>
      <c r="D14" s="82">
        <f>'puertas herrero'!L9</f>
        <v>227150</v>
      </c>
      <c r="E14" s="82">
        <f>'puertas herrero'!M9</f>
        <v>231880</v>
      </c>
      <c r="F14" s="82">
        <f>'puertas herrero'!N9</f>
        <v>228650</v>
      </c>
      <c r="G14" s="82">
        <f>'puertas herrero'!O9</f>
        <v>254800</v>
      </c>
      <c r="H14" s="82">
        <f>'puertas herrero'!P9</f>
        <v>263685</v>
      </c>
      <c r="I14" s="344"/>
    </row>
    <row r="15" spans="2:9" ht="16.899999999999999">
      <c r="B15" s="83" t="s">
        <v>208</v>
      </c>
      <c r="C15" s="82">
        <f>'puertas herrero'!K10</f>
        <v>255205</v>
      </c>
      <c r="D15" s="82" t="str">
        <f>'puertas herrero'!L10</f>
        <v>-</v>
      </c>
      <c r="E15" s="82" t="str">
        <f>'puertas herrero'!M10</f>
        <v>-</v>
      </c>
      <c r="F15" s="82">
        <f>'puertas herrero'!N10</f>
        <v>259325</v>
      </c>
      <c r="G15" s="82">
        <f>'puertas herrero'!O10</f>
        <v>285475</v>
      </c>
      <c r="H15" s="82">
        <f>'puertas herrero'!P10</f>
        <v>242870</v>
      </c>
      <c r="I15" s="344"/>
    </row>
    <row r="16" spans="2:9" ht="16.899999999999999">
      <c r="B16" s="83" t="s">
        <v>209</v>
      </c>
      <c r="C16" s="82">
        <f>'puertas herrero'!K11</f>
        <v>244990</v>
      </c>
      <c r="D16" s="82">
        <f>'puertas herrero'!L11</f>
        <v>246400</v>
      </c>
      <c r="E16" s="82">
        <f>'puertas herrero'!M11</f>
        <v>249035</v>
      </c>
      <c r="F16" s="82">
        <f>'puertas herrero'!N11</f>
        <v>247240</v>
      </c>
      <c r="G16" s="82">
        <f>'puertas herrero'!O11</f>
        <v>261765</v>
      </c>
      <c r="H16" s="82">
        <f>'puertas herrero'!P11</f>
        <v>266700</v>
      </c>
      <c r="I16" s="344"/>
    </row>
    <row r="17" spans="2:10" ht="16.899999999999999">
      <c r="B17" s="83" t="s">
        <v>210</v>
      </c>
      <c r="C17" s="82">
        <f>'puertas herrero'!K12</f>
        <v>265370</v>
      </c>
      <c r="D17" s="82" t="str">
        <f>'puertas herrero'!L12</f>
        <v>-</v>
      </c>
      <c r="E17" s="82" t="str">
        <f>'puertas herrero'!M12</f>
        <v>-</v>
      </c>
      <c r="F17" s="82">
        <f>'puertas herrero'!N12</f>
        <v>267620</v>
      </c>
      <c r="G17" s="82">
        <f>'puertas herrero'!O12</f>
        <v>282145</v>
      </c>
      <c r="H17" s="82" t="str">
        <f>'puertas herrero'!P12</f>
        <v>-</v>
      </c>
      <c r="I17" s="84">
        <f>'puertas herrero'!K25</f>
        <v>22325</v>
      </c>
    </row>
    <row r="18" spans="2:10" ht="17.25" customHeight="1">
      <c r="B18" s="83" t="s">
        <v>211</v>
      </c>
      <c r="C18" s="82">
        <f>'puertas herrero'!K13</f>
        <v>255815</v>
      </c>
      <c r="D18" s="82" t="str">
        <f>'puertas herrero'!L13</f>
        <v>-</v>
      </c>
      <c r="E18" s="82" t="str">
        <f>'puertas herrero'!M13</f>
        <v>-</v>
      </c>
      <c r="F18" s="82" t="str">
        <f>'puertas herrero'!N13</f>
        <v>-</v>
      </c>
      <c r="G18" s="82" t="str">
        <f>'puertas herrero'!O13</f>
        <v>-</v>
      </c>
      <c r="H18" s="82" t="str">
        <f>'puertas herrero'!P13</f>
        <v>-</v>
      </c>
      <c r="I18" s="344" t="s">
        <v>233</v>
      </c>
    </row>
    <row r="19" spans="2:10" ht="16.899999999999999">
      <c r="B19" s="83" t="s">
        <v>212</v>
      </c>
      <c r="C19" s="82">
        <f>'puertas herrero'!K14</f>
        <v>249065</v>
      </c>
      <c r="D19" s="82">
        <f>'puertas herrero'!L14</f>
        <v>251685</v>
      </c>
      <c r="E19" s="82">
        <f>'puertas herrero'!M14</f>
        <v>256420</v>
      </c>
      <c r="F19" s="82">
        <f>'puertas herrero'!N14</f>
        <v>253185</v>
      </c>
      <c r="G19" s="82">
        <f>'puertas herrero'!O14</f>
        <v>279340</v>
      </c>
      <c r="H19" s="82">
        <f>'puertas herrero'!P14</f>
        <v>288220</v>
      </c>
      <c r="I19" s="344"/>
      <c r="J19" s="85"/>
    </row>
    <row r="20" spans="2:10" ht="16.899999999999999">
      <c r="B20" s="83" t="s">
        <v>213</v>
      </c>
      <c r="C20" s="82">
        <f>'puertas herrero'!K15</f>
        <v>257260</v>
      </c>
      <c r="D20" s="82">
        <f>'puertas herrero'!L15</f>
        <v>258670</v>
      </c>
      <c r="E20" s="82">
        <f>'puertas herrero'!M15</f>
        <v>261305</v>
      </c>
      <c r="F20" s="82">
        <f>'puertas herrero'!N15</f>
        <v>259505</v>
      </c>
      <c r="G20" s="82">
        <f>'puertas herrero'!O15</f>
        <v>274035</v>
      </c>
      <c r="H20" s="82">
        <f>'puertas herrero'!P15</f>
        <v>278970</v>
      </c>
      <c r="I20" s="344"/>
    </row>
    <row r="21" spans="2:10" ht="16.899999999999999">
      <c r="B21" s="83" t="s">
        <v>214</v>
      </c>
      <c r="C21" s="82">
        <f>'puertas herrero'!K16</f>
        <v>207050</v>
      </c>
      <c r="D21" s="82">
        <f>'puertas herrero'!L16</f>
        <v>212690</v>
      </c>
      <c r="E21" s="82">
        <f>'puertas herrero'!M16</f>
        <v>223235</v>
      </c>
      <c r="F21" s="82">
        <f>'puertas herrero'!N16</f>
        <v>216045</v>
      </c>
      <c r="G21" s="82">
        <f>'puertas herrero'!O16</f>
        <v>274150</v>
      </c>
      <c r="H21" s="82">
        <f>'puertas herrero'!P16</f>
        <v>293895</v>
      </c>
      <c r="I21" s="344"/>
    </row>
    <row r="22" spans="2:10" ht="16.899999999999999">
      <c r="B22" s="83" t="s">
        <v>215</v>
      </c>
      <c r="C22" s="82">
        <f>'puertas herrero'!K17</f>
        <v>250870</v>
      </c>
      <c r="D22" s="82">
        <f>'puertas herrero'!L17</f>
        <v>252705</v>
      </c>
      <c r="E22" s="82">
        <f>'puertas herrero'!M17</f>
        <v>256045</v>
      </c>
      <c r="F22" s="82">
        <f>'puertas herrero'!N17</f>
        <v>253795</v>
      </c>
      <c r="G22" s="82">
        <f>'puertas herrero'!O17</f>
        <v>272175</v>
      </c>
      <c r="H22" s="82">
        <f>'puertas herrero'!P17</f>
        <v>278425</v>
      </c>
      <c r="I22" s="344"/>
    </row>
    <row r="23" spans="2:10" ht="16.899999999999999">
      <c r="B23" s="83" t="s">
        <v>216</v>
      </c>
      <c r="C23" s="82">
        <f>'puertas herrero'!K18</f>
        <v>261975</v>
      </c>
      <c r="D23" s="82">
        <f>'puertas herrero'!L18</f>
        <v>263825</v>
      </c>
      <c r="E23" s="82">
        <f>'puertas herrero'!M18</f>
        <v>265925</v>
      </c>
      <c r="F23" s="82">
        <f>'puertas herrero'!N18</f>
        <v>264490</v>
      </c>
      <c r="G23" s="82">
        <f>'puertas herrero'!O18</f>
        <v>276115</v>
      </c>
      <c r="H23" s="82">
        <f>'puertas herrero'!P18</f>
        <v>280055</v>
      </c>
      <c r="I23" s="84">
        <f>'puertas herrero'!K26</f>
        <v>22325</v>
      </c>
    </row>
    <row r="24" spans="2:10" ht="17.25" customHeight="1">
      <c r="B24" s="83" t="s">
        <v>217</v>
      </c>
      <c r="C24" s="82">
        <f>'puertas herrero'!K19</f>
        <v>282080</v>
      </c>
      <c r="D24" s="82" t="str">
        <f>'puertas herrero'!L19</f>
        <v>-</v>
      </c>
      <c r="E24" s="82" t="str">
        <f>'puertas herrero'!M19</f>
        <v>-</v>
      </c>
      <c r="F24" s="82">
        <f>'puertas herrero'!N19</f>
        <v>284595</v>
      </c>
      <c r="G24" s="82">
        <f>'puertas herrero'!O19</f>
        <v>296220</v>
      </c>
      <c r="H24" s="82" t="str">
        <f>'puertas herrero'!P19</f>
        <v>-</v>
      </c>
      <c r="I24" s="344" t="s">
        <v>234</v>
      </c>
    </row>
    <row r="25" spans="2:10" ht="16.899999999999999">
      <c r="B25" s="83" t="s">
        <v>218</v>
      </c>
      <c r="C25" s="82">
        <f>'puertas herrero'!K20</f>
        <v>243660</v>
      </c>
      <c r="D25" s="82">
        <f>'puertas herrero'!L20</f>
        <v>249375</v>
      </c>
      <c r="E25" s="82">
        <f>'puertas herrero'!M20</f>
        <v>257275</v>
      </c>
      <c r="F25" s="82">
        <f>'puertas herrero'!N20</f>
        <v>251890</v>
      </c>
      <c r="G25" s="82">
        <f>'puertas herrero'!O20</f>
        <v>295475</v>
      </c>
      <c r="H25" s="82">
        <f>'puertas herrero'!P20</f>
        <v>310285</v>
      </c>
      <c r="I25" s="344"/>
    </row>
    <row r="26" spans="2:10" ht="16.899999999999999">
      <c r="B26" s="83" t="s">
        <v>219</v>
      </c>
      <c r="C26" s="82">
        <f>'puertas herrero'!K21</f>
        <v>205490</v>
      </c>
      <c r="D26" s="82">
        <f>'puertas herrero'!L21</f>
        <v>211205</v>
      </c>
      <c r="E26" s="82">
        <f>'puertas herrero'!M21</f>
        <v>219105</v>
      </c>
      <c r="F26" s="82">
        <f>'puertas herrero'!N21</f>
        <v>213720</v>
      </c>
      <c r="G26" s="82">
        <f>'puertas herrero'!O21</f>
        <v>257305</v>
      </c>
      <c r="H26" s="82">
        <f>'puertas herrero'!P21</f>
        <v>272115</v>
      </c>
      <c r="I26" s="344"/>
    </row>
    <row r="27" spans="2:10" ht="17.25" thickBot="1">
      <c r="B27" s="86" t="s">
        <v>220</v>
      </c>
      <c r="C27" s="243">
        <f>'puertas herrero'!K22</f>
        <v>351025</v>
      </c>
      <c r="D27" s="243" t="str">
        <f>'puertas herrero'!L22</f>
        <v>-</v>
      </c>
      <c r="E27" s="243" t="str">
        <f>'puertas herrero'!M22</f>
        <v>-</v>
      </c>
      <c r="F27" s="243" t="str">
        <f>'puertas herrero'!N22</f>
        <v>-</v>
      </c>
      <c r="G27" s="243" t="str">
        <f>'puertas herrero'!O22</f>
        <v>-</v>
      </c>
      <c r="H27" s="243" t="str">
        <f>'puertas herrero'!P22</f>
        <v>-</v>
      </c>
      <c r="I27" s="87">
        <v>0</v>
      </c>
    </row>
  </sheetData>
  <mergeCells count="6">
    <mergeCell ref="I24:I26"/>
    <mergeCell ref="B6:I6"/>
    <mergeCell ref="B7:I7"/>
    <mergeCell ref="B9:I9"/>
    <mergeCell ref="I11:I16"/>
    <mergeCell ref="I18:I22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E1772F36-41AD-4676-8F9D-D1E569442395}">
            <xm:f>'puertas herrero'!$C$2="VERDE"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20" id="{4203391B-0527-4924-8F5B-B46BD33EE558}">
            <xm:f>'puertas herrero'!$C$2="AZUL"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21" id="{68377180-01D7-4EDA-BA44-BFBC6E889249}">
            <xm:f>'puertas herrero'!$C$2="AMARILLA"</xm:f>
            <x14:dxf>
              <fill>
                <patternFill>
                  <bgColor rgb="FFFFFF00"/>
                </patternFill>
              </fill>
            </x14:dxf>
          </x14:cfRule>
          <xm:sqref>B9:I9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tabColor rgb="FF00B050"/>
    <pageSetUpPr fitToPage="1"/>
  </sheetPr>
  <dimension ref="B6:F20"/>
  <sheetViews>
    <sheetView zoomScale="55" zoomScaleNormal="55" workbookViewId="0">
      <selection activeCell="D37" sqref="D37"/>
    </sheetView>
  </sheetViews>
  <sheetFormatPr baseColWidth="10" defaultColWidth="11.3984375" defaultRowHeight="12.75"/>
  <cols>
    <col min="1" max="1" width="11.3984375" style="25"/>
    <col min="2" max="2" width="16.3984375" style="25" customWidth="1"/>
    <col min="3" max="16384" width="11.3984375" style="25"/>
  </cols>
  <sheetData>
    <row r="6" spans="2:6" ht="13.15">
      <c r="B6" s="337" t="s">
        <v>21</v>
      </c>
      <c r="C6" s="337"/>
      <c r="D6" s="337"/>
      <c r="E6" s="337"/>
      <c r="F6" s="337"/>
    </row>
    <row r="7" spans="2:6" ht="13.15">
      <c r="B7" s="337" t="s">
        <v>22</v>
      </c>
      <c r="C7" s="337"/>
      <c r="D7" s="337"/>
      <c r="E7" s="337"/>
      <c r="F7" s="337"/>
    </row>
    <row r="8" spans="2:6" ht="13.15" thickBot="1"/>
    <row r="9" spans="2:6" ht="21.4" thickBot="1">
      <c r="B9" s="350" t="s">
        <v>235</v>
      </c>
      <c r="C9" s="351"/>
      <c r="D9" s="351"/>
      <c r="E9" s="351"/>
      <c r="F9" s="352"/>
    </row>
    <row r="10" spans="2:6" ht="13.5" thickBot="1">
      <c r="B10" s="121" t="s">
        <v>246</v>
      </c>
      <c r="C10" s="122" t="s">
        <v>237</v>
      </c>
      <c r="D10" s="122" t="s">
        <v>202</v>
      </c>
      <c r="E10" s="122" t="s">
        <v>126</v>
      </c>
      <c r="F10" s="123" t="s">
        <v>125</v>
      </c>
    </row>
    <row r="11" spans="2:6" ht="15.75">
      <c r="B11" s="119" t="s">
        <v>238</v>
      </c>
      <c r="C11" s="95">
        <f>'medias puertas herrero'!I7</f>
        <v>144605</v>
      </c>
      <c r="D11" s="96">
        <f>'medias puertas herrero'!J7</f>
        <v>213550</v>
      </c>
      <c r="E11" s="96">
        <f>'medias puertas herrero'!K7</f>
        <v>146730</v>
      </c>
      <c r="F11" s="97">
        <f>'medias puertas herrero'!L7</f>
        <v>183535</v>
      </c>
    </row>
    <row r="12" spans="2:6" ht="15.75">
      <c r="B12" s="119" t="s">
        <v>239</v>
      </c>
      <c r="C12" s="98">
        <f>'medias puertas herrero'!I8</f>
        <v>162460</v>
      </c>
      <c r="D12" s="99">
        <f>'medias puertas herrero'!J8</f>
        <v>141420</v>
      </c>
      <c r="E12" s="99">
        <f>'medias puertas herrero'!K8</f>
        <v>164580</v>
      </c>
      <c r="F12" s="100">
        <f>'medias puertas herrero'!L8</f>
        <v>201390</v>
      </c>
    </row>
    <row r="13" spans="2:6" ht="15.75">
      <c r="B13" s="119" t="s">
        <v>240</v>
      </c>
      <c r="C13" s="98">
        <f>'medias puertas herrero'!I9</f>
        <v>170355</v>
      </c>
      <c r="D13" s="99">
        <f>'medias puertas herrero'!J9</f>
        <v>224790</v>
      </c>
      <c r="E13" s="99">
        <f>'medias puertas herrero'!K9</f>
        <v>172030</v>
      </c>
      <c r="F13" s="100">
        <f>'medias puertas herrero'!L9</f>
        <v>201095</v>
      </c>
    </row>
    <row r="14" spans="2:6" ht="15.75">
      <c r="B14" s="119" t="s">
        <v>241</v>
      </c>
      <c r="C14" s="98">
        <f>'medias puertas herrero'!I10</f>
        <v>188340</v>
      </c>
      <c r="D14" s="99">
        <f>'medias puertas herrero'!J10</f>
        <v>171735</v>
      </c>
      <c r="E14" s="99">
        <f>'medias puertas herrero'!K10</f>
        <v>190020</v>
      </c>
      <c r="F14" s="100">
        <f>'medias puertas herrero'!L10</f>
        <v>219080</v>
      </c>
    </row>
    <row r="15" spans="2:6" ht="15.75">
      <c r="B15" s="119" t="s">
        <v>242</v>
      </c>
      <c r="C15" s="98">
        <f>'medias puertas herrero'!I11</f>
        <v>197585</v>
      </c>
      <c r="D15" s="99">
        <f>'medias puertas herrero'!J11</f>
        <v>233870</v>
      </c>
      <c r="E15" s="99">
        <f>'medias puertas herrero'!K11</f>
        <v>198700</v>
      </c>
      <c r="F15" s="100">
        <f>'medias puertas herrero'!L11</f>
        <v>218070</v>
      </c>
    </row>
    <row r="16" spans="2:6" ht="15.75">
      <c r="B16" s="119" t="s">
        <v>243</v>
      </c>
      <c r="C16" s="98">
        <f>'medias puertas herrero'!I12</f>
        <v>207345</v>
      </c>
      <c r="D16" s="99">
        <f>'medias puertas herrero'!J12</f>
        <v>196270</v>
      </c>
      <c r="E16" s="99">
        <f>'medias puertas herrero'!K12</f>
        <v>208460</v>
      </c>
      <c r="F16" s="100">
        <f>'medias puertas herrero'!L12</f>
        <v>227830</v>
      </c>
    </row>
    <row r="17" spans="2:6" ht="15.75">
      <c r="B17" s="119" t="s">
        <v>247</v>
      </c>
      <c r="C17" s="98">
        <f>'medias puertas herrero'!I13</f>
        <v>176230</v>
      </c>
      <c r="D17" s="99">
        <f>'medias puertas herrero'!J13</f>
        <v>266950</v>
      </c>
      <c r="E17" s="99">
        <f>'medias puertas herrero'!K13</f>
        <v>179020</v>
      </c>
      <c r="F17" s="100">
        <f>'medias puertas herrero'!L13</f>
        <v>227450</v>
      </c>
    </row>
    <row r="18" spans="2:6" ht="16.149999999999999" thickBot="1">
      <c r="B18" s="120" t="s">
        <v>248</v>
      </c>
      <c r="C18" s="101">
        <f>'medias puertas herrero'!I14</f>
        <v>166805</v>
      </c>
      <c r="D18" s="102">
        <f>'medias puertas herrero'!J14</f>
        <v>223235</v>
      </c>
      <c r="E18" s="102">
        <f>'medias puertas herrero'!K14</f>
        <v>166185</v>
      </c>
      <c r="F18" s="103">
        <f>'medias puertas herrero'!L14</f>
        <v>203395</v>
      </c>
    </row>
    <row r="19" spans="2:6" ht="13.9">
      <c r="B19" s="77"/>
    </row>
    <row r="20" spans="2:6" ht="13.9">
      <c r="B20" s="77"/>
    </row>
  </sheetData>
  <mergeCells count="3">
    <mergeCell ref="B6:F6"/>
    <mergeCell ref="B7:F7"/>
    <mergeCell ref="B9:F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AAA4F495-EB39-4810-A2F3-CE78BEDAAAAC}">
            <xm:f>'medias puertas herrero'!$C$2="VERDE"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26" id="{902A1EBC-AD41-46C7-ACDA-D1136143F8E7}">
            <xm:f>'medias puertas herrero'!$C$2="AZUL"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27" id="{1BC8CD34-665A-4C30-8A31-BED324389096}">
            <xm:f>'medias puertas herrero'!$C$2="AMARILLA"</xm:f>
            <x14:dxf>
              <fill>
                <patternFill>
                  <bgColor rgb="FFFFFF00"/>
                </patternFill>
              </fill>
            </x14:dxf>
          </x14:cfRule>
          <xm:sqref>B9:F10 B11:B18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tabColor rgb="FF00B050"/>
    <pageSetUpPr fitToPage="1"/>
  </sheetPr>
  <dimension ref="B6:I63"/>
  <sheetViews>
    <sheetView topLeftCell="A37" zoomScale="55" zoomScaleNormal="55" workbookViewId="0">
      <selection activeCell="D37" sqref="D37"/>
    </sheetView>
  </sheetViews>
  <sheetFormatPr baseColWidth="10" defaultColWidth="11.3984375" defaultRowHeight="12.75"/>
  <cols>
    <col min="1" max="16384" width="11.3984375" style="25"/>
  </cols>
  <sheetData>
    <row r="6" spans="2:9" ht="13.15">
      <c r="B6" s="337" t="s">
        <v>21</v>
      </c>
      <c r="C6" s="337"/>
      <c r="D6" s="337"/>
      <c r="E6" s="337"/>
      <c r="F6" s="337"/>
      <c r="G6" s="337"/>
      <c r="H6" s="337"/>
      <c r="I6" s="337"/>
    </row>
    <row r="7" spans="2:9" ht="13.15">
      <c r="B7" s="337" t="s">
        <v>22</v>
      </c>
      <c r="C7" s="337"/>
      <c r="D7" s="337"/>
      <c r="E7" s="337"/>
      <c r="F7" s="337"/>
      <c r="G7" s="337"/>
      <c r="H7" s="337"/>
      <c r="I7" s="337"/>
    </row>
    <row r="8" spans="2:9" ht="13.15" thickBot="1"/>
    <row r="9" spans="2:9" ht="18.75" customHeight="1" thickBot="1">
      <c r="B9" s="338" t="s">
        <v>256</v>
      </c>
      <c r="C9" s="339"/>
      <c r="D9" s="339"/>
      <c r="E9" s="339"/>
      <c r="F9" s="339"/>
      <c r="G9" s="339"/>
      <c r="H9" s="339"/>
      <c r="I9" s="340"/>
    </row>
    <row r="10" spans="2:9" ht="13.5" thickBot="1">
      <c r="B10" s="239" t="s">
        <v>24</v>
      </c>
      <c r="C10" s="240" t="s">
        <v>122</v>
      </c>
      <c r="D10" s="241" t="s">
        <v>123</v>
      </c>
      <c r="E10" s="241" t="s">
        <v>124</v>
      </c>
      <c r="F10" s="241" t="s">
        <v>127</v>
      </c>
      <c r="G10" s="241" t="s">
        <v>254</v>
      </c>
      <c r="H10" s="241" t="s">
        <v>118</v>
      </c>
      <c r="I10" s="242" t="s">
        <v>255</v>
      </c>
    </row>
    <row r="11" spans="2:9" ht="14.25">
      <c r="B11" s="111" t="s">
        <v>6</v>
      </c>
      <c r="C11" s="114">
        <f>'ventanas modena'!L6</f>
        <v>104630</v>
      </c>
      <c r="D11" s="115">
        <f>'ventanas modena'!M6</f>
        <v>105320</v>
      </c>
      <c r="E11" s="115">
        <f>'ventanas modena'!N6</f>
        <v>106575</v>
      </c>
      <c r="F11" s="115">
        <f>'ventanas modena'!O6</f>
        <v>117685</v>
      </c>
      <c r="G11" s="115">
        <f>'ventanas modena'!P6</f>
        <v>8820</v>
      </c>
      <c r="H11" s="115">
        <f>'ventanas modena'!Q6</f>
        <v>15615</v>
      </c>
      <c r="I11" s="116">
        <f>'ventanas modena'!R6</f>
        <v>155570</v>
      </c>
    </row>
    <row r="12" spans="2:9" ht="14.25">
      <c r="B12" s="112" t="s">
        <v>7</v>
      </c>
      <c r="C12" s="117">
        <f>'ventanas modena'!L7</f>
        <v>115630</v>
      </c>
      <c r="D12" s="5">
        <f>'ventanas modena'!M7</f>
        <v>116595</v>
      </c>
      <c r="E12" s="5">
        <f>'ventanas modena'!N7</f>
        <v>118360</v>
      </c>
      <c r="F12" s="5">
        <f>'ventanas modena'!O7</f>
        <v>133915</v>
      </c>
      <c r="G12" s="5">
        <f>'ventanas modena'!P7</f>
        <v>8820</v>
      </c>
      <c r="H12" s="5">
        <f>'ventanas modena'!Q7</f>
        <v>18295</v>
      </c>
      <c r="I12" s="6">
        <f>'ventanas modena'!R7</f>
        <v>175040</v>
      </c>
    </row>
    <row r="13" spans="2:9" ht="14.25">
      <c r="B13" s="112" t="s">
        <v>8</v>
      </c>
      <c r="C13" s="117">
        <f>'ventanas modena'!L8</f>
        <v>128135</v>
      </c>
      <c r="D13" s="5">
        <f>'ventanas modena'!M8</f>
        <v>129385</v>
      </c>
      <c r="E13" s="5">
        <f>'ventanas modena'!N8</f>
        <v>131640</v>
      </c>
      <c r="F13" s="5">
        <f>'ventanas modena'!O8</f>
        <v>151640</v>
      </c>
      <c r="G13" s="5">
        <f>'ventanas modena'!P8</f>
        <v>8820</v>
      </c>
      <c r="H13" s="5">
        <f>'ventanas modena'!Q8</f>
        <v>20980</v>
      </c>
      <c r="I13" s="6">
        <f>'ventanas modena'!R8</f>
        <v>196035</v>
      </c>
    </row>
    <row r="14" spans="2:9" ht="14.25">
      <c r="B14" s="112" t="s">
        <v>9</v>
      </c>
      <c r="C14" s="117">
        <f>'ventanas modena'!L9</f>
        <v>140660</v>
      </c>
      <c r="D14" s="5">
        <f>'ventanas modena'!M9</f>
        <v>142175</v>
      </c>
      <c r="E14" s="5">
        <f>'ventanas modena'!N9</f>
        <v>144935</v>
      </c>
      <c r="F14" s="5">
        <f>'ventanas modena'!O9</f>
        <v>169375</v>
      </c>
      <c r="G14" s="5">
        <f>'ventanas modena'!P9</f>
        <v>8820</v>
      </c>
      <c r="H14" s="5">
        <f>'ventanas modena'!Q9</f>
        <v>23660</v>
      </c>
      <c r="I14" s="6">
        <f>'ventanas modena'!R9</f>
        <v>217020</v>
      </c>
    </row>
    <row r="15" spans="2:9" ht="14.25">
      <c r="B15" s="112" t="s">
        <v>10</v>
      </c>
      <c r="C15" s="117">
        <f>'ventanas modena'!L10</f>
        <v>161680</v>
      </c>
      <c r="D15" s="5">
        <f>'ventanas modena'!M10</f>
        <v>163615</v>
      </c>
      <c r="E15" s="5">
        <f>'ventanas modena'!N10</f>
        <v>167130</v>
      </c>
      <c r="F15" s="5">
        <f>'ventanas modena'!O10</f>
        <v>198240</v>
      </c>
      <c r="G15" s="5">
        <f>'ventanas modena'!P10</f>
        <v>8820</v>
      </c>
      <c r="H15" s="5">
        <f>'ventanas modena'!Q10</f>
        <v>27680</v>
      </c>
      <c r="I15" s="6">
        <f>'ventanas modena'!R10</f>
        <v>250745</v>
      </c>
    </row>
    <row r="16" spans="2:9" ht="14.25">
      <c r="B16" s="112" t="s">
        <v>11</v>
      </c>
      <c r="C16" s="117">
        <f>'ventanas modena'!L11</f>
        <v>183375</v>
      </c>
      <c r="D16" s="5">
        <f>'ventanas modena'!M11</f>
        <v>185720</v>
      </c>
      <c r="E16" s="5">
        <f>'ventanas modena'!N11</f>
        <v>189985</v>
      </c>
      <c r="F16" s="5">
        <f>'ventanas modena'!O11</f>
        <v>227770</v>
      </c>
      <c r="G16" s="5">
        <f>'ventanas modena'!P11</f>
        <v>8820</v>
      </c>
      <c r="H16" s="5">
        <f>'ventanas modena'!Q11</f>
        <v>31705</v>
      </c>
      <c r="I16" s="6">
        <f>'ventanas modena'!R11</f>
        <v>285145</v>
      </c>
    </row>
    <row r="17" spans="2:9" ht="14.25">
      <c r="B17" s="112" t="s">
        <v>12</v>
      </c>
      <c r="C17" s="117">
        <f>'ventanas modena'!L12</f>
        <v>204320</v>
      </c>
      <c r="D17" s="5">
        <f>'ventanas modena'!M12</f>
        <v>206950</v>
      </c>
      <c r="E17" s="5">
        <f>'ventanas modena'!N12</f>
        <v>211710</v>
      </c>
      <c r="F17" s="5">
        <f>'ventanas modena'!O12</f>
        <v>253950</v>
      </c>
      <c r="G17" s="5">
        <f>'ventanas modena'!P12</f>
        <v>8820</v>
      </c>
      <c r="H17" s="5">
        <f>'ventanas modena'!Q12</f>
        <v>34385</v>
      </c>
      <c r="I17" s="6">
        <f>'ventanas modena'!R12</f>
        <v>314580</v>
      </c>
    </row>
    <row r="18" spans="2:9" ht="14.25">
      <c r="B18" s="112" t="s">
        <v>13</v>
      </c>
      <c r="C18" s="117">
        <f>'ventanas modena'!L13</f>
        <v>119750</v>
      </c>
      <c r="D18" s="5">
        <f>'ventanas modena'!M13</f>
        <v>120895</v>
      </c>
      <c r="E18" s="5">
        <f>'ventanas modena'!N13</f>
        <v>122995</v>
      </c>
      <c r="F18" s="5">
        <f>'ventanas modena'!O13</f>
        <v>141510</v>
      </c>
      <c r="G18" s="5">
        <f>'ventanas modena'!P13</f>
        <v>13230</v>
      </c>
      <c r="H18" s="5">
        <f>'ventanas modena'!Q13</f>
        <v>20585</v>
      </c>
      <c r="I18" s="6">
        <f>'ventanas modena'!R13</f>
        <v>187005</v>
      </c>
    </row>
    <row r="19" spans="2:9" ht="14.25">
      <c r="B19" s="112" t="s">
        <v>14</v>
      </c>
      <c r="C19" s="117">
        <f>'ventanas modena'!L14</f>
        <v>131655</v>
      </c>
      <c r="D19" s="5">
        <f>'ventanas modena'!M14</f>
        <v>133270</v>
      </c>
      <c r="E19" s="5">
        <f>'ventanas modena'!N14</f>
        <v>136200</v>
      </c>
      <c r="F19" s="5">
        <f>'ventanas modena'!O14</f>
        <v>162125</v>
      </c>
      <c r="G19" s="5">
        <f>'ventanas modena'!P14</f>
        <v>13230</v>
      </c>
      <c r="H19" s="5">
        <f>'ventanas modena'!Q14</f>
        <v>23660</v>
      </c>
      <c r="I19" s="6">
        <f>'ventanas modena'!R14</f>
        <v>208635</v>
      </c>
    </row>
    <row r="20" spans="2:9" ht="14.25">
      <c r="B20" s="112" t="s">
        <v>97</v>
      </c>
      <c r="C20" s="117">
        <f>'ventanas modena'!L15</f>
        <v>145165</v>
      </c>
      <c r="D20" s="5">
        <f>'ventanas modena'!M15</f>
        <v>147235</v>
      </c>
      <c r="E20" s="5">
        <f>'ventanas modena'!N15</f>
        <v>151005</v>
      </c>
      <c r="F20" s="5">
        <f>'ventanas modena'!O15</f>
        <v>184340</v>
      </c>
      <c r="G20" s="5">
        <f>'ventanas modena'!P15</f>
        <v>13230</v>
      </c>
      <c r="H20" s="5">
        <f>'ventanas modena'!Q15</f>
        <v>26735</v>
      </c>
      <c r="I20" s="6">
        <f>'ventanas modena'!R15</f>
        <v>231850</v>
      </c>
    </row>
    <row r="21" spans="2:9" ht="14.25">
      <c r="B21" s="112" t="s">
        <v>98</v>
      </c>
      <c r="C21" s="117">
        <f>'ventanas modena'!L16</f>
        <v>158555</v>
      </c>
      <c r="D21" s="5">
        <f>'ventanas modena'!M16</f>
        <v>161095</v>
      </c>
      <c r="E21" s="5">
        <f>'ventanas modena'!N16</f>
        <v>165690</v>
      </c>
      <c r="F21" s="5">
        <f>'ventanas modena'!O16</f>
        <v>206435</v>
      </c>
      <c r="G21" s="5">
        <f>'ventanas modena'!P16</f>
        <v>13230</v>
      </c>
      <c r="H21" s="5">
        <f>'ventanas modena'!Q16</f>
        <v>29810</v>
      </c>
      <c r="I21" s="6">
        <f>'ventanas modena'!R16</f>
        <v>254965</v>
      </c>
    </row>
    <row r="22" spans="2:9" ht="14.25">
      <c r="B22" s="112" t="s">
        <v>99</v>
      </c>
      <c r="C22" s="117">
        <f>'ventanas modena'!L17</f>
        <v>180900</v>
      </c>
      <c r="D22" s="5">
        <f>'ventanas modena'!M17</f>
        <v>184125</v>
      </c>
      <c r="E22" s="5">
        <f>'ventanas modena'!N17</f>
        <v>189975</v>
      </c>
      <c r="F22" s="5">
        <f>'ventanas modena'!O17</f>
        <v>241840</v>
      </c>
      <c r="G22" s="5">
        <f>'ventanas modena'!P17</f>
        <v>13230</v>
      </c>
      <c r="H22" s="5">
        <f>'ventanas modena'!Q17</f>
        <v>34425</v>
      </c>
      <c r="I22" s="6">
        <f>'ventanas modena'!R17</f>
        <v>291875</v>
      </c>
    </row>
    <row r="23" spans="2:9" ht="14.25">
      <c r="B23" s="112" t="s">
        <v>100</v>
      </c>
      <c r="C23" s="117">
        <f>'ventanas modena'!L18</f>
        <v>203250</v>
      </c>
      <c r="D23" s="5">
        <f>'ventanas modena'!M18</f>
        <v>207165</v>
      </c>
      <c r="E23" s="5">
        <f>'ventanas modena'!N18</f>
        <v>214275</v>
      </c>
      <c r="F23" s="5">
        <f>'ventanas modena'!O18</f>
        <v>277240</v>
      </c>
      <c r="G23" s="5">
        <f>'ventanas modena'!P18</f>
        <v>13230</v>
      </c>
      <c r="H23" s="5">
        <f>'ventanas modena'!Q18</f>
        <v>39040</v>
      </c>
      <c r="I23" s="6">
        <f>'ventanas modena'!R18</f>
        <v>328795</v>
      </c>
    </row>
    <row r="24" spans="2:9" ht="14.25">
      <c r="B24" s="112" t="s">
        <v>101</v>
      </c>
      <c r="C24" s="117">
        <f>'ventanas modena'!L19</f>
        <v>225715</v>
      </c>
      <c r="D24" s="5">
        <f>'ventanas modena'!M19</f>
        <v>230090</v>
      </c>
      <c r="E24" s="5">
        <f>'ventanas modena'!N19</f>
        <v>238040</v>
      </c>
      <c r="F24" s="5">
        <f>'ventanas modena'!O19</f>
        <v>308420</v>
      </c>
      <c r="G24" s="5">
        <f>'ventanas modena'!P19</f>
        <v>13230</v>
      </c>
      <c r="H24" s="5">
        <f>'ventanas modena'!Q19</f>
        <v>42115</v>
      </c>
      <c r="I24" s="6">
        <f>'ventanas modena'!R19</f>
        <v>360970</v>
      </c>
    </row>
    <row r="25" spans="2:9" ht="14.25">
      <c r="B25" s="112" t="s">
        <v>44</v>
      </c>
      <c r="C25" s="117">
        <f>'ventanas modena'!L20</f>
        <v>162190</v>
      </c>
      <c r="D25" s="5">
        <f>'ventanas modena'!M20</f>
        <v>165090</v>
      </c>
      <c r="E25" s="5">
        <f>'ventanas modena'!N20</f>
        <v>170365</v>
      </c>
      <c r="F25" s="5">
        <f>'ventanas modena'!O20</f>
        <v>217040</v>
      </c>
      <c r="G25" s="5">
        <f>'ventanas modena'!P20</f>
        <v>17645</v>
      </c>
      <c r="H25" s="5">
        <f>'ventanas modena'!Q20</f>
        <v>32490</v>
      </c>
      <c r="I25" s="6">
        <f>'ventanas modena'!R20</f>
        <v>267685</v>
      </c>
    </row>
    <row r="26" spans="2:9" ht="14.25">
      <c r="B26" s="112" t="s">
        <v>45</v>
      </c>
      <c r="C26" s="117">
        <f>'ventanas modena'!L21</f>
        <v>176450</v>
      </c>
      <c r="D26" s="5">
        <f>'ventanas modena'!M21</f>
        <v>179995</v>
      </c>
      <c r="E26" s="5">
        <f>'ventanas modena'!N21</f>
        <v>186440</v>
      </c>
      <c r="F26" s="5">
        <f>'ventanas modena'!O21</f>
        <v>243480</v>
      </c>
      <c r="G26" s="5">
        <f>'ventanas modena'!P21</f>
        <v>17645</v>
      </c>
      <c r="H26" s="5">
        <f>'ventanas modena'!Q21</f>
        <v>35960</v>
      </c>
      <c r="I26" s="6">
        <f>'ventanas modena'!R21</f>
        <v>292900</v>
      </c>
    </row>
    <row r="27" spans="2:9" ht="14.25">
      <c r="B27" s="112" t="s">
        <v>46</v>
      </c>
      <c r="C27" s="117">
        <f>'ventanas modena'!L22</f>
        <v>200105</v>
      </c>
      <c r="D27" s="5">
        <f>'ventanas modena'!M22</f>
        <v>204615</v>
      </c>
      <c r="E27" s="5">
        <f>'ventanas modena'!N22</f>
        <v>212820</v>
      </c>
      <c r="F27" s="5">
        <f>'ventanas modena'!O22</f>
        <v>285420</v>
      </c>
      <c r="G27" s="5">
        <f>'ventanas modena'!P22</f>
        <v>17645</v>
      </c>
      <c r="H27" s="5">
        <f>'ventanas modena'!Q22</f>
        <v>41165</v>
      </c>
      <c r="I27" s="6">
        <f>'ventanas modena'!R22</f>
        <v>332985</v>
      </c>
    </row>
    <row r="28" spans="2:9" ht="14.25">
      <c r="B28" s="112" t="s">
        <v>47</v>
      </c>
      <c r="C28" s="117">
        <f>'ventanas modena'!L23</f>
        <v>223755</v>
      </c>
      <c r="D28" s="5">
        <f>'ventanas modena'!M23</f>
        <v>229230</v>
      </c>
      <c r="E28" s="5">
        <f>'ventanas modena'!N23</f>
        <v>239195</v>
      </c>
      <c r="F28" s="5">
        <f>'ventanas modena'!O23</f>
        <v>327350</v>
      </c>
      <c r="G28" s="5">
        <f>'ventanas modena'!P23</f>
        <v>17645</v>
      </c>
      <c r="H28" s="5">
        <f>'ventanas modena'!Q23</f>
        <v>46370</v>
      </c>
      <c r="I28" s="6">
        <f>'ventanas modena'!R23</f>
        <v>373060</v>
      </c>
    </row>
    <row r="29" spans="2:9" ht="14.25">
      <c r="B29" s="112" t="s">
        <v>48</v>
      </c>
      <c r="C29" s="117">
        <f>'ventanas modena'!L24</f>
        <v>247265</v>
      </c>
      <c r="D29" s="5">
        <f>'ventanas modena'!M24</f>
        <v>253395</v>
      </c>
      <c r="E29" s="5">
        <f>'ventanas modena'!N24</f>
        <v>264520</v>
      </c>
      <c r="F29" s="5">
        <f>'ventanas modena'!O24</f>
        <v>363050</v>
      </c>
      <c r="G29" s="5">
        <f>'ventanas modena'!P24</f>
        <v>17645</v>
      </c>
      <c r="H29" s="5">
        <f>'ventanas modena'!Q24</f>
        <v>49840</v>
      </c>
      <c r="I29" s="6">
        <f>'ventanas modena'!R24</f>
        <v>407535</v>
      </c>
    </row>
    <row r="30" spans="2:9" ht="14.25">
      <c r="B30" s="112" t="s">
        <v>15</v>
      </c>
      <c r="C30" s="117">
        <f>'ventanas modena'!L25</f>
        <v>177745</v>
      </c>
      <c r="D30" s="5">
        <f>'ventanas modena'!M25</f>
        <v>181480</v>
      </c>
      <c r="E30" s="5">
        <f>'ventanas modena'!N25</f>
        <v>188255</v>
      </c>
      <c r="F30" s="5">
        <f>'ventanas modena'!O25</f>
        <v>248270</v>
      </c>
      <c r="G30" s="5">
        <f>'ventanas modena'!P25</f>
        <v>22055</v>
      </c>
      <c r="H30" s="5">
        <f>'ventanas modena'!Q25</f>
        <v>38250</v>
      </c>
      <c r="I30" s="6">
        <f>'ventanas modena'!R25</f>
        <v>302060</v>
      </c>
    </row>
    <row r="31" spans="2:9" ht="14.25">
      <c r="B31" s="112" t="s">
        <v>102</v>
      </c>
      <c r="C31" s="117">
        <f>'ventanas modena'!L26</f>
        <v>191885</v>
      </c>
      <c r="D31" s="5">
        <f>'ventanas modena'!M26</f>
        <v>196445</v>
      </c>
      <c r="E31" s="5">
        <f>'ventanas modena'!N26</f>
        <v>204725</v>
      </c>
      <c r="F31" s="5">
        <f>'ventanas modena'!O26</f>
        <v>278065</v>
      </c>
      <c r="G31" s="5">
        <f>'ventanas modena'!P26</f>
        <v>22055</v>
      </c>
      <c r="H31" s="5">
        <f>'ventanas modena'!Q26</f>
        <v>42115</v>
      </c>
      <c r="I31" s="6">
        <f>'ventanas modena'!R26</f>
        <v>328385</v>
      </c>
    </row>
    <row r="32" spans="2:9" ht="14.25">
      <c r="B32" s="112" t="s">
        <v>16</v>
      </c>
      <c r="C32" s="117">
        <f>'ventanas modena'!L27</f>
        <v>216840</v>
      </c>
      <c r="D32" s="5">
        <f>'ventanas modena'!M27</f>
        <v>222645</v>
      </c>
      <c r="E32" s="5">
        <f>'ventanas modena'!N27</f>
        <v>233185</v>
      </c>
      <c r="F32" s="5">
        <f>'ventanas modena'!O27</f>
        <v>326525</v>
      </c>
      <c r="G32" s="5">
        <f>'ventanas modena'!P27</f>
        <v>22055</v>
      </c>
      <c r="H32" s="5">
        <f>'ventanas modena'!Q27</f>
        <v>47910</v>
      </c>
      <c r="I32" s="6">
        <f>'ventanas modena'!R27</f>
        <v>371630</v>
      </c>
    </row>
    <row r="33" spans="2:9" ht="14.25">
      <c r="B33" s="112" t="s">
        <v>103</v>
      </c>
      <c r="C33" s="117">
        <f>'ventanas modena'!L28</f>
        <v>241785</v>
      </c>
      <c r="D33" s="5">
        <f>'ventanas modena'!M28</f>
        <v>248835</v>
      </c>
      <c r="E33" s="5">
        <f>'ventanas modena'!N28</f>
        <v>258505</v>
      </c>
      <c r="F33" s="5">
        <f>'ventanas modena'!O28</f>
        <v>374980</v>
      </c>
      <c r="G33" s="5">
        <f>'ventanas modena'!P28</f>
        <v>22055</v>
      </c>
      <c r="H33" s="5">
        <f>'ventanas modena'!Q28</f>
        <v>53705</v>
      </c>
      <c r="I33" s="6">
        <f>'ventanas modena'!R28</f>
        <v>414870</v>
      </c>
    </row>
    <row r="34" spans="2:9" ht="14.25">
      <c r="B34" s="112" t="s">
        <v>104</v>
      </c>
      <c r="C34" s="117">
        <f>'ventanas modena'!L29</f>
        <v>264310</v>
      </c>
      <c r="D34" s="5">
        <f>'ventanas modena'!M29</f>
        <v>272185</v>
      </c>
      <c r="E34" s="5">
        <f>'ventanas modena'!N29</f>
        <v>284500</v>
      </c>
      <c r="F34" s="5">
        <f>'ventanas modena'!O29</f>
        <v>413175</v>
      </c>
      <c r="G34" s="5">
        <f>'ventanas modena'!P29</f>
        <v>22055</v>
      </c>
      <c r="H34" s="5">
        <f>'ventanas modena'!Q29</f>
        <v>57570</v>
      </c>
      <c r="I34" s="6">
        <f>'ventanas modena'!R29</f>
        <v>449580</v>
      </c>
    </row>
    <row r="35" spans="2:9" ht="14.25">
      <c r="B35" s="112" t="s">
        <v>105</v>
      </c>
      <c r="C35" s="117">
        <f>'ventanas modena'!L30</f>
        <v>282450</v>
      </c>
      <c r="D35" s="5">
        <f>'ventanas modena'!M30</f>
        <v>291155</v>
      </c>
      <c r="E35" s="5">
        <f>'ventanas modena'!N30</f>
        <v>306970</v>
      </c>
      <c r="F35" s="5">
        <f>'ventanas modena'!O30</f>
        <v>446985</v>
      </c>
      <c r="G35" s="5">
        <f>'ventanas modena'!P30</f>
        <v>22055</v>
      </c>
      <c r="H35" s="5">
        <f>'ventanas modena'!Q30</f>
        <v>61435</v>
      </c>
      <c r="I35" s="6">
        <f>'ventanas modena'!R30</f>
        <v>479915</v>
      </c>
    </row>
    <row r="36" spans="2:9" ht="14.25">
      <c r="B36" s="112" t="s">
        <v>106</v>
      </c>
      <c r="C36" s="117">
        <f>'ventanas modena'!L31</f>
        <v>301420</v>
      </c>
      <c r="D36" s="5">
        <f>'ventanas modena'!M31</f>
        <v>310955</v>
      </c>
      <c r="E36" s="5">
        <f>'ventanas modena'!N31</f>
        <v>328280</v>
      </c>
      <c r="F36" s="5">
        <f>'ventanas modena'!O31</f>
        <v>481625</v>
      </c>
      <c r="G36" s="5">
        <f>'ventanas modena'!P31</f>
        <v>22055</v>
      </c>
      <c r="H36" s="5">
        <f>'ventanas modena'!Q31</f>
        <v>65300</v>
      </c>
      <c r="I36" s="6">
        <f>'ventanas modena'!R31</f>
        <v>511080</v>
      </c>
    </row>
    <row r="37" spans="2:9" ht="14.25">
      <c r="B37" s="112" t="s">
        <v>58</v>
      </c>
      <c r="C37" s="117">
        <f>'ventanas modena'!L32</f>
        <v>183435</v>
      </c>
      <c r="D37" s="5">
        <f>'ventanas modena'!M32</f>
        <v>187580</v>
      </c>
      <c r="E37" s="5">
        <f>'ventanas modena'!N32</f>
        <v>195110</v>
      </c>
      <c r="F37" s="5">
        <f>'ventanas modena'!O32</f>
        <v>261785</v>
      </c>
      <c r="G37" s="5">
        <f>'ventanas modena'!P32</f>
        <v>24260</v>
      </c>
      <c r="H37" s="5">
        <f>'ventanas modena'!Q32</f>
        <v>41130</v>
      </c>
      <c r="I37" s="6">
        <f>'ventanas modena'!R32</f>
        <v>317145</v>
      </c>
    </row>
    <row r="38" spans="2:9" ht="14.25">
      <c r="B38" s="112" t="s">
        <v>59</v>
      </c>
      <c r="C38" s="117">
        <f>'ventanas modena'!L33</f>
        <v>200285</v>
      </c>
      <c r="D38" s="5">
        <f>'ventanas modena'!M33</f>
        <v>205350</v>
      </c>
      <c r="E38" s="5">
        <f>'ventanas modena'!N33</f>
        <v>214555</v>
      </c>
      <c r="F38" s="5">
        <f>'ventanas modena'!O33</f>
        <v>296045</v>
      </c>
      <c r="G38" s="5">
        <f>'ventanas modena'!P33</f>
        <v>24260</v>
      </c>
      <c r="H38" s="5">
        <f>'ventanas modena'!Q33</f>
        <v>45190</v>
      </c>
      <c r="I38" s="6">
        <f>'ventanas modena'!R33</f>
        <v>346805</v>
      </c>
    </row>
    <row r="39" spans="2:9" ht="14.25">
      <c r="B39" s="112" t="s">
        <v>60</v>
      </c>
      <c r="C39" s="117">
        <f>'ventanas modena'!L34</f>
        <v>229155</v>
      </c>
      <c r="D39" s="5">
        <f>'ventanas modena'!M34</f>
        <v>235610</v>
      </c>
      <c r="E39" s="5">
        <f>'ventanas modena'!N34</f>
        <v>247320</v>
      </c>
      <c r="F39" s="5">
        <f>'ventanas modena'!O34</f>
        <v>351040</v>
      </c>
      <c r="G39" s="5">
        <f>'ventanas modena'!P34</f>
        <v>24260</v>
      </c>
      <c r="H39" s="5">
        <f>'ventanas modena'!Q34</f>
        <v>51280</v>
      </c>
      <c r="I39" s="6">
        <f>'ventanas modena'!R34</f>
        <v>394905</v>
      </c>
    </row>
    <row r="40" spans="2:9" ht="14.25">
      <c r="B40" s="112" t="s">
        <v>61</v>
      </c>
      <c r="C40" s="117">
        <f>'ventanas modena'!L35</f>
        <v>250230</v>
      </c>
      <c r="D40" s="5">
        <f>'ventanas modena'!M35</f>
        <v>258060</v>
      </c>
      <c r="E40" s="5">
        <f>'ventanas modena'!N35</f>
        <v>272275</v>
      </c>
      <c r="F40" s="5">
        <f>'ventanas modena'!O35</f>
        <v>398215</v>
      </c>
      <c r="G40" s="5">
        <f>'ventanas modena'!P35</f>
        <v>24260</v>
      </c>
      <c r="H40" s="5">
        <f>'ventanas modena'!Q35</f>
        <v>57375</v>
      </c>
      <c r="I40" s="6">
        <f>'ventanas modena'!R35</f>
        <v>435195</v>
      </c>
    </row>
    <row r="41" spans="2:9" ht="14.25">
      <c r="B41" s="112" t="s">
        <v>63</v>
      </c>
      <c r="C41" s="117">
        <f>'ventanas modena'!L36</f>
        <v>298855</v>
      </c>
      <c r="D41" s="5">
        <f>'ventanas modena'!M36</f>
        <v>308525</v>
      </c>
      <c r="E41" s="5">
        <f>'ventanas modena'!N36</f>
        <v>326095</v>
      </c>
      <c r="F41" s="5">
        <f>'ventanas modena'!O36</f>
        <v>481670</v>
      </c>
      <c r="G41" s="5">
        <f>'ventanas modena'!P36</f>
        <v>24260</v>
      </c>
      <c r="H41" s="5">
        <f>'ventanas modena'!Q36</f>
        <v>65495</v>
      </c>
      <c r="I41" s="6">
        <f>'ventanas modena'!R36</f>
        <v>509445</v>
      </c>
    </row>
    <row r="42" spans="2:9" ht="14.25">
      <c r="B42" s="112" t="s">
        <v>64</v>
      </c>
      <c r="C42" s="117">
        <f>'ventanas modena'!L37</f>
        <v>322035</v>
      </c>
      <c r="D42" s="5">
        <f>'ventanas modena'!M37</f>
        <v>332635</v>
      </c>
      <c r="E42" s="5">
        <f>'ventanas modena'!N37</f>
        <v>351880</v>
      </c>
      <c r="F42" s="5">
        <f>'ventanas modena'!O37</f>
        <v>522265</v>
      </c>
      <c r="G42" s="5">
        <f>'ventanas modena'!P37</f>
        <v>24260</v>
      </c>
      <c r="H42" s="5">
        <f>'ventanas modena'!Q37</f>
        <v>69560</v>
      </c>
      <c r="I42" s="6">
        <f>'ventanas modena'!R37</f>
        <v>545445</v>
      </c>
    </row>
    <row r="43" spans="2:9" ht="14.25">
      <c r="B43" s="112" t="s">
        <v>107</v>
      </c>
      <c r="C43" s="117">
        <f>'ventanas modena'!L38</f>
        <v>194770</v>
      </c>
      <c r="D43" s="5">
        <f>'ventanas modena'!M38</f>
        <v>199330</v>
      </c>
      <c r="E43" s="5">
        <f>'ventanas modena'!N38</f>
        <v>207610</v>
      </c>
      <c r="F43" s="5">
        <f>'ventanas modena'!O38</f>
        <v>280950</v>
      </c>
      <c r="G43" s="5">
        <f>'ventanas modena'!P38</f>
        <v>26465</v>
      </c>
      <c r="H43" s="5">
        <f>'ventanas modena'!Q38</f>
        <v>44005</v>
      </c>
      <c r="I43" s="6">
        <f>'ventanas modena'!R38</f>
        <v>337880</v>
      </c>
    </row>
    <row r="44" spans="2:9" ht="14.25">
      <c r="B44" s="112" t="s">
        <v>108</v>
      </c>
      <c r="C44" s="117">
        <f>'ventanas modena'!L39</f>
        <v>210755</v>
      </c>
      <c r="D44" s="5">
        <f>'ventanas modena'!M39</f>
        <v>216330</v>
      </c>
      <c r="E44" s="5">
        <f>'ventanas modena'!N39</f>
        <v>222630</v>
      </c>
      <c r="F44" s="5">
        <f>'ventanas modena'!O39</f>
        <v>316095</v>
      </c>
      <c r="G44" s="5">
        <f>'ventanas modena'!P39</f>
        <v>26465</v>
      </c>
      <c r="H44" s="5">
        <f>'ventanas modena'!Q39</f>
        <v>48265</v>
      </c>
      <c r="I44" s="6">
        <f>'ventanas modena'!R39</f>
        <v>367300</v>
      </c>
    </row>
    <row r="45" spans="2:9" ht="14.25">
      <c r="B45" s="112" t="s">
        <v>109</v>
      </c>
      <c r="C45" s="117">
        <f>'ventanas modena'!L40</f>
        <v>238545</v>
      </c>
      <c r="D45" s="5">
        <f>'ventanas modena'!M40</f>
        <v>245635</v>
      </c>
      <c r="E45" s="5">
        <f>'ventanas modena'!N40</f>
        <v>258525</v>
      </c>
      <c r="F45" s="5">
        <f>'ventanas modena'!O40</f>
        <v>372610</v>
      </c>
      <c r="G45" s="5">
        <f>'ventanas modena'!P40</f>
        <v>26465</v>
      </c>
      <c r="H45" s="5">
        <f>'ventanas modena'!Q40</f>
        <v>54655</v>
      </c>
      <c r="I45" s="6">
        <f>'ventanas modena'!R40</f>
        <v>415235</v>
      </c>
    </row>
    <row r="46" spans="2:9" ht="14.25">
      <c r="B46" s="112" t="s">
        <v>110</v>
      </c>
      <c r="C46" s="117">
        <f>'ventanas modena'!L41</f>
        <v>263290</v>
      </c>
      <c r="D46" s="5">
        <f>'ventanas modena'!M41</f>
        <v>271910</v>
      </c>
      <c r="E46" s="5">
        <f>'ventanas modena'!N41</f>
        <v>287550</v>
      </c>
      <c r="F46" s="5">
        <f>'ventanas modena'!O41</f>
        <v>426085</v>
      </c>
      <c r="G46" s="5">
        <f>'ventanas modena'!P41</f>
        <v>26465</v>
      </c>
      <c r="H46" s="5">
        <f>'ventanas modena'!Q41</f>
        <v>61040</v>
      </c>
      <c r="I46" s="6">
        <f>'ventanas modena'!R41</f>
        <v>460150</v>
      </c>
    </row>
    <row r="47" spans="2:9" ht="14.25">
      <c r="B47" s="112" t="s">
        <v>111</v>
      </c>
      <c r="C47" s="117">
        <f>'ventanas modena'!L42</f>
        <v>288385</v>
      </c>
      <c r="D47" s="5">
        <f>'ventanas modena'!M42</f>
        <v>298015</v>
      </c>
      <c r="E47" s="5">
        <f>'ventanas modena'!N42</f>
        <v>315500</v>
      </c>
      <c r="F47" s="5">
        <f>'ventanas modena'!O42</f>
        <v>470330</v>
      </c>
      <c r="G47" s="5">
        <f>'ventanas modena'!P42</f>
        <v>26465</v>
      </c>
      <c r="H47" s="5">
        <f>'ventanas modena'!Q42</f>
        <v>65300</v>
      </c>
      <c r="I47" s="6">
        <f>'ventanas modena'!R42</f>
        <v>498670</v>
      </c>
    </row>
    <row r="48" spans="2:9" ht="14.25">
      <c r="B48" s="112" t="s">
        <v>112</v>
      </c>
      <c r="C48" s="117">
        <f>'ventanas modena'!L43</f>
        <v>314010</v>
      </c>
      <c r="D48" s="5">
        <f>'ventanas modena'!M43</f>
        <v>324650</v>
      </c>
      <c r="E48" s="5">
        <f>'ventanas modena'!N43</f>
        <v>343975</v>
      </c>
      <c r="F48" s="5">
        <f>'ventanas modena'!O43</f>
        <v>515100</v>
      </c>
      <c r="G48" s="5">
        <f>'ventanas modena'!P43</f>
        <v>26465</v>
      </c>
      <c r="H48" s="5">
        <f>'ventanas modena'!Q43</f>
        <v>69560</v>
      </c>
      <c r="I48" s="6">
        <f>'ventanas modena'!R43</f>
        <v>537735</v>
      </c>
    </row>
    <row r="49" spans="2:9" ht="14.25">
      <c r="B49" s="112" t="s">
        <v>113</v>
      </c>
      <c r="C49" s="117">
        <f>'ventanas modena'!L44</f>
        <v>335565</v>
      </c>
      <c r="D49" s="5">
        <f>'ventanas modena'!M44</f>
        <v>347215</v>
      </c>
      <c r="E49" s="5">
        <f>'ventanas modena'!N44</f>
        <v>368380</v>
      </c>
      <c r="F49" s="5">
        <f>'ventanas modena'!O44</f>
        <v>555810</v>
      </c>
      <c r="G49" s="5">
        <f>'ventanas modena'!P44</f>
        <v>26465</v>
      </c>
      <c r="H49" s="5">
        <f>'ventanas modena'!Q44</f>
        <v>73815</v>
      </c>
      <c r="I49" s="6">
        <f>'ventanas modena'!R44</f>
        <v>572715</v>
      </c>
    </row>
    <row r="50" spans="2:9" ht="14.25">
      <c r="B50" s="112" t="s">
        <v>114</v>
      </c>
      <c r="C50" s="117">
        <f>'ventanas modena'!L45</f>
        <v>214250</v>
      </c>
      <c r="D50" s="5">
        <f>'ventanas modena'!M45</f>
        <v>220055</v>
      </c>
      <c r="E50" s="5">
        <f>'ventanas modena'!N45</f>
        <v>230600</v>
      </c>
      <c r="F50" s="5">
        <f>'ventanas modena'!O45</f>
        <v>323940</v>
      </c>
      <c r="G50" s="5">
        <f>'ventanas modena'!P45</f>
        <v>33080</v>
      </c>
      <c r="H50" s="5">
        <f>'ventanas modena'!Q45</f>
        <v>52640</v>
      </c>
      <c r="I50" s="6">
        <f>'ventanas modena'!R45</f>
        <v>385575</v>
      </c>
    </row>
    <row r="51" spans="2:9" ht="14.25">
      <c r="B51" s="112" t="s">
        <v>71</v>
      </c>
      <c r="C51" s="117">
        <f>'ventanas modena'!L46</f>
        <v>231560</v>
      </c>
      <c r="D51" s="5">
        <f>'ventanas modena'!M46</f>
        <v>238650</v>
      </c>
      <c r="E51" s="5">
        <f>'ventanas modena'!N46</f>
        <v>251540</v>
      </c>
      <c r="F51" s="5">
        <f>'ventanas modena'!O46</f>
        <v>365625</v>
      </c>
      <c r="G51" s="5">
        <f>'ventanas modena'!P46</f>
        <v>33080</v>
      </c>
      <c r="H51" s="5">
        <f>'ventanas modena'!Q46</f>
        <v>57490</v>
      </c>
      <c r="I51" s="6">
        <f>'ventanas modena'!R46</f>
        <v>418170</v>
      </c>
    </row>
    <row r="52" spans="2:9" ht="14.25">
      <c r="B52" s="112" t="s">
        <v>72</v>
      </c>
      <c r="C52" s="117">
        <f>'ventanas modena'!L47</f>
        <v>262810</v>
      </c>
      <c r="D52" s="5">
        <f>'ventanas modena'!M47</f>
        <v>271845</v>
      </c>
      <c r="E52" s="5">
        <f>'ventanas modena'!N47</f>
        <v>288240</v>
      </c>
      <c r="F52" s="5">
        <f>'ventanas modena'!O47</f>
        <v>433445</v>
      </c>
      <c r="G52" s="5">
        <f>'ventanas modena'!P47</f>
        <v>33080</v>
      </c>
      <c r="H52" s="5">
        <f>'ventanas modena'!Q47</f>
        <v>64770</v>
      </c>
      <c r="I52" s="6">
        <f>'ventanas modena'!R47</f>
        <v>472380</v>
      </c>
    </row>
    <row r="53" spans="2:9" ht="14.25">
      <c r="B53" s="112" t="s">
        <v>73</v>
      </c>
      <c r="C53" s="117">
        <f>'ventanas modena'!L48</f>
        <v>288010</v>
      </c>
      <c r="D53" s="5">
        <f>'ventanas modena'!M48</f>
        <v>298970</v>
      </c>
      <c r="E53" s="5">
        <f>'ventanas modena'!N48</f>
        <v>318885</v>
      </c>
      <c r="F53" s="5">
        <f>'ventanas modena'!O48</f>
        <v>495200</v>
      </c>
      <c r="G53" s="5">
        <f>'ventanas modena'!P48</f>
        <v>33080</v>
      </c>
      <c r="H53" s="5">
        <f>'ventanas modena'!Q48</f>
        <v>72040</v>
      </c>
      <c r="I53" s="6">
        <f>'ventanas modena'!R48</f>
        <v>520500</v>
      </c>
    </row>
    <row r="54" spans="2:9" ht="14.25">
      <c r="B54" s="112" t="s">
        <v>74</v>
      </c>
      <c r="C54" s="117">
        <f>'ventanas modena'!L49</f>
        <v>314415</v>
      </c>
      <c r="D54" s="5">
        <f>'ventanas modena'!M49</f>
        <v>318975</v>
      </c>
      <c r="E54" s="5">
        <f>'ventanas modena'!N49</f>
        <v>348920</v>
      </c>
      <c r="F54" s="5">
        <f>'ventanas modena'!O49</f>
        <v>545990</v>
      </c>
      <c r="G54" s="5">
        <f>'ventanas modena'!P49</f>
        <v>33080</v>
      </c>
      <c r="H54" s="5">
        <f>'ventanas modena'!Q49</f>
        <v>76890</v>
      </c>
      <c r="I54" s="6">
        <f>'ventanas modena'!R49</f>
        <v>546825</v>
      </c>
    </row>
    <row r="55" spans="2:9" ht="14.25">
      <c r="B55" s="112" t="s">
        <v>75</v>
      </c>
      <c r="C55" s="117">
        <f>'ventanas modena'!L50</f>
        <v>343425</v>
      </c>
      <c r="D55" s="5">
        <f>'ventanas modena'!M50</f>
        <v>356975</v>
      </c>
      <c r="E55" s="5">
        <f>'ventanas modena'!N50</f>
        <v>381570</v>
      </c>
      <c r="F55" s="5">
        <f>'ventanas modena'!O50</f>
        <v>599365</v>
      </c>
      <c r="G55" s="5">
        <f>'ventanas modena'!P50</f>
        <v>33080</v>
      </c>
      <c r="H55" s="5">
        <f>'ventanas modena'!Q50</f>
        <v>81745</v>
      </c>
      <c r="I55" s="6">
        <f>'ventanas modena'!R50</f>
        <v>606525</v>
      </c>
    </row>
    <row r="56" spans="2:9" ht="14.25">
      <c r="B56" s="112" t="s">
        <v>76</v>
      </c>
      <c r="C56" s="117">
        <f>'ventanas modena'!L51</f>
        <v>363790</v>
      </c>
      <c r="D56" s="5">
        <f>'ventanas modena'!M51</f>
        <v>378615</v>
      </c>
      <c r="E56" s="5">
        <f>'ventanas modena'!N51</f>
        <v>405555</v>
      </c>
      <c r="F56" s="5">
        <f>'ventanas modena'!O51</f>
        <v>644105</v>
      </c>
      <c r="G56" s="5">
        <f>'ventanas modena'!P51</f>
        <v>33080</v>
      </c>
      <c r="H56" s="5">
        <f>'ventanas modena'!Q51</f>
        <v>86595</v>
      </c>
      <c r="I56" s="6">
        <f>'ventanas modena'!R51</f>
        <v>642165</v>
      </c>
    </row>
    <row r="57" spans="2:9" ht="14.25">
      <c r="B57" s="112" t="s">
        <v>17</v>
      </c>
      <c r="C57" s="117">
        <f>'ventanas modena'!L52</f>
        <v>284935</v>
      </c>
      <c r="D57" s="5">
        <f>'ventanas modena'!M52</f>
        <v>292810</v>
      </c>
      <c r="E57" s="5">
        <f>'ventanas modena'!N52</f>
        <v>307120</v>
      </c>
      <c r="F57" s="5">
        <f>'ventanas modena'!O52</f>
        <v>433790</v>
      </c>
      <c r="G57" s="5">
        <f>'ventanas modena'!P52</f>
        <v>44110</v>
      </c>
      <c r="H57" s="5">
        <f>'ventanas modena'!Q52</f>
        <v>67035</v>
      </c>
      <c r="I57" s="6">
        <f>'ventanas modena'!R52</f>
        <v>503270</v>
      </c>
    </row>
    <row r="58" spans="2:9" ht="14.25">
      <c r="B58" s="112" t="s">
        <v>83</v>
      </c>
      <c r="C58" s="117">
        <f>'ventanas modena'!L53</f>
        <v>312625</v>
      </c>
      <c r="D58" s="5">
        <f>'ventanas modena'!M53</f>
        <v>322250</v>
      </c>
      <c r="E58" s="5">
        <f>'ventanas modena'!N53</f>
        <v>339735</v>
      </c>
      <c r="F58" s="5">
        <f>'ventanas modena'!O53</f>
        <v>494565</v>
      </c>
      <c r="G58" s="5">
        <f>'ventanas modena'!P53</f>
        <v>44110</v>
      </c>
      <c r="H58" s="5">
        <f>'ventanas modena'!Q53</f>
        <v>72870</v>
      </c>
      <c r="I58" s="6">
        <f>'ventanas modena'!R53</f>
        <v>549360</v>
      </c>
    </row>
    <row r="59" spans="2:9" ht="14.25">
      <c r="B59" s="112" t="s">
        <v>84</v>
      </c>
      <c r="C59" s="117">
        <f>'ventanas modena'!L54</f>
        <v>350520</v>
      </c>
      <c r="D59" s="5">
        <f>'ventanas modena'!M54</f>
        <v>359720</v>
      </c>
      <c r="E59" s="5">
        <f>'ventanas modena'!N54</f>
        <v>381980</v>
      </c>
      <c r="F59" s="5">
        <f>'ventanas modena'!O54</f>
        <v>579040</v>
      </c>
      <c r="G59" s="5">
        <f>'ventanas modena'!P54</f>
        <v>44110</v>
      </c>
      <c r="H59" s="5">
        <f>'ventanas modena'!Q54</f>
        <v>81625</v>
      </c>
      <c r="I59" s="6">
        <f>'ventanas modena'!R54</f>
        <v>611790</v>
      </c>
    </row>
    <row r="60" spans="2:9" ht="14.25">
      <c r="B60" s="112" t="s">
        <v>85</v>
      </c>
      <c r="C60" s="117">
        <f>'ventanas modena'!L55</f>
        <v>382935</v>
      </c>
      <c r="D60" s="5">
        <f>'ventanas modena'!M55</f>
        <v>394110</v>
      </c>
      <c r="E60" s="5">
        <f>'ventanas modena'!N55</f>
        <v>421130</v>
      </c>
      <c r="F60" s="5">
        <f>'ventanas modena'!O55</f>
        <v>660415</v>
      </c>
      <c r="G60" s="5">
        <f>'ventanas modena'!P55</f>
        <v>44110</v>
      </c>
      <c r="H60" s="5">
        <f>'ventanas modena'!Q55</f>
        <v>90380</v>
      </c>
      <c r="I60" s="6">
        <f>'ventanas modena'!R55</f>
        <v>671155</v>
      </c>
    </row>
    <row r="61" spans="2:9" ht="14.25">
      <c r="B61" s="112" t="s">
        <v>86</v>
      </c>
      <c r="C61" s="117">
        <f>'ventanas modena'!L56</f>
        <v>418400</v>
      </c>
      <c r="D61" s="5">
        <f>'ventanas modena'!M56</f>
        <v>430885</v>
      </c>
      <c r="E61" s="5">
        <f>'ventanas modena'!N56</f>
        <v>461090</v>
      </c>
      <c r="F61" s="5">
        <f>'ventanas modena'!O56</f>
        <v>728520</v>
      </c>
      <c r="G61" s="5">
        <f>'ventanas modena'!P56</f>
        <v>44110</v>
      </c>
      <c r="H61" s="5">
        <f>'ventanas modena'!Q56</f>
        <v>96215</v>
      </c>
      <c r="I61" s="6">
        <f>'ventanas modena'!R56</f>
        <v>724580</v>
      </c>
    </row>
    <row r="62" spans="2:9" ht="14.25">
      <c r="B62" s="112" t="s">
        <v>87</v>
      </c>
      <c r="C62" s="117">
        <f>'ventanas modena'!L57</f>
        <v>444005</v>
      </c>
      <c r="D62" s="5">
        <f>'ventanas modena'!M57</f>
        <v>457805</v>
      </c>
      <c r="E62" s="5">
        <f>'ventanas modena'!N57</f>
        <v>491185</v>
      </c>
      <c r="F62" s="5">
        <f>'ventanas modena'!O57</f>
        <v>786765</v>
      </c>
      <c r="G62" s="5">
        <f>'ventanas modena'!P57</f>
        <v>44110</v>
      </c>
      <c r="H62" s="5">
        <f>'ventanas modena'!Q57</f>
        <v>102050</v>
      </c>
      <c r="I62" s="6">
        <f>'ventanas modena'!R57</f>
        <v>768145</v>
      </c>
    </row>
    <row r="63" spans="2:9" ht="14.65" thickBot="1">
      <c r="B63" s="113" t="s">
        <v>88</v>
      </c>
      <c r="C63" s="118">
        <f>'ventanas modena'!L58</f>
        <v>474775</v>
      </c>
      <c r="D63" s="10">
        <f>'ventanas modena'!M58</f>
        <v>489890</v>
      </c>
      <c r="E63" s="10">
        <f>'ventanas modena'!N58</f>
        <v>526445</v>
      </c>
      <c r="F63" s="10">
        <f>'ventanas modena'!O58</f>
        <v>850185</v>
      </c>
      <c r="G63" s="10">
        <f>'ventanas modena'!P58</f>
        <v>44110</v>
      </c>
      <c r="H63" s="10">
        <f>'ventanas modena'!Q58</f>
        <v>107885</v>
      </c>
      <c r="I63" s="11">
        <f>'ventanas modena'!R58</f>
        <v>816880</v>
      </c>
    </row>
  </sheetData>
  <mergeCells count="3">
    <mergeCell ref="B6:I6"/>
    <mergeCell ref="B7:I7"/>
    <mergeCell ref="B9:I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4C5352B7-D1FD-48DD-9C32-3398A09703D0}">
            <xm:f>'ventanas modena'!$C$2="VERDE"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29" id="{F44AA943-BC08-44C2-802D-01524039B4D4}">
            <xm:f>'ventanas modena'!$C$2="AZUL"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30" id="{9C012995-717A-481A-BF30-21E3E88EF952}">
            <xm:f>'ventanas modena'!$C$2="AMARILLA"</xm:f>
            <x14:dxf>
              <fill>
                <patternFill>
                  <bgColor rgb="FFFFFF00"/>
                </patternFill>
              </fill>
            </x14:dxf>
          </x14:cfRule>
          <xm:sqref>B9:I10 B11:B63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>
    <tabColor rgb="FF00B050"/>
    <pageSetUpPr fitToPage="1"/>
  </sheetPr>
  <dimension ref="B6:I79"/>
  <sheetViews>
    <sheetView topLeftCell="A55" zoomScale="55" zoomScaleNormal="55" workbookViewId="0">
      <selection activeCell="D37" sqref="D37"/>
    </sheetView>
  </sheetViews>
  <sheetFormatPr baseColWidth="10" defaultColWidth="11.3984375" defaultRowHeight="12.75"/>
  <cols>
    <col min="1" max="5" width="11.3984375" style="25"/>
    <col min="6" max="6" width="11.73046875" style="25" customWidth="1"/>
    <col min="7" max="8" width="11.3984375" style="25"/>
    <col min="9" max="9" width="13.3984375" style="25" customWidth="1"/>
    <col min="10" max="16384" width="11.3984375" style="25"/>
  </cols>
  <sheetData>
    <row r="6" spans="2:9" ht="13.15">
      <c r="B6" s="337" t="s">
        <v>21</v>
      </c>
      <c r="C6" s="337"/>
      <c r="D6" s="337"/>
      <c r="E6" s="337"/>
      <c r="F6" s="337"/>
      <c r="G6" s="337"/>
      <c r="H6" s="337"/>
      <c r="I6" s="337"/>
    </row>
    <row r="7" spans="2:9" ht="13.15">
      <c r="B7" s="337" t="s">
        <v>22</v>
      </c>
      <c r="C7" s="337"/>
      <c r="D7" s="337"/>
      <c r="E7" s="337"/>
      <c r="F7" s="337"/>
      <c r="G7" s="337"/>
      <c r="H7" s="337"/>
      <c r="I7" s="337"/>
    </row>
    <row r="8" spans="2:9" ht="13.15" thickBot="1"/>
    <row r="9" spans="2:9" ht="21.4" thickBot="1">
      <c r="B9" s="353" t="s">
        <v>261</v>
      </c>
      <c r="C9" s="354"/>
      <c r="D9" s="354"/>
      <c r="E9" s="354"/>
      <c r="F9" s="354"/>
      <c r="G9" s="354"/>
      <c r="H9" s="354"/>
      <c r="I9" s="355"/>
    </row>
    <row r="10" spans="2:9" ht="14.65" thickBot="1">
      <c r="B10" s="236" t="s">
        <v>24</v>
      </c>
      <c r="C10" s="237" t="s">
        <v>122</v>
      </c>
      <c r="D10" s="237" t="s">
        <v>123</v>
      </c>
      <c r="E10" s="237" t="s">
        <v>199</v>
      </c>
      <c r="F10" s="237" t="s">
        <v>125</v>
      </c>
      <c r="G10" s="237" t="s">
        <v>126</v>
      </c>
      <c r="H10" s="237" t="s">
        <v>127</v>
      </c>
      <c r="I10" s="238" t="s">
        <v>255</v>
      </c>
    </row>
    <row r="11" spans="2:9" ht="14.25">
      <c r="B11" s="111" t="s">
        <v>128</v>
      </c>
      <c r="C11" s="114">
        <f>'rajas modena'!L7</f>
        <v>120280</v>
      </c>
      <c r="D11" s="115">
        <f>'rajas modena'!M7</f>
        <v>120940</v>
      </c>
      <c r="E11" s="115">
        <f>'rajas modena'!N7</f>
        <v>122145</v>
      </c>
      <c r="F11" s="115">
        <f>'rajas modena'!O7</f>
        <v>127980</v>
      </c>
      <c r="G11" s="115">
        <f>'rajas modena'!P7</f>
        <v>121325</v>
      </c>
      <c r="H11" s="115">
        <f>'rajas modena'!Q7</f>
        <v>133350</v>
      </c>
      <c r="I11" s="116">
        <f>'rajas modena'!R7</f>
        <v>156530</v>
      </c>
    </row>
    <row r="12" spans="2:9" ht="14.25">
      <c r="B12" s="112" t="s">
        <v>129</v>
      </c>
      <c r="C12" s="117">
        <f>'rajas modena'!L8</f>
        <v>127865</v>
      </c>
      <c r="D12" s="5">
        <f>'rajas modena'!M8</f>
        <v>128750</v>
      </c>
      <c r="E12" s="5">
        <f>'rajas modena'!N8</f>
        <v>130365</v>
      </c>
      <c r="F12" s="5">
        <f>'rajas modena'!O8</f>
        <v>138140</v>
      </c>
      <c r="G12" s="5">
        <f>'rajas modena'!P8</f>
        <v>129270</v>
      </c>
      <c r="H12" s="5">
        <f>'rajas modena'!Q8</f>
        <v>145315</v>
      </c>
      <c r="I12" s="6">
        <f>'rajas modena'!R8</f>
        <v>169585</v>
      </c>
    </row>
    <row r="13" spans="2:9" ht="14.25">
      <c r="B13" s="112" t="s">
        <v>130</v>
      </c>
      <c r="C13" s="117">
        <f>'rajas modena'!L9</f>
        <v>135500</v>
      </c>
      <c r="D13" s="5">
        <f>'rajas modena'!M9</f>
        <v>136610</v>
      </c>
      <c r="E13" s="5">
        <f>'rajas modena'!N9</f>
        <v>138625</v>
      </c>
      <c r="F13" s="5">
        <f>'rajas modena'!O9</f>
        <v>148345</v>
      </c>
      <c r="G13" s="5">
        <f>'rajas modena'!P9</f>
        <v>137260</v>
      </c>
      <c r="H13" s="5">
        <f>'rajas modena'!Q9</f>
        <v>157320</v>
      </c>
      <c r="I13" s="6">
        <f>'rajas modena'!R9</f>
        <v>182680</v>
      </c>
    </row>
    <row r="14" spans="2:9" ht="14.25">
      <c r="B14" s="112" t="s">
        <v>131</v>
      </c>
      <c r="C14" s="117">
        <f>'rajas modena'!L10</f>
        <v>143110</v>
      </c>
      <c r="D14" s="5">
        <f>'rajas modena'!M10</f>
        <v>144440</v>
      </c>
      <c r="E14" s="5">
        <f>'rajas modena'!N10</f>
        <v>146860</v>
      </c>
      <c r="F14" s="5">
        <f>'rajas modena'!O10</f>
        <v>158525</v>
      </c>
      <c r="G14" s="5">
        <f>'rajas modena'!P10</f>
        <v>145225</v>
      </c>
      <c r="H14" s="5">
        <f>'rajas modena'!Q10</f>
        <v>169300</v>
      </c>
      <c r="I14" s="6">
        <f>'rajas modena'!R10</f>
        <v>195755</v>
      </c>
    </row>
    <row r="15" spans="2:9" ht="14.25">
      <c r="B15" s="112" t="s">
        <v>132</v>
      </c>
      <c r="C15" s="117">
        <f>'rajas modena'!L11</f>
        <v>150735</v>
      </c>
      <c r="D15" s="5">
        <f>'rajas modena'!M11</f>
        <v>152285</v>
      </c>
      <c r="E15" s="5">
        <f>'rajas modena'!N11</f>
        <v>155115</v>
      </c>
      <c r="F15" s="5">
        <f>'rajas modena'!O11</f>
        <v>168720</v>
      </c>
      <c r="G15" s="5">
        <f>'rajas modena'!P11</f>
        <v>153210</v>
      </c>
      <c r="H15" s="5">
        <f>'rajas modena'!Q11</f>
        <v>181295</v>
      </c>
      <c r="I15" s="6">
        <f>'rajas modena'!R11</f>
        <v>208840</v>
      </c>
    </row>
    <row r="16" spans="2:9" ht="14.25">
      <c r="B16" s="112" t="s">
        <v>133</v>
      </c>
      <c r="C16" s="117">
        <f>'rajas modena'!L12</f>
        <v>158350</v>
      </c>
      <c r="D16" s="5">
        <f>'rajas modena'!M12</f>
        <v>160120</v>
      </c>
      <c r="E16" s="5">
        <f>'rajas modena'!N12</f>
        <v>163360</v>
      </c>
      <c r="F16" s="5">
        <f>'rajas modena'!O12</f>
        <v>178910</v>
      </c>
      <c r="G16" s="5">
        <f>'rajas modena'!P12</f>
        <v>161180</v>
      </c>
      <c r="H16" s="5">
        <f>'rajas modena'!Q12</f>
        <v>193285</v>
      </c>
      <c r="I16" s="6">
        <f>'rajas modena'!R12</f>
        <v>221920</v>
      </c>
    </row>
    <row r="17" spans="2:9" ht="14.25">
      <c r="B17" s="112" t="s">
        <v>134</v>
      </c>
      <c r="C17" s="117">
        <f>'rajas modena'!L13</f>
        <v>165940</v>
      </c>
      <c r="D17" s="5">
        <f>'rajas modena'!M13</f>
        <v>167935</v>
      </c>
      <c r="E17" s="5">
        <f>'rajas modena'!N13</f>
        <v>171575</v>
      </c>
      <c r="F17" s="5">
        <f>'rajas modena'!O13</f>
        <v>189070</v>
      </c>
      <c r="G17" s="5">
        <f>'rajas modena'!P13</f>
        <v>169125</v>
      </c>
      <c r="H17" s="5">
        <f>'rajas modena'!Q13</f>
        <v>205250</v>
      </c>
      <c r="I17" s="6">
        <f>'rajas modena'!R13</f>
        <v>234970</v>
      </c>
    </row>
    <row r="18" spans="2:9" ht="14.25">
      <c r="B18" s="112" t="s">
        <v>135</v>
      </c>
      <c r="C18" s="117">
        <f>'rajas modena'!L14</f>
        <v>127885</v>
      </c>
      <c r="D18" s="5">
        <f>'rajas modena'!M14</f>
        <v>128770</v>
      </c>
      <c r="E18" s="5">
        <f>'rajas modena'!N14</f>
        <v>130385</v>
      </c>
      <c r="F18" s="5">
        <f>'rajas modena'!O14</f>
        <v>138160</v>
      </c>
      <c r="G18" s="5">
        <f>'rajas modena'!P14</f>
        <v>129285</v>
      </c>
      <c r="H18" s="5">
        <f>'rajas modena'!Q14</f>
        <v>145330</v>
      </c>
      <c r="I18" s="6">
        <f>'rajas modena'!R14</f>
        <v>169605</v>
      </c>
    </row>
    <row r="19" spans="2:9" ht="14.25">
      <c r="B19" s="112" t="s">
        <v>136</v>
      </c>
      <c r="C19" s="117">
        <f>'rajas modena'!L15</f>
        <v>135855</v>
      </c>
      <c r="D19" s="5">
        <f>'rajas modena'!M15</f>
        <v>137025</v>
      </c>
      <c r="E19" s="5">
        <f>'rajas modena'!N15</f>
        <v>139190</v>
      </c>
      <c r="F19" s="5">
        <f>'rajas modena'!O15</f>
        <v>149540</v>
      </c>
      <c r="G19" s="5">
        <f>'rajas modena'!P15</f>
        <v>137715</v>
      </c>
      <c r="H19" s="5">
        <f>'rajas modena'!Q15</f>
        <v>159105</v>
      </c>
      <c r="I19" s="6">
        <f>'rajas modena'!R15</f>
        <v>183520</v>
      </c>
    </row>
    <row r="20" spans="2:9" ht="14.25">
      <c r="B20" s="112" t="s">
        <v>137</v>
      </c>
      <c r="C20" s="117">
        <f>'rajas modena'!L16</f>
        <v>143810</v>
      </c>
      <c r="D20" s="5">
        <f>'rajas modena'!M16</f>
        <v>145275</v>
      </c>
      <c r="E20" s="5">
        <f>'rajas modena'!N16</f>
        <v>147995</v>
      </c>
      <c r="F20" s="5">
        <f>'rajas modena'!O16</f>
        <v>160910</v>
      </c>
      <c r="G20" s="5">
        <f>'rajas modena'!P16</f>
        <v>146135</v>
      </c>
      <c r="H20" s="5">
        <f>'rajas modena'!Q16</f>
        <v>172870</v>
      </c>
      <c r="I20" s="6">
        <f>'rajas modena'!R16</f>
        <v>197430</v>
      </c>
    </row>
    <row r="21" spans="2:9" ht="14.25">
      <c r="B21" s="112" t="s">
        <v>138</v>
      </c>
      <c r="C21" s="117">
        <f>'rajas modena'!L17</f>
        <v>151765</v>
      </c>
      <c r="D21" s="5">
        <f>'rajas modena'!M17</f>
        <v>153520</v>
      </c>
      <c r="E21" s="5">
        <f>'rajas modena'!N17</f>
        <v>156795</v>
      </c>
      <c r="F21" s="5">
        <f>'rajas modena'!O17</f>
        <v>172285</v>
      </c>
      <c r="G21" s="5">
        <f>'rajas modena'!P17</f>
        <v>154555</v>
      </c>
      <c r="H21" s="5">
        <f>'rajas modena'!Q17</f>
        <v>186640</v>
      </c>
      <c r="I21" s="6">
        <f>'rajas modena'!R17</f>
        <v>211335</v>
      </c>
    </row>
    <row r="22" spans="2:9" ht="14.25">
      <c r="B22" s="112" t="s">
        <v>139</v>
      </c>
      <c r="C22" s="117">
        <f>'rajas modena'!L18</f>
        <v>159755</v>
      </c>
      <c r="D22" s="5">
        <f>'rajas modena'!M18</f>
        <v>161795</v>
      </c>
      <c r="E22" s="5">
        <f>'rajas modena'!N18</f>
        <v>165620</v>
      </c>
      <c r="F22" s="5">
        <f>'rajas modena'!O18</f>
        <v>183680</v>
      </c>
      <c r="G22" s="5">
        <f>'rajas modena'!P18</f>
        <v>163000</v>
      </c>
      <c r="H22" s="5">
        <f>'rajas modena'!Q18</f>
        <v>200430</v>
      </c>
      <c r="I22" s="6">
        <f>'rajas modena'!R18</f>
        <v>225265</v>
      </c>
    </row>
    <row r="23" spans="2:9" ht="14.25">
      <c r="B23" s="112" t="s">
        <v>140</v>
      </c>
      <c r="C23" s="117">
        <f>'rajas modena'!L19</f>
        <v>167705</v>
      </c>
      <c r="D23" s="5">
        <f>'rajas modena'!M19</f>
        <v>170040</v>
      </c>
      <c r="E23" s="5">
        <f>'rajas modena'!N19</f>
        <v>174425</v>
      </c>
      <c r="F23" s="5">
        <f>'rajas modena'!O19</f>
        <v>195055</v>
      </c>
      <c r="G23" s="5">
        <f>'rajas modena'!P19</f>
        <v>171420</v>
      </c>
      <c r="H23" s="5">
        <f>'rajas modena'!Q19</f>
        <v>214200</v>
      </c>
      <c r="I23" s="6">
        <f>'rajas modena'!R19</f>
        <v>239170</v>
      </c>
    </row>
    <row r="24" spans="2:9" ht="14.25">
      <c r="B24" s="112" t="s">
        <v>141</v>
      </c>
      <c r="C24" s="117">
        <f>'rajas modena'!L20</f>
        <v>175660</v>
      </c>
      <c r="D24" s="5">
        <f>'rajas modena'!M20</f>
        <v>178290</v>
      </c>
      <c r="E24" s="5">
        <f>'rajas modena'!N20</f>
        <v>183225</v>
      </c>
      <c r="F24" s="5">
        <f>'rajas modena'!O20</f>
        <v>206430</v>
      </c>
      <c r="G24" s="5">
        <f>'rajas modena'!P20</f>
        <v>179840</v>
      </c>
      <c r="H24" s="5">
        <f>'rajas modena'!Q20</f>
        <v>227965</v>
      </c>
      <c r="I24" s="6">
        <f>'rajas modena'!R20</f>
        <v>253080</v>
      </c>
    </row>
    <row r="25" spans="2:9" ht="14.25">
      <c r="B25" s="112" t="s">
        <v>156</v>
      </c>
      <c r="C25" s="117">
        <f>'rajas modena'!L21</f>
        <v>135500</v>
      </c>
      <c r="D25" s="5">
        <f>'rajas modena'!M21</f>
        <v>136610</v>
      </c>
      <c r="E25" s="5">
        <f>'rajas modena'!N21</f>
        <v>138625</v>
      </c>
      <c r="F25" s="5">
        <f>'rajas modena'!O21</f>
        <v>148345</v>
      </c>
      <c r="G25" s="5">
        <f>'rajas modena'!P21</f>
        <v>137260</v>
      </c>
      <c r="H25" s="5">
        <f>'rajas modena'!Q21</f>
        <v>157320</v>
      </c>
      <c r="I25" s="6">
        <f>'rajas modena'!R21</f>
        <v>182680</v>
      </c>
    </row>
    <row r="26" spans="2:9" ht="14.25">
      <c r="B26" s="112" t="s">
        <v>157</v>
      </c>
      <c r="C26" s="117">
        <f>'rajas modena'!L22</f>
        <v>143810</v>
      </c>
      <c r="D26" s="5">
        <f>'rajas modena'!M22</f>
        <v>145275</v>
      </c>
      <c r="E26" s="5">
        <f>'rajas modena'!N22</f>
        <v>147995</v>
      </c>
      <c r="F26" s="5">
        <f>'rajas modena'!O22</f>
        <v>160910</v>
      </c>
      <c r="G26" s="5">
        <f>'rajas modena'!P22</f>
        <v>146135</v>
      </c>
      <c r="H26" s="5">
        <f>'rajas modena'!Q22</f>
        <v>172870</v>
      </c>
      <c r="I26" s="6">
        <f>'rajas modena'!R22</f>
        <v>197430</v>
      </c>
    </row>
    <row r="27" spans="2:9" ht="14.25">
      <c r="B27" s="112" t="s">
        <v>158</v>
      </c>
      <c r="C27" s="117">
        <f>'rajas modena'!L23</f>
        <v>152105</v>
      </c>
      <c r="D27" s="5">
        <f>'rajas modena'!M23</f>
        <v>153940</v>
      </c>
      <c r="E27" s="5">
        <f>'rajas modena'!N23</f>
        <v>157360</v>
      </c>
      <c r="F27" s="5">
        <f>'rajas modena'!O23</f>
        <v>173475</v>
      </c>
      <c r="G27" s="5">
        <f>'rajas modena'!P23</f>
        <v>155010</v>
      </c>
      <c r="H27" s="5">
        <f>'rajas modena'!Q23</f>
        <v>188425</v>
      </c>
      <c r="I27" s="6">
        <f>'rajas modena'!R23</f>
        <v>212170</v>
      </c>
    </row>
    <row r="28" spans="2:9" ht="14.25">
      <c r="B28" s="112" t="s">
        <v>159</v>
      </c>
      <c r="C28" s="117">
        <f>'rajas modena'!L24</f>
        <v>160440</v>
      </c>
      <c r="D28" s="5">
        <f>'rajas modena'!M24</f>
        <v>162635</v>
      </c>
      <c r="E28" s="5">
        <f>'rajas modena'!N24</f>
        <v>166755</v>
      </c>
      <c r="F28" s="5">
        <f>'rajas modena'!O24</f>
        <v>186190</v>
      </c>
      <c r="G28" s="5">
        <f>'rajas modena'!P24</f>
        <v>163910</v>
      </c>
      <c r="H28" s="5">
        <f>'rajas modena'!Q24</f>
        <v>204005</v>
      </c>
      <c r="I28" s="6">
        <f>'rajas modena'!R24</f>
        <v>226940</v>
      </c>
    </row>
    <row r="29" spans="2:9" ht="14.25">
      <c r="B29" s="112" t="s">
        <v>160</v>
      </c>
      <c r="C29" s="117">
        <f>'rajas modena'!L25</f>
        <v>168750</v>
      </c>
      <c r="D29" s="5">
        <f>'rajas modena'!M25</f>
        <v>171295</v>
      </c>
      <c r="E29" s="5">
        <f>'rajas modena'!N25</f>
        <v>176120</v>
      </c>
      <c r="F29" s="5">
        <f>'rajas modena'!O25</f>
        <v>198880</v>
      </c>
      <c r="G29" s="5">
        <f>'rajas modena'!P25</f>
        <v>172785</v>
      </c>
      <c r="H29" s="5">
        <f>'rajas modena'!Q25</f>
        <v>219555</v>
      </c>
      <c r="I29" s="6">
        <f>'rajas modena'!R25</f>
        <v>241680</v>
      </c>
    </row>
    <row r="30" spans="2:9" ht="14.25">
      <c r="B30" s="112" t="s">
        <v>161</v>
      </c>
      <c r="C30" s="117">
        <f>'rajas modena'!L26</f>
        <v>177060</v>
      </c>
      <c r="D30" s="5">
        <f>'rajas modena'!M26</f>
        <v>179965</v>
      </c>
      <c r="E30" s="5">
        <f>'rajas modena'!N26</f>
        <v>185490</v>
      </c>
      <c r="F30" s="5">
        <f>'rajas modena'!O26</f>
        <v>211570</v>
      </c>
      <c r="G30" s="5">
        <f>'rajas modena'!P26</f>
        <v>181660</v>
      </c>
      <c r="H30" s="5">
        <f>'rajas modena'!Q26</f>
        <v>235110</v>
      </c>
      <c r="I30" s="6">
        <f>'rajas modena'!R26</f>
        <v>256425</v>
      </c>
    </row>
    <row r="31" spans="2:9" ht="14.25">
      <c r="B31" s="112" t="s">
        <v>162</v>
      </c>
      <c r="C31" s="117">
        <f>'rajas modena'!L27</f>
        <v>185380</v>
      </c>
      <c r="D31" s="5">
        <f>'rajas modena'!M27</f>
        <v>188640</v>
      </c>
      <c r="E31" s="5">
        <f>'rajas modena'!N27</f>
        <v>194865</v>
      </c>
      <c r="F31" s="5">
        <f>'rajas modena'!O27</f>
        <v>224265</v>
      </c>
      <c r="G31" s="5">
        <f>'rajas modena'!P27</f>
        <v>190545</v>
      </c>
      <c r="H31" s="5">
        <f>'rajas modena'!Q27</f>
        <v>250670</v>
      </c>
      <c r="I31" s="6">
        <f>'rajas modena'!R27</f>
        <v>271180</v>
      </c>
    </row>
    <row r="32" spans="2:9" ht="14.25">
      <c r="B32" s="112" t="s">
        <v>163</v>
      </c>
      <c r="C32" s="117">
        <f>'rajas modena'!L28</f>
        <v>143110</v>
      </c>
      <c r="D32" s="5">
        <f>'rajas modena'!M28</f>
        <v>144440</v>
      </c>
      <c r="E32" s="5">
        <f>'rajas modena'!N28</f>
        <v>146860</v>
      </c>
      <c r="F32" s="5">
        <f>'rajas modena'!O28</f>
        <v>158525</v>
      </c>
      <c r="G32" s="5">
        <f>'rajas modena'!P28</f>
        <v>145225</v>
      </c>
      <c r="H32" s="5">
        <f>'rajas modena'!Q28</f>
        <v>169300</v>
      </c>
      <c r="I32" s="6">
        <f>'rajas modena'!R28</f>
        <v>195755</v>
      </c>
    </row>
    <row r="33" spans="2:9" ht="14.25">
      <c r="B33" s="112" t="s">
        <v>164</v>
      </c>
      <c r="C33" s="117">
        <f>'rajas modena'!L29</f>
        <v>151765</v>
      </c>
      <c r="D33" s="5">
        <f>'rajas modena'!M29</f>
        <v>153520</v>
      </c>
      <c r="E33" s="5">
        <f>'rajas modena'!N29</f>
        <v>156795</v>
      </c>
      <c r="F33" s="5">
        <f>'rajas modena'!O29</f>
        <v>172285</v>
      </c>
      <c r="G33" s="5">
        <f>'rajas modena'!P29</f>
        <v>154555</v>
      </c>
      <c r="H33" s="5">
        <f>'rajas modena'!Q29</f>
        <v>186640</v>
      </c>
      <c r="I33" s="6">
        <f>'rajas modena'!R29</f>
        <v>211335</v>
      </c>
    </row>
    <row r="34" spans="2:9" ht="14.25">
      <c r="B34" s="112" t="s">
        <v>165</v>
      </c>
      <c r="C34" s="117">
        <f>'rajas modena'!L30</f>
        <v>160440</v>
      </c>
      <c r="D34" s="5">
        <f>'rajas modena'!M30</f>
        <v>162635</v>
      </c>
      <c r="E34" s="5">
        <f>'rajas modena'!N30</f>
        <v>166755</v>
      </c>
      <c r="F34" s="5">
        <f>'rajas modena'!O30</f>
        <v>186190</v>
      </c>
      <c r="G34" s="5">
        <f>'rajas modena'!P30</f>
        <v>163910</v>
      </c>
      <c r="H34" s="5">
        <f>'rajas modena'!Q30</f>
        <v>204005</v>
      </c>
      <c r="I34" s="6">
        <f>'rajas modena'!R30</f>
        <v>226940</v>
      </c>
    </row>
    <row r="35" spans="2:9" ht="14.25">
      <c r="B35" s="112" t="s">
        <v>166</v>
      </c>
      <c r="C35" s="117">
        <f>'rajas modena'!L31</f>
        <v>169110</v>
      </c>
      <c r="D35" s="5">
        <f>'rajas modena'!M31</f>
        <v>171715</v>
      </c>
      <c r="E35" s="5">
        <f>'rajas modena'!N31</f>
        <v>176685</v>
      </c>
      <c r="F35" s="5">
        <f>'rajas modena'!O31</f>
        <v>200075</v>
      </c>
      <c r="G35" s="5">
        <f>'rajas modena'!P31</f>
        <v>173240</v>
      </c>
      <c r="H35" s="5">
        <f>'rajas modena'!Q31</f>
        <v>221340</v>
      </c>
      <c r="I35" s="6">
        <f>'rajas modena'!R31</f>
        <v>242520</v>
      </c>
    </row>
    <row r="36" spans="2:9" ht="14.25">
      <c r="B36" s="112" t="s">
        <v>167</v>
      </c>
      <c r="C36" s="117">
        <f>'rajas modena'!L32</f>
        <v>177760</v>
      </c>
      <c r="D36" s="5">
        <f>'rajas modena'!M32</f>
        <v>180800</v>
      </c>
      <c r="E36" s="5">
        <f>'rajas modena'!N32</f>
        <v>186620</v>
      </c>
      <c r="F36" s="5">
        <f>'rajas modena'!O32</f>
        <v>213955</v>
      </c>
      <c r="G36" s="5">
        <f>'rajas modena'!P32</f>
        <v>182570</v>
      </c>
      <c r="H36" s="5">
        <f>'rajas modena'!Q32</f>
        <v>238685</v>
      </c>
      <c r="I36" s="6">
        <f>'rajas modena'!R32</f>
        <v>258100</v>
      </c>
    </row>
    <row r="37" spans="2:9" ht="14.25">
      <c r="B37" s="112" t="s">
        <v>168</v>
      </c>
      <c r="C37" s="117">
        <f>'rajas modena'!L33</f>
        <v>186425</v>
      </c>
      <c r="D37" s="5">
        <f>'rajas modena'!M33</f>
        <v>189895</v>
      </c>
      <c r="E37" s="5">
        <f>'rajas modena'!N33</f>
        <v>196560</v>
      </c>
      <c r="F37" s="5">
        <f>'rajas modena'!O33</f>
        <v>227850</v>
      </c>
      <c r="G37" s="5">
        <f>'rajas modena'!P33</f>
        <v>191910</v>
      </c>
      <c r="H37" s="5">
        <f>'rajas modena'!Q33</f>
        <v>256030</v>
      </c>
      <c r="I37" s="6">
        <f>'rajas modena'!R33</f>
        <v>273690</v>
      </c>
    </row>
    <row r="38" spans="2:9" ht="14.25">
      <c r="B38" s="112" t="s">
        <v>169</v>
      </c>
      <c r="C38" s="117">
        <f>'rajas modena'!L34</f>
        <v>195095</v>
      </c>
      <c r="D38" s="5">
        <f>'rajas modena'!M34</f>
        <v>198995</v>
      </c>
      <c r="E38" s="5">
        <f>'rajas modena'!N34</f>
        <v>206510</v>
      </c>
      <c r="F38" s="5">
        <f>'rajas modena'!O34</f>
        <v>241745</v>
      </c>
      <c r="G38" s="5">
        <f>'rajas modena'!P34</f>
        <v>201260</v>
      </c>
      <c r="H38" s="5">
        <f>'rajas modena'!Q34</f>
        <v>273385</v>
      </c>
      <c r="I38" s="6">
        <f>'rajas modena'!R34</f>
        <v>289285</v>
      </c>
    </row>
    <row r="39" spans="2:9" ht="14.25">
      <c r="B39" s="112" t="s">
        <v>170</v>
      </c>
      <c r="C39" s="117">
        <f>'rajas modena'!L35</f>
        <v>150715</v>
      </c>
      <c r="D39" s="5">
        <f>'rajas modena'!M35</f>
        <v>152265</v>
      </c>
      <c r="E39" s="5">
        <f>'rajas modena'!N35</f>
        <v>155095</v>
      </c>
      <c r="F39" s="5">
        <f>'rajas modena'!O35</f>
        <v>168705</v>
      </c>
      <c r="G39" s="5">
        <f>'rajas modena'!P35</f>
        <v>153190</v>
      </c>
      <c r="H39" s="5">
        <f>'rajas modena'!Q35</f>
        <v>181280</v>
      </c>
      <c r="I39" s="6">
        <f>'rajas modena'!R35</f>
        <v>208825</v>
      </c>
    </row>
    <row r="40" spans="2:9" ht="14.25">
      <c r="B40" s="112" t="s">
        <v>260</v>
      </c>
      <c r="C40" s="117">
        <f>'rajas modena'!L36</f>
        <v>168750</v>
      </c>
      <c r="D40" s="5">
        <f>'rajas modena'!M36</f>
        <v>171295</v>
      </c>
      <c r="E40" s="5">
        <f>'rajas modena'!N36</f>
        <v>176120</v>
      </c>
      <c r="F40" s="5">
        <f>'rajas modena'!O36</f>
        <v>198880</v>
      </c>
      <c r="G40" s="5">
        <f>'rajas modena'!P36</f>
        <v>172785</v>
      </c>
      <c r="H40" s="5">
        <f>'rajas modena'!Q36</f>
        <v>219555</v>
      </c>
      <c r="I40" s="6">
        <f>'rajas modena'!R36</f>
        <v>241680</v>
      </c>
    </row>
    <row r="41" spans="2:9" ht="14.25">
      <c r="B41" s="112" t="s">
        <v>172</v>
      </c>
      <c r="C41" s="117">
        <f>'rajas modena'!L37</f>
        <v>177760</v>
      </c>
      <c r="D41" s="5">
        <f>'rajas modena'!M37</f>
        <v>180800</v>
      </c>
      <c r="E41" s="5">
        <f>'rajas modena'!N37</f>
        <v>186620</v>
      </c>
      <c r="F41" s="5">
        <f>'rajas modena'!O37</f>
        <v>213955</v>
      </c>
      <c r="G41" s="5">
        <f>'rajas modena'!P37</f>
        <v>182570</v>
      </c>
      <c r="H41" s="5">
        <f>'rajas modena'!Q37</f>
        <v>238685</v>
      </c>
      <c r="I41" s="6">
        <f>'rajas modena'!R37</f>
        <v>258100</v>
      </c>
    </row>
    <row r="42" spans="2:9" ht="14.25">
      <c r="B42" s="112" t="s">
        <v>173</v>
      </c>
      <c r="C42" s="117">
        <f>'rajas modena'!L38</f>
        <v>186770</v>
      </c>
      <c r="D42" s="5">
        <f>'rajas modena'!M38</f>
        <v>190310</v>
      </c>
      <c r="E42" s="5">
        <f>'rajas modena'!N38</f>
        <v>197130</v>
      </c>
      <c r="F42" s="5">
        <f>'rajas modena'!O38</f>
        <v>229040</v>
      </c>
      <c r="G42" s="5">
        <f>'rajas modena'!P38</f>
        <v>192365</v>
      </c>
      <c r="H42" s="5">
        <f>'rajas modena'!Q38</f>
        <v>257815</v>
      </c>
      <c r="I42" s="6">
        <f>'rajas modena'!R38</f>
        <v>274525</v>
      </c>
    </row>
    <row r="43" spans="2:9" ht="14.25">
      <c r="B43" s="112" t="s">
        <v>174</v>
      </c>
      <c r="C43" s="117">
        <f>'rajas modena'!L39</f>
        <v>195785</v>
      </c>
      <c r="D43" s="5">
        <f>'rajas modena'!M39</f>
        <v>199830</v>
      </c>
      <c r="E43" s="5">
        <f>'rajas modena'!N39</f>
        <v>207645</v>
      </c>
      <c r="F43" s="5">
        <f>'rajas modena'!O39</f>
        <v>244135</v>
      </c>
      <c r="G43" s="5">
        <f>'rajas modena'!P39</f>
        <v>202170</v>
      </c>
      <c r="H43" s="5">
        <f>'rajas modena'!Q39</f>
        <v>276960</v>
      </c>
      <c r="I43" s="6">
        <f>'rajas modena'!R39</f>
        <v>290960</v>
      </c>
    </row>
    <row r="44" spans="2:9" ht="14.25">
      <c r="B44" s="112" t="s">
        <v>175</v>
      </c>
      <c r="C44" s="117">
        <f>'rajas modena'!L40</f>
        <v>204780</v>
      </c>
      <c r="D44" s="5">
        <f>'rajas modena'!M40</f>
        <v>209335</v>
      </c>
      <c r="E44" s="5">
        <f>'rajas modena'!N40</f>
        <v>218140</v>
      </c>
      <c r="F44" s="5">
        <f>'rajas modena'!O40</f>
        <v>259210</v>
      </c>
      <c r="G44" s="5">
        <f>'rajas modena'!P40</f>
        <v>211955</v>
      </c>
      <c r="H44" s="5">
        <f>'rajas modena'!Q40</f>
        <v>296085</v>
      </c>
      <c r="I44" s="6">
        <f>'rajas modena'!R40</f>
        <v>307375</v>
      </c>
    </row>
    <row r="45" spans="2:9" ht="14.25">
      <c r="B45" s="112" t="s">
        <v>176</v>
      </c>
      <c r="C45" s="117">
        <f>'rajas modena'!L41</f>
        <v>158350</v>
      </c>
      <c r="D45" s="5">
        <f>'rajas modena'!M41</f>
        <v>160120</v>
      </c>
      <c r="E45" s="5">
        <f>'rajas modena'!N41</f>
        <v>163360</v>
      </c>
      <c r="F45" s="5">
        <f>'rajas modena'!O41</f>
        <v>178910</v>
      </c>
      <c r="G45" s="5">
        <f>'rajas modena'!P41</f>
        <v>161180</v>
      </c>
      <c r="H45" s="5">
        <f>'rajas modena'!Q41</f>
        <v>193285</v>
      </c>
      <c r="I45" s="6">
        <f>'rajas modena'!R41</f>
        <v>221920</v>
      </c>
    </row>
    <row r="46" spans="2:9" ht="14.25">
      <c r="B46" s="112" t="s">
        <v>177</v>
      </c>
      <c r="C46" s="117">
        <f>'rajas modena'!L42</f>
        <v>167705</v>
      </c>
      <c r="D46" s="5">
        <f>'rajas modena'!M42</f>
        <v>170040</v>
      </c>
      <c r="E46" s="5">
        <f>'rajas modena'!N42</f>
        <v>174425</v>
      </c>
      <c r="F46" s="5">
        <f>'rajas modena'!O42</f>
        <v>195055</v>
      </c>
      <c r="G46" s="5">
        <f>'rajas modena'!P42</f>
        <v>171420</v>
      </c>
      <c r="H46" s="5">
        <f>'rajas modena'!Q42</f>
        <v>214200</v>
      </c>
      <c r="I46" s="6">
        <f>'rajas modena'!R42</f>
        <v>239170</v>
      </c>
    </row>
    <row r="47" spans="2:9" ht="14.25">
      <c r="B47" s="112" t="s">
        <v>178</v>
      </c>
      <c r="C47" s="117">
        <f>'rajas modena'!L43</f>
        <v>177060</v>
      </c>
      <c r="D47" s="5">
        <f>'rajas modena'!M43</f>
        <v>179965</v>
      </c>
      <c r="E47" s="5">
        <f>'rajas modena'!N43</f>
        <v>185490</v>
      </c>
      <c r="F47" s="5">
        <f>'rajas modena'!O43</f>
        <v>211570</v>
      </c>
      <c r="G47" s="5">
        <f>'rajas modena'!P43</f>
        <v>181660</v>
      </c>
      <c r="H47" s="5">
        <f>'rajas modena'!Q43</f>
        <v>235110</v>
      </c>
      <c r="I47" s="6">
        <f>'rajas modena'!R43</f>
        <v>256425</v>
      </c>
    </row>
    <row r="48" spans="2:9" ht="14.25">
      <c r="B48" s="112" t="s">
        <v>179</v>
      </c>
      <c r="C48" s="117">
        <f>'rajas modena'!L44</f>
        <v>186425</v>
      </c>
      <c r="D48" s="5">
        <f>'rajas modena'!M44</f>
        <v>189895</v>
      </c>
      <c r="E48" s="5">
        <f>'rajas modena'!N44</f>
        <v>196560</v>
      </c>
      <c r="F48" s="5">
        <f>'rajas modena'!O44</f>
        <v>227850</v>
      </c>
      <c r="G48" s="5">
        <f>'rajas modena'!P44</f>
        <v>191910</v>
      </c>
      <c r="H48" s="5">
        <f>'rajas modena'!Q44</f>
        <v>256030</v>
      </c>
      <c r="I48" s="6">
        <f>'rajas modena'!R44</f>
        <v>273690</v>
      </c>
    </row>
    <row r="49" spans="2:9" ht="14.25">
      <c r="B49" s="112" t="s">
        <v>180</v>
      </c>
      <c r="C49" s="117">
        <f>'rajas modena'!L45</f>
        <v>195785</v>
      </c>
      <c r="D49" s="5">
        <f>'rajas modena'!M45</f>
        <v>199830</v>
      </c>
      <c r="E49" s="5">
        <f>'rajas modena'!N45</f>
        <v>207645</v>
      </c>
      <c r="F49" s="5">
        <f>'rajas modena'!O45</f>
        <v>244135</v>
      </c>
      <c r="G49" s="5">
        <f>'rajas modena'!P45</f>
        <v>202170</v>
      </c>
      <c r="H49" s="5">
        <f>'rajas modena'!Q45</f>
        <v>276960</v>
      </c>
      <c r="I49" s="6">
        <f>'rajas modena'!R45</f>
        <v>290960</v>
      </c>
    </row>
    <row r="50" spans="2:9" ht="14.25">
      <c r="B50" s="112" t="s">
        <v>181</v>
      </c>
      <c r="C50" s="117">
        <f>'rajas modena'!L46</f>
        <v>205135</v>
      </c>
      <c r="D50" s="5">
        <f>'rajas modena'!M46</f>
        <v>209750</v>
      </c>
      <c r="E50" s="5">
        <f>'rajas modena'!N46</f>
        <v>218710</v>
      </c>
      <c r="F50" s="5">
        <f>'rajas modena'!O46</f>
        <v>260405</v>
      </c>
      <c r="G50" s="5">
        <f>'rajas modena'!P46</f>
        <v>212410</v>
      </c>
      <c r="H50" s="5">
        <f>'rajas modena'!Q46</f>
        <v>297870</v>
      </c>
      <c r="I50" s="6">
        <f>'rajas modena'!R46</f>
        <v>308210</v>
      </c>
    </row>
    <row r="51" spans="2:9" ht="14.25">
      <c r="B51" s="112" t="s">
        <v>182</v>
      </c>
      <c r="C51" s="117">
        <f>'rajas modena'!L47</f>
        <v>214500</v>
      </c>
      <c r="D51" s="5">
        <f>'rajas modena'!M47</f>
        <v>219680</v>
      </c>
      <c r="E51" s="5">
        <f>'rajas modena'!N47</f>
        <v>229770</v>
      </c>
      <c r="F51" s="5">
        <f>'rajas modena'!O47</f>
        <v>276680</v>
      </c>
      <c r="G51" s="5">
        <f>'rajas modena'!P47</f>
        <v>222655</v>
      </c>
      <c r="H51" s="5">
        <f>'rajas modena'!Q47</f>
        <v>318790</v>
      </c>
      <c r="I51" s="6">
        <f>'rajas modena'!R47</f>
        <v>325470</v>
      </c>
    </row>
    <row r="52" spans="2:9" ht="14.25">
      <c r="B52" s="112" t="s">
        <v>183</v>
      </c>
      <c r="C52" s="117">
        <f>'rajas modena'!L48</f>
        <v>165960</v>
      </c>
      <c r="D52" s="5">
        <f>'rajas modena'!M48</f>
        <v>167950</v>
      </c>
      <c r="E52" s="5">
        <f>'rajas modena'!N48</f>
        <v>171595</v>
      </c>
      <c r="F52" s="5">
        <f>'rajas modena'!O48</f>
        <v>189085</v>
      </c>
      <c r="G52" s="5">
        <f>'rajas modena'!P48</f>
        <v>169145</v>
      </c>
      <c r="H52" s="5">
        <f>'rajas modena'!Q48</f>
        <v>205265</v>
      </c>
      <c r="I52" s="6">
        <f>'rajas modena'!R48</f>
        <v>234990</v>
      </c>
    </row>
    <row r="53" spans="2:9" ht="14.25">
      <c r="B53" s="112" t="s">
        <v>184</v>
      </c>
      <c r="C53" s="117">
        <f>'rajas modena'!L49</f>
        <v>175660</v>
      </c>
      <c r="D53" s="5">
        <f>'rajas modena'!M49</f>
        <v>178290</v>
      </c>
      <c r="E53" s="5">
        <f>'rajas modena'!N49</f>
        <v>183225</v>
      </c>
      <c r="F53" s="5">
        <f>'rajas modena'!O49</f>
        <v>206430</v>
      </c>
      <c r="G53" s="5">
        <f>'rajas modena'!P49</f>
        <v>179840</v>
      </c>
      <c r="H53" s="5">
        <f>'rajas modena'!Q49</f>
        <v>227965</v>
      </c>
      <c r="I53" s="6">
        <f>'rajas modena'!R49</f>
        <v>253080</v>
      </c>
    </row>
    <row r="54" spans="2:9" ht="14.25">
      <c r="B54" s="112" t="s">
        <v>185</v>
      </c>
      <c r="C54" s="117">
        <f>'rajas modena'!L50</f>
        <v>185380</v>
      </c>
      <c r="D54" s="5">
        <f>'rajas modena'!M50</f>
        <v>188640</v>
      </c>
      <c r="E54" s="5">
        <f>'rajas modena'!N50</f>
        <v>194865</v>
      </c>
      <c r="F54" s="5">
        <f>'rajas modena'!O50</f>
        <v>224265</v>
      </c>
      <c r="G54" s="5">
        <f>'rajas modena'!P50</f>
        <v>190545</v>
      </c>
      <c r="H54" s="5">
        <f>'rajas modena'!Q50</f>
        <v>250670</v>
      </c>
      <c r="I54" s="6">
        <f>'rajas modena'!R50</f>
        <v>271180</v>
      </c>
    </row>
    <row r="55" spans="2:9" ht="14.25">
      <c r="B55" s="112" t="s">
        <v>186</v>
      </c>
      <c r="C55" s="117">
        <f>'rajas modena'!L51</f>
        <v>195095</v>
      </c>
      <c r="D55" s="5">
        <f>'rajas modena'!M51</f>
        <v>198995</v>
      </c>
      <c r="E55" s="5">
        <f>'rajas modena'!N51</f>
        <v>206510</v>
      </c>
      <c r="F55" s="5">
        <f>'rajas modena'!O51</f>
        <v>241745</v>
      </c>
      <c r="G55" s="5">
        <f>'rajas modena'!P51</f>
        <v>201260</v>
      </c>
      <c r="H55" s="5">
        <f>'rajas modena'!Q51</f>
        <v>273385</v>
      </c>
      <c r="I55" s="6">
        <f>'rajas modena'!R51</f>
        <v>289285</v>
      </c>
    </row>
    <row r="56" spans="2:9" ht="14.25">
      <c r="B56" s="112" t="s">
        <v>187</v>
      </c>
      <c r="C56" s="117">
        <f>'rajas modena'!L52</f>
        <v>204780</v>
      </c>
      <c r="D56" s="5">
        <f>'rajas modena'!M52</f>
        <v>209335</v>
      </c>
      <c r="E56" s="5">
        <f>'rajas modena'!N52</f>
        <v>218140</v>
      </c>
      <c r="F56" s="5">
        <f>'rajas modena'!O52</f>
        <v>259210</v>
      </c>
      <c r="G56" s="5">
        <f>'rajas modena'!P52</f>
        <v>211955</v>
      </c>
      <c r="H56" s="5">
        <f>'rajas modena'!Q52</f>
        <v>296085</v>
      </c>
      <c r="I56" s="6">
        <f>'rajas modena'!R52</f>
        <v>307375</v>
      </c>
    </row>
    <row r="57" spans="2:9" ht="14.25">
      <c r="B57" s="112" t="s">
        <v>188</v>
      </c>
      <c r="C57" s="117">
        <f>'rajas modena'!L53</f>
        <v>214500</v>
      </c>
      <c r="D57" s="5">
        <f>'rajas modena'!M53</f>
        <v>219680</v>
      </c>
      <c r="E57" s="5">
        <f>'rajas modena'!N53</f>
        <v>229770</v>
      </c>
      <c r="F57" s="5">
        <f>'rajas modena'!O53</f>
        <v>276680</v>
      </c>
      <c r="G57" s="5">
        <f>'rajas modena'!P53</f>
        <v>222655</v>
      </c>
      <c r="H57" s="5">
        <f>'rajas modena'!Q53</f>
        <v>318790</v>
      </c>
      <c r="I57" s="6">
        <f>'rajas modena'!R53</f>
        <v>325470</v>
      </c>
    </row>
    <row r="58" spans="2:9" ht="14.25">
      <c r="B58" s="112" t="s">
        <v>15</v>
      </c>
      <c r="C58" s="117">
        <f>'rajas modena'!L54</f>
        <v>224215</v>
      </c>
      <c r="D58" s="5">
        <f>'rajas modena'!M54</f>
        <v>229380</v>
      </c>
      <c r="E58" s="5">
        <f>'rajas modena'!N54</f>
        <v>241390</v>
      </c>
      <c r="F58" s="5">
        <f>'rajas modena'!O54</f>
        <v>293490</v>
      </c>
      <c r="G58" s="5">
        <f>'rajas modena'!P54</f>
        <v>233355</v>
      </c>
      <c r="H58" s="5">
        <f>'rajas modena'!Q54</f>
        <v>341490</v>
      </c>
      <c r="I58" s="6">
        <f>'rajas modena'!R54</f>
        <v>342285</v>
      </c>
    </row>
    <row r="59" spans="2:9" ht="14.25">
      <c r="B59" s="112" t="s">
        <v>189</v>
      </c>
      <c r="C59" s="117">
        <f>'rajas modena'!L55</f>
        <v>173565</v>
      </c>
      <c r="D59" s="5">
        <f>'rajas modena'!M55</f>
        <v>175780</v>
      </c>
      <c r="E59" s="5">
        <f>'rajas modena'!N55</f>
        <v>179840</v>
      </c>
      <c r="F59" s="5">
        <f>'rajas modena'!O55</f>
        <v>199230</v>
      </c>
      <c r="G59" s="5">
        <f>'rajas modena'!P55</f>
        <v>177060</v>
      </c>
      <c r="H59" s="5">
        <f>'rajas modena'!Q55</f>
        <v>217160</v>
      </c>
      <c r="I59" s="6">
        <f>'rajas modena'!R55</f>
        <v>248060</v>
      </c>
    </row>
    <row r="60" spans="2:9" ht="14.25">
      <c r="B60" s="112" t="s">
        <v>190</v>
      </c>
      <c r="C60" s="117">
        <f>'rajas modena'!L56</f>
        <v>183630</v>
      </c>
      <c r="D60" s="5">
        <f>'rajas modena'!M56</f>
        <v>186570</v>
      </c>
      <c r="E60" s="5">
        <f>'rajas modena'!N56</f>
        <v>191985</v>
      </c>
      <c r="F60" s="5">
        <f>'rajas modena'!O56</f>
        <v>217845</v>
      </c>
      <c r="G60" s="5">
        <f>'rajas modena'!P56</f>
        <v>188280</v>
      </c>
      <c r="H60" s="5">
        <f>'rajas modena'!Q56</f>
        <v>241755</v>
      </c>
      <c r="I60" s="6">
        <f>'rajas modena'!R56</f>
        <v>267045</v>
      </c>
    </row>
    <row r="61" spans="2:9" ht="14.25">
      <c r="B61" s="112" t="s">
        <v>191</v>
      </c>
      <c r="C61" s="117">
        <f>'rajas modena'!L57</f>
        <v>193705</v>
      </c>
      <c r="D61" s="5">
        <f>'rajas modena'!M57</f>
        <v>197385</v>
      </c>
      <c r="E61" s="5">
        <f>'rajas modena'!N57</f>
        <v>204140</v>
      </c>
      <c r="F61" s="5">
        <f>'rajas modena'!O57</f>
        <v>236470</v>
      </c>
      <c r="G61" s="5">
        <f>'rajas modena'!P57</f>
        <v>199510</v>
      </c>
      <c r="H61" s="5">
        <f>'rajas modena'!Q57</f>
        <v>266360</v>
      </c>
      <c r="I61" s="6">
        <f>'rajas modena'!R57</f>
        <v>286060</v>
      </c>
    </row>
    <row r="62" spans="2:9" ht="14.25">
      <c r="B62" s="112" t="s">
        <v>192</v>
      </c>
      <c r="C62" s="117">
        <f>'rajas modena'!L58</f>
        <v>203760</v>
      </c>
      <c r="D62" s="5">
        <f>'rajas modena'!M58</f>
        <v>208165</v>
      </c>
      <c r="E62" s="5">
        <f>'rajas modena'!N58</f>
        <v>216270</v>
      </c>
      <c r="F62" s="5">
        <f>'rajas modena'!O58</f>
        <v>255075</v>
      </c>
      <c r="G62" s="5">
        <f>'rajas modena'!P58</f>
        <v>210725</v>
      </c>
      <c r="H62" s="5">
        <f>'rajas modena'!Q58</f>
        <v>290945</v>
      </c>
      <c r="I62" s="6">
        <f>'rajas modena'!R58</f>
        <v>305035</v>
      </c>
    </row>
    <row r="63" spans="2:9" ht="14.25">
      <c r="B63" s="112" t="s">
        <v>193</v>
      </c>
      <c r="C63" s="117">
        <f>'rajas modena'!L59</f>
        <v>213825</v>
      </c>
      <c r="D63" s="5">
        <f>'rajas modena'!M59</f>
        <v>218955</v>
      </c>
      <c r="E63" s="5">
        <f>'rajas modena'!N59</f>
        <v>228415</v>
      </c>
      <c r="F63" s="5">
        <f>'rajas modena'!O59</f>
        <v>273690</v>
      </c>
      <c r="G63" s="5">
        <f>'rajas modena'!P59</f>
        <v>221945</v>
      </c>
      <c r="H63" s="5">
        <f>'rajas modena'!Q59</f>
        <v>315545</v>
      </c>
      <c r="I63" s="6">
        <f>'rajas modena'!R59</f>
        <v>324020</v>
      </c>
    </row>
    <row r="64" spans="2:9" ht="14.25">
      <c r="B64" s="112" t="s">
        <v>194</v>
      </c>
      <c r="C64" s="117">
        <f>'rajas modena'!L60</f>
        <v>223880</v>
      </c>
      <c r="D64" s="5">
        <f>'rajas modena'!M60</f>
        <v>229740</v>
      </c>
      <c r="E64" s="5">
        <f>'rajas modena'!N60</f>
        <v>240550</v>
      </c>
      <c r="F64" s="5">
        <f>'rajas modena'!O60</f>
        <v>292295</v>
      </c>
      <c r="G64" s="5">
        <f>'rajas modena'!P60</f>
        <v>233155</v>
      </c>
      <c r="H64" s="5">
        <f>'rajas modena'!Q60</f>
        <v>340130</v>
      </c>
      <c r="I64" s="6">
        <f>'rajas modena'!R60</f>
        <v>343000</v>
      </c>
    </row>
    <row r="65" spans="2:9" ht="14.25">
      <c r="B65" s="112" t="s">
        <v>58</v>
      </c>
      <c r="C65" s="117">
        <f>'rajas modena'!L61</f>
        <v>233965</v>
      </c>
      <c r="D65" s="5">
        <f>'rajas modena'!M61</f>
        <v>240545</v>
      </c>
      <c r="E65" s="5">
        <f>'rajas modena'!N61</f>
        <v>252715</v>
      </c>
      <c r="F65" s="5">
        <f>'rajas modena'!O61</f>
        <v>310930</v>
      </c>
      <c r="G65" s="5">
        <f>'rajas modena'!P61</f>
        <v>244395</v>
      </c>
      <c r="H65" s="5">
        <f>'rajas modena'!Q61</f>
        <v>364745</v>
      </c>
      <c r="I65" s="6">
        <f>'rajas modena'!R61</f>
        <v>362000</v>
      </c>
    </row>
    <row r="66" spans="2:9" ht="14.25">
      <c r="B66" s="112" t="s">
        <v>142</v>
      </c>
      <c r="C66" s="117">
        <f>'rajas modena'!L62</f>
        <v>180095</v>
      </c>
      <c r="D66" s="5">
        <f>'rajas modena'!M62</f>
        <v>182520</v>
      </c>
      <c r="E66" s="5">
        <f>'rajas modena'!N62</f>
        <v>186985</v>
      </c>
      <c r="F66" s="5">
        <f>'rajas modena'!O62</f>
        <v>208320</v>
      </c>
      <c r="G66" s="5">
        <f>'rajas modena'!P62</f>
        <v>183925</v>
      </c>
      <c r="H66" s="5">
        <f>'rajas modena'!Q62</f>
        <v>228035</v>
      </c>
      <c r="I66" s="6">
        <f>'rajas modena'!R62</f>
        <v>260040</v>
      </c>
    </row>
    <row r="67" spans="2:9" ht="14.25">
      <c r="B67" s="112" t="s">
        <v>143</v>
      </c>
      <c r="C67" s="117">
        <f>'rajas modena'!L63</f>
        <v>190690</v>
      </c>
      <c r="D67" s="5">
        <f>'rajas modena'!M63</f>
        <v>193925</v>
      </c>
      <c r="E67" s="5">
        <f>'rajas modena'!N63</f>
        <v>199880</v>
      </c>
      <c r="F67" s="5">
        <f>'rajas modena'!O63</f>
        <v>228325</v>
      </c>
      <c r="G67" s="5">
        <f>'rajas modena'!P63</f>
        <v>195795</v>
      </c>
      <c r="H67" s="5">
        <f>'rajas modena'!Q63</f>
        <v>254615</v>
      </c>
      <c r="I67" s="6">
        <f>'rajas modena'!R63</f>
        <v>280070</v>
      </c>
    </row>
    <row r="68" spans="2:9" ht="14.25">
      <c r="B68" s="112" t="s">
        <v>144</v>
      </c>
      <c r="C68" s="117">
        <f>'rajas modena'!L64</f>
        <v>202205</v>
      </c>
      <c r="D68" s="5">
        <f>'rajas modena'!M64</f>
        <v>206250</v>
      </c>
      <c r="E68" s="5">
        <f>'rajas modena'!N64</f>
        <v>213695</v>
      </c>
      <c r="F68" s="5">
        <f>'rajas modena'!O64</f>
        <v>249250</v>
      </c>
      <c r="G68" s="5">
        <f>'rajas modena'!P64</f>
        <v>208590</v>
      </c>
      <c r="H68" s="5">
        <f>'rajas modena'!Q64</f>
        <v>282120</v>
      </c>
      <c r="I68" s="6">
        <f>'rajas modena'!R64</f>
        <v>301020</v>
      </c>
    </row>
    <row r="69" spans="2:9" ht="14.25">
      <c r="B69" s="112" t="s">
        <v>145</v>
      </c>
      <c r="C69" s="117">
        <f>'rajas modena'!L65</f>
        <v>213770</v>
      </c>
      <c r="D69" s="5">
        <f>'rajas modena'!M65</f>
        <v>218630</v>
      </c>
      <c r="E69" s="5">
        <f>'rajas modena'!N65</f>
        <v>227565</v>
      </c>
      <c r="F69" s="5">
        <f>'rajas modena'!O65</f>
        <v>270230</v>
      </c>
      <c r="G69" s="5">
        <f>'rajas modena'!P65</f>
        <v>221435</v>
      </c>
      <c r="H69" s="5">
        <f>'rajas modena'!Q65</f>
        <v>309675</v>
      </c>
      <c r="I69" s="6">
        <f>'rajas modena'!R65</f>
        <v>322025</v>
      </c>
    </row>
    <row r="70" spans="2:9" ht="14.25">
      <c r="B70" s="112" t="s">
        <v>146</v>
      </c>
      <c r="C70" s="117">
        <f>'rajas modena'!L66</f>
        <v>222560</v>
      </c>
      <c r="D70" s="5">
        <f>'rajas modena'!M66</f>
        <v>228235</v>
      </c>
      <c r="E70" s="5">
        <f>'rajas modena'!N66</f>
        <v>238655</v>
      </c>
      <c r="F70" s="5">
        <f>'rajas modena'!O66</f>
        <v>288430</v>
      </c>
      <c r="G70" s="5">
        <f>'rajas modena'!P66</f>
        <v>231505</v>
      </c>
      <c r="H70" s="5">
        <f>'rajas modena'!Q66</f>
        <v>334450</v>
      </c>
      <c r="I70" s="6">
        <f>'rajas modena'!R66</f>
        <v>340250</v>
      </c>
    </row>
    <row r="71" spans="2:9" ht="14.25">
      <c r="B71" s="112" t="s">
        <v>147</v>
      </c>
      <c r="C71" s="117">
        <f>'rajas modena'!L67</f>
        <v>232665</v>
      </c>
      <c r="D71" s="5">
        <f>'rajas modena'!M67</f>
        <v>239150</v>
      </c>
      <c r="E71" s="5">
        <f>'rajas modena'!N67</f>
        <v>251060</v>
      </c>
      <c r="F71" s="5">
        <f>'rajas modena'!O67</f>
        <v>307945</v>
      </c>
      <c r="G71" s="5">
        <f>'rajas modena'!P67</f>
        <v>242890</v>
      </c>
      <c r="H71" s="5">
        <f>'rajas modena'!Q67</f>
        <v>360545</v>
      </c>
      <c r="I71" s="6">
        <f>'rajas modena'!R67</f>
        <v>359790</v>
      </c>
    </row>
    <row r="72" spans="2:9" ht="14.25">
      <c r="B72" s="112" t="s">
        <v>107</v>
      </c>
      <c r="C72" s="117">
        <f>'rajas modena'!L68</f>
        <v>243770</v>
      </c>
      <c r="D72" s="5">
        <f>'rajas modena'!M68</f>
        <v>251070</v>
      </c>
      <c r="E72" s="5">
        <f>'rajas modena'!N68</f>
        <v>264465</v>
      </c>
      <c r="F72" s="5">
        <f>'rajas modena'!O68</f>
        <v>328465</v>
      </c>
      <c r="G72" s="5">
        <f>'rajas modena'!P68</f>
        <v>255275</v>
      </c>
      <c r="H72" s="5">
        <f>'rajas modena'!Q68</f>
        <v>387640</v>
      </c>
      <c r="I72" s="6">
        <f>'rajas modena'!R68</f>
        <v>380335</v>
      </c>
    </row>
    <row r="73" spans="2:9" ht="14.25">
      <c r="B73" s="112" t="s">
        <v>148</v>
      </c>
      <c r="C73" s="117">
        <f>'rajas modena'!L69</f>
        <v>204045</v>
      </c>
      <c r="D73" s="5">
        <f>'rajas modena'!M69</f>
        <v>207135</v>
      </c>
      <c r="E73" s="5">
        <f>'rajas modena'!N69</f>
        <v>212820</v>
      </c>
      <c r="F73" s="5">
        <f>'rajas modena'!O69</f>
        <v>239970</v>
      </c>
      <c r="G73" s="5">
        <f>'rajas modena'!P69</f>
        <v>208930</v>
      </c>
      <c r="H73" s="5">
        <f>'rajas modena'!Q69</f>
        <v>265070</v>
      </c>
      <c r="I73" s="6">
        <f>'rajas modena'!R69</f>
        <v>300375</v>
      </c>
    </row>
    <row r="74" spans="2:9" ht="14.25">
      <c r="B74" s="112" t="s">
        <v>149</v>
      </c>
      <c r="C74" s="117">
        <f>'rajas modena'!L70</f>
        <v>215495</v>
      </c>
      <c r="D74" s="5">
        <f>'rajas modena'!M70</f>
        <v>219620</v>
      </c>
      <c r="E74" s="5">
        <f>'rajas modena'!N70</f>
        <v>227195</v>
      </c>
      <c r="F74" s="5">
        <f>'rajas modena'!O70</f>
        <v>263390</v>
      </c>
      <c r="G74" s="5">
        <f>'rajas modena'!P70</f>
        <v>222005</v>
      </c>
      <c r="H74" s="5">
        <f>'rajas modena'!Q70</f>
        <v>296850</v>
      </c>
      <c r="I74" s="6">
        <f>'rajas modena'!R70</f>
        <v>322750</v>
      </c>
    </row>
    <row r="75" spans="2:9" ht="14.25">
      <c r="B75" s="112" t="s">
        <v>150</v>
      </c>
      <c r="C75" s="117">
        <f>'rajas modena'!L71</f>
        <v>226965</v>
      </c>
      <c r="D75" s="5">
        <f>'rajas modena'!M71</f>
        <v>232120</v>
      </c>
      <c r="E75" s="5">
        <f>'rajas modena'!N71</f>
        <v>241590</v>
      </c>
      <c r="F75" s="5">
        <f>'rajas modena'!O71</f>
        <v>286830</v>
      </c>
      <c r="G75" s="5">
        <f>'rajas modena'!P71</f>
        <v>235095</v>
      </c>
      <c r="H75" s="5">
        <f>'rajas modena'!Q71</f>
        <v>328650</v>
      </c>
      <c r="I75" s="6">
        <f>'rajas modena'!R71</f>
        <v>345145</v>
      </c>
    </row>
    <row r="76" spans="2:9" ht="14.25">
      <c r="B76" s="112" t="s">
        <v>151</v>
      </c>
      <c r="C76" s="117">
        <f>'rajas modena'!L72</f>
        <v>238375</v>
      </c>
      <c r="D76" s="5">
        <f>'rajas modena'!M72</f>
        <v>244565</v>
      </c>
      <c r="E76" s="5">
        <f>'rajas modena'!N72</f>
        <v>255930</v>
      </c>
      <c r="F76" s="5">
        <f>'rajas modena'!O72</f>
        <v>310210</v>
      </c>
      <c r="G76" s="5">
        <f>'rajas modena'!P72</f>
        <v>248130</v>
      </c>
      <c r="H76" s="5">
        <f>'rajas modena'!Q72</f>
        <v>360395</v>
      </c>
      <c r="I76" s="6">
        <f>'rajas modena'!R72</f>
        <v>367480</v>
      </c>
    </row>
    <row r="77" spans="2:9" ht="14.25">
      <c r="B77" s="112" t="s">
        <v>152</v>
      </c>
      <c r="C77" s="117">
        <f>'rajas modena'!L73</f>
        <v>249860</v>
      </c>
      <c r="D77" s="5">
        <f>'rajas modena'!M73</f>
        <v>257085</v>
      </c>
      <c r="E77" s="5">
        <f>'rajas modena'!N73</f>
        <v>270345</v>
      </c>
      <c r="F77" s="5">
        <f>'rajas modena'!O73</f>
        <v>333670</v>
      </c>
      <c r="G77" s="5">
        <f>'rajas modena'!P73</f>
        <v>261240</v>
      </c>
      <c r="H77" s="5">
        <f>'rajas modena'!Q73</f>
        <v>382915</v>
      </c>
      <c r="I77" s="6">
        <f>'rajas modena'!R73</f>
        <v>389895</v>
      </c>
    </row>
    <row r="78" spans="2:9" ht="14.25">
      <c r="B78" s="112" t="s">
        <v>153</v>
      </c>
      <c r="C78" s="117">
        <f>'rajas modena'!L74</f>
        <v>261325</v>
      </c>
      <c r="D78" s="5">
        <f>'rajas modena'!M74</f>
        <v>269580</v>
      </c>
      <c r="E78" s="5">
        <f>'rajas modena'!N74</f>
        <v>284735</v>
      </c>
      <c r="F78" s="5">
        <f>'rajas modena'!O74</f>
        <v>357100</v>
      </c>
      <c r="G78" s="5">
        <f>'rajas modena'!P74</f>
        <v>274330</v>
      </c>
      <c r="H78" s="5">
        <f>'rajas modena'!Q74</f>
        <v>405405</v>
      </c>
      <c r="I78" s="6">
        <f>'rajas modena'!R74</f>
        <v>412280</v>
      </c>
    </row>
    <row r="79" spans="2:9" ht="14.65" thickBot="1">
      <c r="B79" s="113" t="s">
        <v>114</v>
      </c>
      <c r="C79" s="118">
        <f>'rajas modena'!L75</f>
        <v>272775</v>
      </c>
      <c r="D79" s="10">
        <f>'rajas modena'!M75</f>
        <v>282065</v>
      </c>
      <c r="E79" s="10">
        <f>'rajas modena'!N75</f>
        <v>299115</v>
      </c>
      <c r="F79" s="10">
        <f>'rajas modena'!O75</f>
        <v>380525</v>
      </c>
      <c r="G79" s="10">
        <f>'rajas modena'!P75</f>
        <v>287405</v>
      </c>
      <c r="H79" s="10">
        <f>'rajas modena'!Q75</f>
        <v>437190</v>
      </c>
      <c r="I79" s="11">
        <f>'rajas modena'!R75</f>
        <v>434655</v>
      </c>
    </row>
  </sheetData>
  <mergeCells count="3">
    <mergeCell ref="B6:I6"/>
    <mergeCell ref="B7:I7"/>
    <mergeCell ref="B9:I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5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" id="{1BCE1A19-504A-4DDF-9E08-8A7F4FE92F48}">
            <xm:f>'rajas modena'!$C$2="VERDE"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32" id="{E2AA3BA1-C56C-4E74-AD27-C5BE8BE02C1F}">
            <xm:f>'rajas modena'!$C$2="AZUL"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33" id="{D24F2909-4938-4BB5-AF60-82021E52963C}">
            <xm:f>'rajas modena'!$C$2="AMARILLA"</xm:f>
            <x14:dxf>
              <fill>
                <patternFill>
                  <bgColor rgb="FFFFFF00"/>
                </patternFill>
              </fill>
            </x14:dxf>
          </x14:cfRule>
          <xm:sqref>B9:I10 B11:B79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tabColor rgb="FF00B050"/>
    <pageSetUpPr fitToPage="1"/>
  </sheetPr>
  <dimension ref="B6:I32"/>
  <sheetViews>
    <sheetView topLeftCell="A34" zoomScale="55" zoomScaleNormal="55" workbookViewId="0">
      <selection activeCell="D37" sqref="D37"/>
    </sheetView>
  </sheetViews>
  <sheetFormatPr baseColWidth="10" defaultColWidth="10.73046875" defaultRowHeight="12.75"/>
  <cols>
    <col min="1" max="1" width="10.73046875" style="1"/>
    <col min="2" max="2" width="17.86328125" style="1" customWidth="1"/>
    <col min="3" max="3" width="14.265625" style="1" customWidth="1"/>
    <col min="4" max="4" width="10.73046875" style="1"/>
    <col min="5" max="5" width="14.59765625" style="1" customWidth="1"/>
    <col min="6" max="6" width="10.73046875" style="1"/>
    <col min="7" max="7" width="15.59765625" style="1" customWidth="1"/>
    <col min="8" max="8" width="10.73046875" style="1"/>
    <col min="9" max="9" width="14.265625" style="1" customWidth="1"/>
    <col min="10" max="16384" width="10.73046875" style="1"/>
  </cols>
  <sheetData>
    <row r="6" spans="2:9" ht="13.15">
      <c r="B6" s="345" t="s">
        <v>21</v>
      </c>
      <c r="C6" s="345"/>
      <c r="D6" s="345"/>
      <c r="E6" s="345"/>
      <c r="F6" s="345"/>
      <c r="G6" s="345"/>
      <c r="H6" s="345"/>
      <c r="I6" s="345"/>
    </row>
    <row r="7" spans="2:9" ht="13.15">
      <c r="B7" s="345" t="s">
        <v>22</v>
      </c>
      <c r="C7" s="345"/>
      <c r="D7" s="345"/>
      <c r="E7" s="345"/>
      <c r="F7" s="345"/>
      <c r="G7" s="345"/>
      <c r="H7" s="345"/>
      <c r="I7" s="345"/>
    </row>
    <row r="8" spans="2:9" ht="13.15" thickBot="1"/>
    <row r="9" spans="2:9" ht="21.4" thickBot="1">
      <c r="B9" s="353" t="s">
        <v>268</v>
      </c>
      <c r="C9" s="354"/>
      <c r="D9" s="354"/>
      <c r="E9" s="354"/>
      <c r="F9" s="354"/>
      <c r="G9" s="354"/>
      <c r="H9" s="354"/>
      <c r="I9" s="355"/>
    </row>
    <row r="10" spans="2:9" ht="16.899999999999999" thickBot="1">
      <c r="B10" s="137" t="s">
        <v>228</v>
      </c>
      <c r="C10" s="138" t="s">
        <v>263</v>
      </c>
      <c r="D10" s="139" t="s">
        <v>264</v>
      </c>
      <c r="E10" s="139" t="s">
        <v>265</v>
      </c>
      <c r="F10" s="139" t="s">
        <v>200</v>
      </c>
      <c r="G10" s="139" t="s">
        <v>201</v>
      </c>
      <c r="H10" s="139" t="s">
        <v>259</v>
      </c>
      <c r="I10" s="140" t="s">
        <v>255</v>
      </c>
    </row>
    <row r="11" spans="2:9" ht="16.899999999999999">
      <c r="B11" s="141" t="s">
        <v>203</v>
      </c>
      <c r="C11" s="142" t="str">
        <f>'puertas modena'!L7</f>
        <v>-</v>
      </c>
      <c r="D11" s="142">
        <f>'puertas modena'!M7</f>
        <v>369960</v>
      </c>
      <c r="E11" s="142">
        <f>'puertas modena'!N7</f>
        <v>380455</v>
      </c>
      <c r="F11" s="142">
        <f>'puertas modena'!O7</f>
        <v>373290</v>
      </c>
      <c r="G11" s="142">
        <f>'puertas modena'!P7</f>
        <v>431215</v>
      </c>
      <c r="H11" s="142">
        <f>'puertas modena'!Q7</f>
        <v>478060</v>
      </c>
      <c r="I11" s="233">
        <f>'puertas modena'!R7</f>
        <v>493500</v>
      </c>
    </row>
    <row r="12" spans="2:9" ht="16.899999999999999">
      <c r="B12" s="143" t="s">
        <v>205</v>
      </c>
      <c r="C12" s="142" t="str">
        <f>'puertas modena'!L8</f>
        <v>-</v>
      </c>
      <c r="D12" s="142">
        <f>'puertas modena'!M8</f>
        <v>405685</v>
      </c>
      <c r="E12" s="142">
        <f>'puertas modena'!N8</f>
        <v>372575</v>
      </c>
      <c r="F12" s="142">
        <f>'puertas modena'!O8</f>
        <v>409020</v>
      </c>
      <c r="G12" s="142">
        <f>'puertas modena'!P8</f>
        <v>466940</v>
      </c>
      <c r="H12" s="142" t="str">
        <f>'puertas modena'!Q8</f>
        <v>-</v>
      </c>
      <c r="I12" s="233" t="str">
        <f>'puertas modena'!R8</f>
        <v>-</v>
      </c>
    </row>
    <row r="13" spans="2:9" ht="16.899999999999999">
      <c r="B13" s="143" t="s">
        <v>206</v>
      </c>
      <c r="C13" s="142">
        <f>'puertas modena'!L9</f>
        <v>391015</v>
      </c>
      <c r="D13" s="142">
        <f>'puertas modena'!M9</f>
        <v>381090</v>
      </c>
      <c r="E13" s="142">
        <f>'puertas modena'!N9</f>
        <v>391015</v>
      </c>
      <c r="F13" s="142">
        <f>'puertas modena'!O9</f>
        <v>384235</v>
      </c>
      <c r="G13" s="142">
        <f>'puertas modena'!P9</f>
        <v>439110</v>
      </c>
      <c r="H13" s="142">
        <f>'puertas modena'!Q9</f>
        <v>483485</v>
      </c>
      <c r="I13" s="233">
        <f>'puertas modena'!R9</f>
        <v>528730</v>
      </c>
    </row>
    <row r="14" spans="2:9" ht="16.899999999999999">
      <c r="B14" s="143" t="s">
        <v>207</v>
      </c>
      <c r="C14" s="142">
        <f>'puertas modena'!L10</f>
        <v>434670</v>
      </c>
      <c r="D14" s="142">
        <f>'puertas modena'!M10</f>
        <v>429705</v>
      </c>
      <c r="E14" s="142">
        <f>'puertas modena'!N10</f>
        <v>434670</v>
      </c>
      <c r="F14" s="142">
        <f>'puertas modena'!O10</f>
        <v>431280</v>
      </c>
      <c r="G14" s="142">
        <f>'puertas modena'!P10</f>
        <v>458715</v>
      </c>
      <c r="H14" s="142">
        <f>'puertas modena'!Q10</f>
        <v>480900</v>
      </c>
      <c r="I14" s="233">
        <f>'puertas modena'!R10</f>
        <v>503525</v>
      </c>
    </row>
    <row r="15" spans="2:9" ht="16.899999999999999">
      <c r="B15" s="143" t="s">
        <v>208</v>
      </c>
      <c r="C15" s="142">
        <f>'puertas modena'!L11</f>
        <v>434020</v>
      </c>
      <c r="D15" s="142" t="str">
        <f>'puertas modena'!M11</f>
        <v>-</v>
      </c>
      <c r="E15" s="142" t="str">
        <f>'puertas modena'!N11</f>
        <v>-</v>
      </c>
      <c r="F15" s="142">
        <f>'puertas modena'!O11</f>
        <v>451285</v>
      </c>
      <c r="G15" s="142">
        <f>'puertas modena'!P11</f>
        <v>478725</v>
      </c>
      <c r="H15" s="142" t="str">
        <f>'puertas modena'!Q11</f>
        <v>-</v>
      </c>
      <c r="I15" s="233" t="str">
        <f>'puertas modena'!R11</f>
        <v>-</v>
      </c>
    </row>
    <row r="16" spans="2:9" ht="16.899999999999999">
      <c r="B16" s="143" t="s">
        <v>209</v>
      </c>
      <c r="C16" s="142">
        <f>'puertas modena'!L12</f>
        <v>446930</v>
      </c>
      <c r="D16" s="142">
        <f>'puertas modena'!M12</f>
        <v>444165</v>
      </c>
      <c r="E16" s="142">
        <f>'puertas modena'!N12</f>
        <v>446930</v>
      </c>
      <c r="F16" s="142">
        <f>'puertas modena'!O12</f>
        <v>445040</v>
      </c>
      <c r="G16" s="142">
        <f>'puertas modena'!P12</f>
        <v>460285</v>
      </c>
      <c r="H16" s="142">
        <f>'puertas modena'!Q12</f>
        <v>472610</v>
      </c>
      <c r="I16" s="233">
        <f>'puertas modena'!R12</f>
        <v>494860</v>
      </c>
    </row>
    <row r="17" spans="2:9" ht="16.899999999999999">
      <c r="B17" s="143" t="s">
        <v>210</v>
      </c>
      <c r="C17" s="142">
        <f>'puertas modena'!L13</f>
        <v>446885</v>
      </c>
      <c r="D17" s="142" t="str">
        <f>'puertas modena'!M13</f>
        <v>-</v>
      </c>
      <c r="E17" s="142" t="str">
        <f>'puertas modena'!N13</f>
        <v>-</v>
      </c>
      <c r="F17" s="142">
        <f>'puertas modena'!O13</f>
        <v>456475</v>
      </c>
      <c r="G17" s="142">
        <f>'puertas modena'!P13</f>
        <v>471715</v>
      </c>
      <c r="H17" s="142" t="str">
        <f>'puertas modena'!Q13</f>
        <v>-</v>
      </c>
      <c r="I17" s="233" t="str">
        <f>'puertas modena'!R13</f>
        <v>-</v>
      </c>
    </row>
    <row r="18" spans="2:9" ht="16.899999999999999">
      <c r="B18" s="143" t="s">
        <v>211</v>
      </c>
      <c r="C18" s="142">
        <f>'puertas modena'!L14</f>
        <v>465460</v>
      </c>
      <c r="D18" s="142" t="str">
        <f>'puertas modena'!M14</f>
        <v>-</v>
      </c>
      <c r="E18" s="142" t="str">
        <f>'puertas modena'!N14</f>
        <v>-</v>
      </c>
      <c r="F18" s="142" t="str">
        <f>'puertas modena'!O14</f>
        <v>-</v>
      </c>
      <c r="G18" s="142" t="str">
        <f>'puertas modena'!P14</f>
        <v>-</v>
      </c>
      <c r="H18" s="142" t="str">
        <f>'puertas modena'!Q14</f>
        <v>-</v>
      </c>
      <c r="I18" s="233" t="str">
        <f>'puertas modena'!R14</f>
        <v>-</v>
      </c>
    </row>
    <row r="19" spans="2:9" ht="16.899999999999999">
      <c r="B19" s="143" t="s">
        <v>212</v>
      </c>
      <c r="C19" s="142">
        <f>'puertas modena'!L15</f>
        <v>467540</v>
      </c>
      <c r="D19" s="142">
        <f>'puertas modena'!M15</f>
        <v>462575</v>
      </c>
      <c r="E19" s="142">
        <f>'puertas modena'!N15</f>
        <v>467540</v>
      </c>
      <c r="F19" s="142">
        <f>'puertas modena'!O15</f>
        <v>464145</v>
      </c>
      <c r="G19" s="142">
        <f>'puertas modena'!P15</f>
        <v>491585</v>
      </c>
      <c r="H19" s="142">
        <f>'puertas modena'!Q15</f>
        <v>513770</v>
      </c>
      <c r="I19" s="233">
        <f>'puertas modena'!R15</f>
        <v>600985</v>
      </c>
    </row>
    <row r="20" spans="2:9" ht="16.899999999999999">
      <c r="B20" s="143" t="s">
        <v>213</v>
      </c>
      <c r="C20" s="142">
        <f>'puertas modena'!L16</f>
        <v>459790</v>
      </c>
      <c r="D20" s="142">
        <f>'puertas modena'!M16</f>
        <v>457025</v>
      </c>
      <c r="E20" s="142">
        <f>'puertas modena'!N16</f>
        <v>459790</v>
      </c>
      <c r="F20" s="142">
        <f>'puertas modena'!O16</f>
        <v>457905</v>
      </c>
      <c r="G20" s="142">
        <f>'puertas modena'!P16</f>
        <v>473145</v>
      </c>
      <c r="H20" s="142">
        <f>'puertas modena'!Q16</f>
        <v>485470</v>
      </c>
      <c r="I20" s="233">
        <f>'puertas modena'!R16</f>
        <v>540015</v>
      </c>
    </row>
    <row r="21" spans="2:9" ht="16.899999999999999">
      <c r="B21" s="143" t="s">
        <v>214</v>
      </c>
      <c r="C21" s="142">
        <f>'puertas modena'!L17</f>
        <v>421340</v>
      </c>
      <c r="D21" s="142">
        <f>'puertas modena'!M17</f>
        <v>410280</v>
      </c>
      <c r="E21" s="142">
        <f>'puertas modena'!N17</f>
        <v>421340</v>
      </c>
      <c r="F21" s="142">
        <f>'puertas modena'!O17</f>
        <v>413800</v>
      </c>
      <c r="G21" s="142">
        <f>'puertas modena'!P17</f>
        <v>474765</v>
      </c>
      <c r="H21" s="142">
        <f>'puertas modena'!Q17</f>
        <v>524065</v>
      </c>
      <c r="I21" s="233">
        <f>'puertas modena'!R17</f>
        <v>613060</v>
      </c>
    </row>
    <row r="22" spans="2:9" ht="16.899999999999999">
      <c r="B22" s="143" t="s">
        <v>215</v>
      </c>
      <c r="C22" s="142">
        <f>'puertas modena'!L18</f>
        <v>472855</v>
      </c>
      <c r="D22" s="142">
        <f>'puertas modena'!M18</f>
        <v>469355</v>
      </c>
      <c r="E22" s="142">
        <f>'puertas modena'!N18</f>
        <v>472855</v>
      </c>
      <c r="F22" s="142">
        <f>'puertas modena'!O18</f>
        <v>470495</v>
      </c>
      <c r="G22" s="142">
        <f>'puertas modena'!P18</f>
        <v>489780</v>
      </c>
      <c r="H22" s="142">
        <f>'puertas modena'!Q18</f>
        <v>505390</v>
      </c>
      <c r="I22" s="233">
        <f>'puertas modena'!R18</f>
        <v>556285</v>
      </c>
    </row>
    <row r="23" spans="2:9" ht="16.899999999999999">
      <c r="B23" s="143" t="s">
        <v>216</v>
      </c>
      <c r="C23" s="142">
        <f>'puertas modena'!L19</f>
        <v>477210</v>
      </c>
      <c r="D23" s="142">
        <f>'puertas modena'!M19</f>
        <v>475000</v>
      </c>
      <c r="E23" s="142">
        <f>'puertas modena'!N19</f>
        <v>477210</v>
      </c>
      <c r="F23" s="142">
        <f>'puertas modena'!O19</f>
        <v>475705</v>
      </c>
      <c r="G23" s="142">
        <f>'puertas modena'!P19</f>
        <v>487900</v>
      </c>
      <c r="H23" s="142">
        <f>'puertas modena'!Q19</f>
        <v>497750</v>
      </c>
      <c r="I23" s="233">
        <f>'puertas modena'!R19</f>
        <v>525565</v>
      </c>
    </row>
    <row r="24" spans="2:9" ht="16.899999999999999">
      <c r="B24" s="143" t="s">
        <v>217</v>
      </c>
      <c r="C24" s="142">
        <f>'puertas modena'!L20</f>
        <v>533150</v>
      </c>
      <c r="D24" s="142" t="str">
        <f>'puertas modena'!M20</f>
        <v>-</v>
      </c>
      <c r="E24" s="142" t="str">
        <f>'puertas modena'!N20</f>
        <v>-</v>
      </c>
      <c r="F24" s="142">
        <f>'puertas modena'!O20</f>
        <v>540820</v>
      </c>
      <c r="G24" s="142">
        <f>'puertas modena'!P20</f>
        <v>553015</v>
      </c>
      <c r="H24" s="142" t="str">
        <f>'puertas modena'!Q20</f>
        <v>-</v>
      </c>
      <c r="I24" s="233" t="str">
        <f>'puertas modena'!R20</f>
        <v>-</v>
      </c>
    </row>
    <row r="25" spans="2:9" ht="16.899999999999999">
      <c r="B25" s="143" t="s">
        <v>218</v>
      </c>
      <c r="C25" s="142">
        <f>'puertas modena'!L21</f>
        <v>463745</v>
      </c>
      <c r="D25" s="142">
        <f>'puertas modena'!M21</f>
        <v>455455</v>
      </c>
      <c r="E25" s="142">
        <f>'puertas modena'!N21</f>
        <v>463745</v>
      </c>
      <c r="F25" s="142">
        <f>'puertas modena'!O21</f>
        <v>458095</v>
      </c>
      <c r="G25" s="142">
        <f>'puertas modena'!P21</f>
        <v>503825</v>
      </c>
      <c r="H25" s="142">
        <f>'puertas modena'!Q21</f>
        <v>540805</v>
      </c>
      <c r="I25" s="233">
        <f>'puertas modena'!R21</f>
        <v>652750</v>
      </c>
    </row>
    <row r="26" spans="2:9" ht="16.899999999999999">
      <c r="B26" s="143" t="s">
        <v>219</v>
      </c>
      <c r="C26" s="142">
        <f>'puertas modena'!L22</f>
        <v>421290</v>
      </c>
      <c r="D26" s="142">
        <f>'puertas modena'!M22</f>
        <v>413000</v>
      </c>
      <c r="E26" s="142">
        <f>'puertas modena'!N22</f>
        <v>421290</v>
      </c>
      <c r="F26" s="142">
        <f>'puertas modena'!O22</f>
        <v>415640</v>
      </c>
      <c r="G26" s="142">
        <f>'puertas modena'!P22</f>
        <v>461370</v>
      </c>
      <c r="H26" s="142">
        <f>'puertas modena'!Q22</f>
        <v>498350</v>
      </c>
      <c r="I26" s="233">
        <f>'puertas modena'!R22</f>
        <v>513415</v>
      </c>
    </row>
    <row r="27" spans="2:9" ht="17.25" thickBot="1">
      <c r="B27" s="144" t="s">
        <v>266</v>
      </c>
      <c r="C27" s="234">
        <f>'puertas modena'!L23</f>
        <v>501185</v>
      </c>
      <c r="D27" s="234" t="str">
        <f>'puertas modena'!M23</f>
        <v>-</v>
      </c>
      <c r="E27" s="234" t="str">
        <f>'puertas modena'!N23</f>
        <v>-</v>
      </c>
      <c r="F27" s="234" t="str">
        <f>'puertas modena'!O23</f>
        <v>-</v>
      </c>
      <c r="G27" s="234" t="str">
        <f>'puertas modena'!P23</f>
        <v>-</v>
      </c>
      <c r="H27" s="234" t="str">
        <f>'puertas modena'!Q23</f>
        <v>-</v>
      </c>
      <c r="I27" s="235" t="str">
        <f>'puertas modena'!R23</f>
        <v>-</v>
      </c>
    </row>
    <row r="28" spans="2:9" ht="13.15" thickBot="1"/>
    <row r="29" spans="2:9" ht="17.25" thickBot="1">
      <c r="B29" s="145" t="s">
        <v>221</v>
      </c>
      <c r="C29" s="2"/>
      <c r="D29" s="2"/>
      <c r="E29" s="2"/>
      <c r="F29" s="2"/>
    </row>
    <row r="30" spans="2:9" ht="17.25" thickBot="1">
      <c r="B30" s="146" t="s">
        <v>222</v>
      </c>
      <c r="C30" s="147">
        <f>'puertas modena'!L27</f>
        <v>21145</v>
      </c>
      <c r="D30" s="356" t="s">
        <v>223</v>
      </c>
      <c r="E30" s="357"/>
      <c r="F30" s="358"/>
    </row>
    <row r="31" spans="2:9" ht="17.25" thickBot="1">
      <c r="B31" s="144" t="s">
        <v>224</v>
      </c>
      <c r="C31" s="147">
        <f>'puertas modena'!L28</f>
        <v>21145</v>
      </c>
      <c r="D31" s="359" t="s">
        <v>225</v>
      </c>
      <c r="E31" s="360"/>
      <c r="F31" s="361"/>
    </row>
    <row r="32" spans="2:9" ht="17.25" thickBot="1">
      <c r="B32" s="148" t="s">
        <v>267</v>
      </c>
      <c r="C32" s="147">
        <f>'puertas modena'!L29</f>
        <v>17940</v>
      </c>
      <c r="D32" s="2"/>
      <c r="E32" s="2"/>
      <c r="F32" s="2"/>
    </row>
  </sheetData>
  <mergeCells count="5">
    <mergeCell ref="B6:I6"/>
    <mergeCell ref="B7:I7"/>
    <mergeCell ref="B9:I9"/>
    <mergeCell ref="D30:F30"/>
    <mergeCell ref="D31:F31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68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5DF1F5E0-4232-4024-B03F-70FE63EEDF94}">
            <xm:f>'puertas modena'!$C$2="VERDE"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23" id="{A295C8C3-E2FB-4392-AB3C-10E796A7A38F}">
            <xm:f>'puertas modena'!$C$2="AZUL"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24" id="{2F2E0E9F-B321-4260-9A6F-F3C7111BE68D}">
            <xm:f>'puertas modena'!$C$2="AMARILLA"</xm:f>
            <x14:dxf>
              <fill>
                <patternFill>
                  <bgColor rgb="FFFFFF00"/>
                </patternFill>
              </fill>
            </x14:dxf>
          </x14:cfRule>
          <xm:sqref>B9:I10 B11:B27 B29:B32 D30:F31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tabColor rgb="FF00B050"/>
    <pageSetUpPr fitToPage="1"/>
  </sheetPr>
  <dimension ref="B6:I45"/>
  <sheetViews>
    <sheetView topLeftCell="A22" zoomScale="55" zoomScaleNormal="55" workbookViewId="0">
      <selection activeCell="D37" sqref="D37"/>
    </sheetView>
  </sheetViews>
  <sheetFormatPr baseColWidth="10" defaultColWidth="10.73046875" defaultRowHeight="12.75"/>
  <cols>
    <col min="1" max="16384" width="10.73046875" style="1"/>
  </cols>
  <sheetData>
    <row r="6" spans="2:9" ht="13.15">
      <c r="B6" s="345" t="s">
        <v>21</v>
      </c>
      <c r="C6" s="345"/>
      <c r="D6" s="345"/>
      <c r="E6" s="345"/>
    </row>
    <row r="7" spans="2:9" ht="13.15">
      <c r="B7" s="345" t="s">
        <v>22</v>
      </c>
      <c r="C7" s="345"/>
      <c r="D7" s="345"/>
      <c r="E7" s="345"/>
    </row>
    <row r="8" spans="2:9" ht="13.15" thickBot="1"/>
    <row r="9" spans="2:9" ht="18.399999999999999" thickBot="1">
      <c r="B9" s="362" t="s">
        <v>281</v>
      </c>
      <c r="C9" s="363"/>
      <c r="D9" s="363"/>
      <c r="E9" s="364"/>
      <c r="F9" s="153"/>
      <c r="G9" s="153"/>
      <c r="H9" s="153"/>
      <c r="I9" s="153"/>
    </row>
    <row r="10" spans="2:9" ht="16.899999999999999" thickBot="1">
      <c r="B10" s="127" t="s">
        <v>24</v>
      </c>
      <c r="C10" s="128" t="s">
        <v>123</v>
      </c>
      <c r="D10" s="128" t="s">
        <v>255</v>
      </c>
      <c r="E10" s="129" t="s">
        <v>127</v>
      </c>
    </row>
    <row r="11" spans="2:9" ht="14.25">
      <c r="B11" s="30" t="s">
        <v>271</v>
      </c>
      <c r="C11" s="5">
        <f>'patagonicas modena'!H7</f>
        <v>204955</v>
      </c>
      <c r="D11" s="5">
        <f>'patagonicas modena'!I7</f>
        <v>304530</v>
      </c>
      <c r="E11" s="6">
        <f>'patagonicas modena'!J7</f>
        <v>249165</v>
      </c>
    </row>
    <row r="12" spans="2:9" ht="14.25">
      <c r="B12" s="31" t="s">
        <v>272</v>
      </c>
      <c r="C12" s="5">
        <f>'patagonicas modena'!H8</f>
        <v>221815</v>
      </c>
      <c r="D12" s="5">
        <f>'patagonicas modena'!I8</f>
        <v>334415</v>
      </c>
      <c r="E12" s="6">
        <f>'patagonicas modena'!J8</f>
        <v>276210</v>
      </c>
    </row>
    <row r="13" spans="2:9" ht="14.25">
      <c r="B13" s="31" t="s">
        <v>273</v>
      </c>
      <c r="C13" s="5">
        <f>'patagonicas modena'!H9</f>
        <v>238945</v>
      </c>
      <c r="D13" s="5">
        <f>'patagonicas modena'!I9</f>
        <v>366715</v>
      </c>
      <c r="E13" s="6">
        <f>'patagonicas modena'!J9</f>
        <v>305575</v>
      </c>
    </row>
    <row r="14" spans="2:9" ht="14.25">
      <c r="B14" s="31" t="s">
        <v>274</v>
      </c>
      <c r="C14" s="5">
        <f>'patagonicas modena'!H10</f>
        <v>250580</v>
      </c>
      <c r="D14" s="5">
        <f>'patagonicas modena'!I10</f>
        <v>388465</v>
      </c>
      <c r="E14" s="6">
        <f>'patagonicas modena'!J10</f>
        <v>325355</v>
      </c>
    </row>
    <row r="15" spans="2:9" ht="14.25">
      <c r="B15" s="31" t="s">
        <v>175</v>
      </c>
      <c r="C15" s="5">
        <f>'patagonicas modena'!H11</f>
        <v>216105</v>
      </c>
      <c r="D15" s="5">
        <f>'patagonicas modena'!I11</f>
        <v>323385</v>
      </c>
      <c r="E15" s="6">
        <f>'patagonicas modena'!J11</f>
        <v>265320</v>
      </c>
    </row>
    <row r="16" spans="2:9" ht="14.25">
      <c r="B16" s="31" t="s">
        <v>275</v>
      </c>
      <c r="C16" s="5">
        <f>'patagonicas modena'!H12</f>
        <v>229080</v>
      </c>
      <c r="D16" s="5">
        <f>'patagonicas modena'!I12</f>
        <v>347630</v>
      </c>
      <c r="E16" s="6">
        <f>'patagonicas modena'!J12</f>
        <v>289160</v>
      </c>
    </row>
    <row r="17" spans="2:5" ht="14.25">
      <c r="B17" s="31" t="s">
        <v>276</v>
      </c>
      <c r="C17" s="5">
        <f>'patagonicas modena'!H13</f>
        <v>249005</v>
      </c>
      <c r="D17" s="5">
        <f>'patagonicas modena'!I13</f>
        <v>382975</v>
      </c>
      <c r="E17" s="6">
        <f>'patagonicas modena'!J13</f>
        <v>322440</v>
      </c>
    </row>
    <row r="18" spans="2:5" ht="14.25">
      <c r="B18" s="31" t="s">
        <v>277</v>
      </c>
      <c r="C18" s="5">
        <f>'patagonicas modena'!H14</f>
        <v>267875</v>
      </c>
      <c r="D18" s="5">
        <f>'patagonicas modena'!I14</f>
        <v>418745</v>
      </c>
      <c r="E18" s="6">
        <f>'patagonicas modena'!J14</f>
        <v>357585</v>
      </c>
    </row>
    <row r="19" spans="2:5" ht="14.25">
      <c r="B19" s="31" t="s">
        <v>278</v>
      </c>
      <c r="C19" s="5">
        <f>'patagonicas modena'!H15</f>
        <v>280665</v>
      </c>
      <c r="D19" s="5">
        <f>'patagonicas modena'!I15</f>
        <v>442810</v>
      </c>
      <c r="E19" s="6">
        <f>'patagonicas modena'!J15</f>
        <v>381255</v>
      </c>
    </row>
    <row r="20" spans="2:5" ht="14.25">
      <c r="B20" s="31" t="s">
        <v>15</v>
      </c>
      <c r="C20" s="5">
        <f>'patagonicas modena'!H16</f>
        <v>239835</v>
      </c>
      <c r="D20" s="5">
        <f>'patagonicas modena'!I16</f>
        <v>365025</v>
      </c>
      <c r="E20" s="6">
        <f>'patagonicas modena'!J16</f>
        <v>298390</v>
      </c>
    </row>
    <row r="21" spans="2:5" ht="14.25">
      <c r="B21" s="31" t="s">
        <v>102</v>
      </c>
      <c r="C21" s="5">
        <f>'patagonicas modena'!H17</f>
        <v>253970</v>
      </c>
      <c r="D21" s="5">
        <f>'patagonicas modena'!I17</f>
        <v>391585</v>
      </c>
      <c r="E21" s="6">
        <f>'patagonicas modena'!J17</f>
        <v>319255</v>
      </c>
    </row>
    <row r="22" spans="2:5" ht="14.25">
      <c r="B22" s="31" t="s">
        <v>16</v>
      </c>
      <c r="C22" s="5">
        <f>'patagonicas modena'!H18</f>
        <v>276195</v>
      </c>
      <c r="D22" s="5">
        <f>'patagonicas modena'!I18</f>
        <v>431535</v>
      </c>
      <c r="E22" s="6">
        <f>'patagonicas modena'!J18</f>
        <v>351205</v>
      </c>
    </row>
    <row r="23" spans="2:5" ht="14.25">
      <c r="B23" s="31" t="s">
        <v>103</v>
      </c>
      <c r="C23" s="5">
        <f>'patagonicas modena'!H19</f>
        <v>293195</v>
      </c>
      <c r="D23" s="5">
        <f>'patagonicas modena'!I19</f>
        <v>467175</v>
      </c>
      <c r="E23" s="6">
        <f>'patagonicas modena'!J19</f>
        <v>391300</v>
      </c>
    </row>
    <row r="24" spans="2:5" ht="14.25">
      <c r="B24" s="31" t="s">
        <v>104</v>
      </c>
      <c r="C24" s="5">
        <f>'patagonicas modena'!H20</f>
        <v>310760</v>
      </c>
      <c r="D24" s="5">
        <f>'patagonicas modena'!I20</f>
        <v>497170</v>
      </c>
      <c r="E24" s="6">
        <f>'patagonicas modena'!J20</f>
        <v>417970</v>
      </c>
    </row>
    <row r="25" spans="2:5" ht="14.25">
      <c r="B25" s="31" t="s">
        <v>58</v>
      </c>
      <c r="C25" s="5">
        <f>'patagonicas modena'!H21</f>
        <v>252775</v>
      </c>
      <c r="D25" s="5">
        <f>'patagonicas modena'!I21</f>
        <v>387495</v>
      </c>
      <c r="E25" s="6">
        <f>'patagonicas modena'!J21</f>
        <v>326525</v>
      </c>
    </row>
    <row r="26" spans="2:5" ht="14.25">
      <c r="B26" s="31" t="s">
        <v>59</v>
      </c>
      <c r="C26" s="5">
        <f>'patagonicas modena'!H22</f>
        <v>266900</v>
      </c>
      <c r="D26" s="5">
        <f>'patagonicas modena'!I22</f>
        <v>414040</v>
      </c>
      <c r="E26" s="6">
        <f>'patagonicas modena'!J22</f>
        <v>346825</v>
      </c>
    </row>
    <row r="27" spans="2:5" ht="14.25">
      <c r="B27" s="31" t="s">
        <v>60</v>
      </c>
      <c r="C27" s="5">
        <f>'patagonicas modena'!H23</f>
        <v>289135</v>
      </c>
      <c r="D27" s="5">
        <f>'patagonicas modena'!I23</f>
        <v>454000</v>
      </c>
      <c r="E27" s="6">
        <f>'patagonicas modena'!J23</f>
        <v>378925</v>
      </c>
    </row>
    <row r="28" spans="2:5" ht="14.25">
      <c r="B28" s="31" t="s">
        <v>61</v>
      </c>
      <c r="C28" s="5">
        <f>'patagonicas modena'!H24</f>
        <v>306125</v>
      </c>
      <c r="D28" s="5">
        <f>'patagonicas modena'!I24</f>
        <v>489630</v>
      </c>
      <c r="E28" s="6">
        <f>'patagonicas modena'!J24</f>
        <v>419420</v>
      </c>
    </row>
    <row r="29" spans="2:5" ht="14.25">
      <c r="B29" s="31" t="s">
        <v>62</v>
      </c>
      <c r="C29" s="5">
        <f>'patagonicas modena'!H25</f>
        <v>323695</v>
      </c>
      <c r="D29" s="5">
        <f>'patagonicas modena'!I25</f>
        <v>519630</v>
      </c>
      <c r="E29" s="6">
        <f>'patagonicas modena'!J25</f>
        <v>445610</v>
      </c>
    </row>
    <row r="30" spans="2:5" ht="14.25">
      <c r="B30" s="31" t="s">
        <v>107</v>
      </c>
      <c r="C30" s="5">
        <f>'patagonicas modena'!H26</f>
        <v>265445</v>
      </c>
      <c r="D30" s="5">
        <f>'patagonicas modena'!I26</f>
        <v>409685</v>
      </c>
      <c r="E30" s="6">
        <f>'patagonicas modena'!J26</f>
        <v>354030</v>
      </c>
    </row>
    <row r="31" spans="2:5" ht="14.25">
      <c r="B31" s="31" t="s">
        <v>108</v>
      </c>
      <c r="C31" s="5">
        <f>'patagonicas modena'!H27</f>
        <v>279865</v>
      </c>
      <c r="D31" s="5">
        <f>'patagonicas modena'!I27</f>
        <v>436525</v>
      </c>
      <c r="E31" s="6">
        <f>'patagonicas modena'!J27</f>
        <v>374955</v>
      </c>
    </row>
    <row r="32" spans="2:5" ht="14.25">
      <c r="B32" s="31" t="s">
        <v>109</v>
      </c>
      <c r="C32" s="5">
        <f>'patagonicas modena'!H28</f>
        <v>303785</v>
      </c>
      <c r="D32" s="5">
        <f>'patagonicas modena'!I28</f>
        <v>478095</v>
      </c>
      <c r="E32" s="6">
        <f>'patagonicas modena'!J28</f>
        <v>409010</v>
      </c>
    </row>
    <row r="33" spans="2:5" ht="14.25">
      <c r="B33" s="31" t="s">
        <v>110</v>
      </c>
      <c r="C33" s="5">
        <f>'patagonicas modena'!H29</f>
        <v>319015</v>
      </c>
      <c r="D33" s="5">
        <f>'patagonicas modena'!I29</f>
        <v>512040</v>
      </c>
      <c r="E33" s="6">
        <f>'patagonicas modena'!J29</f>
        <v>447090</v>
      </c>
    </row>
    <row r="34" spans="2:5" ht="14.25">
      <c r="B34" s="31" t="s">
        <v>111</v>
      </c>
      <c r="C34" s="5">
        <f>'patagonicas modena'!H30</f>
        <v>336915</v>
      </c>
      <c r="D34" s="5">
        <f>'patagonicas modena'!I30</f>
        <v>542375</v>
      </c>
      <c r="E34" s="6">
        <f>'patagonicas modena'!J30</f>
        <v>473585</v>
      </c>
    </row>
    <row r="35" spans="2:5" ht="14.25">
      <c r="B35" s="31" t="s">
        <v>114</v>
      </c>
      <c r="C35" s="5">
        <f>'patagonicas modena'!H31</f>
        <v>311245</v>
      </c>
      <c r="D35" s="5">
        <f>'patagonicas modena'!I31</f>
        <v>483070</v>
      </c>
      <c r="E35" s="6">
        <f>'patagonicas modena'!J31</f>
        <v>413490</v>
      </c>
    </row>
    <row r="36" spans="2:5" ht="14.25">
      <c r="B36" s="31" t="s">
        <v>71</v>
      </c>
      <c r="C36" s="5">
        <f>'patagonicas modena'!H32</f>
        <v>329025</v>
      </c>
      <c r="D36" s="5">
        <f>'patagonicas modena'!I32</f>
        <v>516105</v>
      </c>
      <c r="E36" s="6">
        <f>'patagonicas modena'!J32</f>
        <v>451750</v>
      </c>
    </row>
    <row r="37" spans="2:5" ht="14.25">
      <c r="B37" s="31" t="s">
        <v>72</v>
      </c>
      <c r="C37" s="5">
        <f>'patagonicas modena'!H33</f>
        <v>356965</v>
      </c>
      <c r="D37" s="5">
        <f>'patagonicas modena'!I33</f>
        <v>565735</v>
      </c>
      <c r="E37" s="6">
        <f>'patagonicas modena'!J33</f>
        <v>511350</v>
      </c>
    </row>
    <row r="38" spans="2:5" ht="14.25">
      <c r="B38" s="31" t="s">
        <v>73</v>
      </c>
      <c r="C38" s="5">
        <f>'patagonicas modena'!H34</f>
        <v>377090</v>
      </c>
      <c r="D38" s="5">
        <f>'patagonicas modena'!I34</f>
        <v>608855</v>
      </c>
      <c r="E38" s="6">
        <f>'patagonicas modena'!J34</f>
        <v>562060</v>
      </c>
    </row>
    <row r="39" spans="2:5" ht="14.65" thickBot="1">
      <c r="B39" s="32" t="s">
        <v>74</v>
      </c>
      <c r="C39" s="10">
        <f>'patagonicas modena'!H35</f>
        <v>396805</v>
      </c>
      <c r="D39" s="10">
        <f>'patagonicas modena'!I35</f>
        <v>643910</v>
      </c>
      <c r="E39" s="11">
        <f>'patagonicas modena'!J35</f>
        <v>602170</v>
      </c>
    </row>
    <row r="40" spans="2:5" ht="13.15" thickBot="1"/>
    <row r="41" spans="2:5" ht="21.4" thickBot="1">
      <c r="B41" s="365" t="s">
        <v>279</v>
      </c>
      <c r="C41" s="366"/>
      <c r="D41" s="366"/>
      <c r="E41" s="367"/>
    </row>
    <row r="42" spans="2:5" ht="14.25">
      <c r="B42" s="30" t="s">
        <v>274</v>
      </c>
      <c r="C42" s="5">
        <f>'patagonicas modena'!H42</f>
        <v>368100</v>
      </c>
      <c r="D42" s="5">
        <f>'patagonicas modena'!I42</f>
        <v>528745</v>
      </c>
      <c r="E42" s="6">
        <f>'patagonicas modena'!J42</f>
        <v>457110</v>
      </c>
    </row>
    <row r="43" spans="2:5" ht="14.25">
      <c r="B43" s="31" t="s">
        <v>104</v>
      </c>
      <c r="C43" s="5">
        <f>'patagonicas modena'!H43</f>
        <v>451705</v>
      </c>
      <c r="D43" s="5">
        <f>'patagonicas modena'!I43</f>
        <v>675305</v>
      </c>
      <c r="E43" s="6">
        <f>'patagonicas modena'!J43</f>
        <v>600060</v>
      </c>
    </row>
    <row r="44" spans="2:5" ht="14.25">
      <c r="B44" s="31" t="s">
        <v>62</v>
      </c>
      <c r="C44" s="5">
        <f>'patagonicas modena'!H44</f>
        <v>480280</v>
      </c>
      <c r="D44" s="5">
        <f>'patagonicas modena'!I44</f>
        <v>719615</v>
      </c>
      <c r="E44" s="6">
        <f>'patagonicas modena'!J44</f>
        <v>643480</v>
      </c>
    </row>
    <row r="45" spans="2:5" ht="14.65" thickBot="1">
      <c r="B45" s="32" t="s">
        <v>74</v>
      </c>
      <c r="C45" s="10">
        <f>'patagonicas modena'!H45</f>
        <v>555955</v>
      </c>
      <c r="D45" s="10">
        <f>'patagonicas modena'!I45</f>
        <v>858255</v>
      </c>
      <c r="E45" s="11">
        <f>'patagonicas modena'!J45</f>
        <v>778490</v>
      </c>
    </row>
  </sheetData>
  <mergeCells count="4">
    <mergeCell ref="B6:E6"/>
    <mergeCell ref="B7:E7"/>
    <mergeCell ref="B9:E9"/>
    <mergeCell ref="B41:E41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9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3A43B511-83D8-4D79-A201-52F75EDA26FE}">
            <xm:f>'patagonicas modena'!$C$2="VERDE"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35" id="{11772F1F-AB22-4689-847C-14AEA24105B3}">
            <xm:f>'patagonicas modena'!$C$2="AZUL"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36" id="{B2EE93BA-4A10-496A-A8E1-57B5C108C0A7}">
            <xm:f>'patagonicas modena'!$C$2="AMARILLA"</xm:f>
            <x14:dxf>
              <fill>
                <patternFill>
                  <bgColor rgb="FFFFFF00"/>
                </patternFill>
              </fill>
            </x14:dxf>
          </x14:cfRule>
          <xm:sqref>B9:E10 B11:B39 B41:E41 B42:B45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>
    <tabColor rgb="FF00B050"/>
    <pageSetUpPr fitToPage="1"/>
  </sheetPr>
  <dimension ref="B6:F57"/>
  <sheetViews>
    <sheetView topLeftCell="A23" zoomScale="55" zoomScaleNormal="55" workbookViewId="0">
      <selection activeCell="D37" sqref="D37"/>
    </sheetView>
  </sheetViews>
  <sheetFormatPr baseColWidth="10" defaultColWidth="10.73046875" defaultRowHeight="12.75"/>
  <cols>
    <col min="1" max="2" width="10.73046875" style="1"/>
    <col min="3" max="3" width="11.86328125" style="1" customWidth="1"/>
    <col min="4" max="16384" width="10.73046875" style="1"/>
  </cols>
  <sheetData>
    <row r="6" spans="2:6" ht="13.15">
      <c r="B6" s="345" t="s">
        <v>21</v>
      </c>
      <c r="C6" s="345"/>
      <c r="D6" s="345"/>
      <c r="E6" s="345"/>
    </row>
    <row r="7" spans="2:6" ht="13.15">
      <c r="B7" s="345" t="s">
        <v>22</v>
      </c>
      <c r="C7" s="345"/>
      <c r="D7" s="345"/>
      <c r="E7" s="345"/>
    </row>
    <row r="8" spans="2:6" ht="13.15" thickBot="1"/>
    <row r="9" spans="2:6" ht="18.399999999999999" thickBot="1">
      <c r="B9" s="362" t="s">
        <v>282</v>
      </c>
      <c r="C9" s="363"/>
      <c r="D9" s="363"/>
      <c r="E9" s="364"/>
      <c r="F9" s="153"/>
    </row>
    <row r="10" spans="2:6" ht="16.899999999999999" thickBot="1">
      <c r="B10" s="127" t="s">
        <v>24</v>
      </c>
      <c r="C10" s="128" t="s">
        <v>283</v>
      </c>
      <c r="D10" s="128" t="s">
        <v>284</v>
      </c>
      <c r="E10" s="129" t="s">
        <v>288</v>
      </c>
    </row>
    <row r="11" spans="2:6" ht="14.25">
      <c r="B11" s="164" t="s">
        <v>97</v>
      </c>
      <c r="C11" s="165">
        <f>postigones!G8</f>
        <v>77195</v>
      </c>
      <c r="D11" s="165">
        <f>postigones!H8</f>
        <v>90385</v>
      </c>
      <c r="E11" s="166">
        <f>postigones!I8</f>
        <v>2</v>
      </c>
    </row>
    <row r="12" spans="2:6" ht="14.25">
      <c r="B12" s="167" t="s">
        <v>98</v>
      </c>
      <c r="C12" s="165">
        <f>postigones!G9</f>
        <v>93855</v>
      </c>
      <c r="D12" s="165">
        <f>postigones!H9</f>
        <v>108875</v>
      </c>
      <c r="E12" s="166">
        <f>postigones!I9</f>
        <v>2</v>
      </c>
    </row>
    <row r="13" spans="2:6" ht="14.25">
      <c r="B13" s="167" t="s">
        <v>99</v>
      </c>
      <c r="C13" s="165">
        <f>postigones!G10</f>
        <v>115845</v>
      </c>
      <c r="D13" s="165">
        <f>postigones!H10</f>
        <v>135565</v>
      </c>
      <c r="E13" s="166" t="str">
        <f>postigones!I10</f>
        <v>2ó3</v>
      </c>
    </row>
    <row r="14" spans="2:6" ht="14.25">
      <c r="B14" s="167" t="s">
        <v>100</v>
      </c>
      <c r="C14" s="165">
        <f>postigones!G11</f>
        <v>138945</v>
      </c>
      <c r="D14" s="165">
        <f>postigones!H11</f>
        <v>162110</v>
      </c>
      <c r="E14" s="166">
        <f>postigones!I11</f>
        <v>3</v>
      </c>
    </row>
    <row r="15" spans="2:6" ht="14.25">
      <c r="B15" s="167" t="s">
        <v>101</v>
      </c>
      <c r="C15" s="165">
        <f>postigones!G12</f>
        <v>154390</v>
      </c>
      <c r="D15" s="165">
        <f>postigones!H12</f>
        <v>180745</v>
      </c>
      <c r="E15" s="166">
        <f>postigones!I12</f>
        <v>3</v>
      </c>
    </row>
    <row r="16" spans="2:6" ht="14.25">
      <c r="B16" s="167" t="s">
        <v>51</v>
      </c>
      <c r="C16" s="165">
        <f>postigones!G13</f>
        <v>115845</v>
      </c>
      <c r="D16" s="165">
        <f>postigones!H13</f>
        <v>135565</v>
      </c>
      <c r="E16" s="166">
        <f>postigones!I13</f>
        <v>2</v>
      </c>
    </row>
    <row r="17" spans="2:5" ht="14.25">
      <c r="B17" s="167" t="s">
        <v>52</v>
      </c>
      <c r="C17" s="165">
        <f>postigones!G14</f>
        <v>138945</v>
      </c>
      <c r="D17" s="165">
        <f>postigones!H14</f>
        <v>202690</v>
      </c>
      <c r="E17" s="166">
        <f>postigones!I14</f>
        <v>2</v>
      </c>
    </row>
    <row r="18" spans="2:5" ht="14.25">
      <c r="B18" s="167" t="s">
        <v>53</v>
      </c>
      <c r="C18" s="165">
        <f>postigones!G15</f>
        <v>183050</v>
      </c>
      <c r="D18" s="165">
        <f>postigones!H15</f>
        <v>212830</v>
      </c>
      <c r="E18" s="166">
        <f>postigones!I15</f>
        <v>3</v>
      </c>
    </row>
    <row r="19" spans="2:5" ht="14.25">
      <c r="B19" s="167" t="s">
        <v>54</v>
      </c>
      <c r="C19" s="165">
        <f>postigones!G16</f>
        <v>218915</v>
      </c>
      <c r="D19" s="165">
        <f>postigones!H16</f>
        <v>255460</v>
      </c>
      <c r="E19" s="166">
        <f>postigones!I16</f>
        <v>3</v>
      </c>
    </row>
    <row r="20" spans="2:5" ht="14.25">
      <c r="B20" s="167" t="s">
        <v>55</v>
      </c>
      <c r="C20" s="165">
        <f>postigones!G17</f>
        <v>254805</v>
      </c>
      <c r="D20" s="165">
        <f>postigones!H17</f>
        <v>284670</v>
      </c>
      <c r="E20" s="166">
        <f>postigones!I17</f>
        <v>3</v>
      </c>
    </row>
    <row r="21" spans="2:5" ht="14.25">
      <c r="B21" s="167" t="s">
        <v>56</v>
      </c>
      <c r="C21" s="165">
        <f>postigones!G18</f>
        <v>272685</v>
      </c>
      <c r="D21" s="165">
        <f>postigones!H18</f>
        <v>312540</v>
      </c>
      <c r="E21" s="166">
        <f>postigones!I18</f>
        <v>3</v>
      </c>
    </row>
    <row r="22" spans="2:5" ht="14.25">
      <c r="B22" s="167" t="s">
        <v>57</v>
      </c>
      <c r="C22" s="165">
        <f>postigones!G19</f>
        <v>278030</v>
      </c>
      <c r="D22" s="165">
        <f>postigones!H19</f>
        <v>340565</v>
      </c>
      <c r="E22" s="166">
        <f>postigones!I19</f>
        <v>3</v>
      </c>
    </row>
    <row r="23" spans="2:5" ht="14.25">
      <c r="B23" s="167" t="s">
        <v>15</v>
      </c>
      <c r="C23" s="165">
        <f>postigones!G20</f>
        <v>129110</v>
      </c>
      <c r="D23" s="165">
        <f>postigones!H20</f>
        <v>150625</v>
      </c>
      <c r="E23" s="166">
        <f>postigones!I20</f>
        <v>2</v>
      </c>
    </row>
    <row r="24" spans="2:5" ht="14.25">
      <c r="B24" s="167" t="s">
        <v>102</v>
      </c>
      <c r="C24" s="165">
        <f>postigones!G21</f>
        <v>155605</v>
      </c>
      <c r="D24" s="165">
        <f>postigones!H21</f>
        <v>180770</v>
      </c>
      <c r="E24" s="166">
        <f>postigones!I21</f>
        <v>2</v>
      </c>
    </row>
    <row r="25" spans="2:5" ht="14.25">
      <c r="B25" s="167" t="s">
        <v>16</v>
      </c>
      <c r="C25" s="165">
        <f>postigones!G22</f>
        <v>187640</v>
      </c>
      <c r="D25" s="165">
        <f>postigones!H22</f>
        <v>209610</v>
      </c>
      <c r="E25" s="166">
        <f>postigones!I22</f>
        <v>3</v>
      </c>
    </row>
    <row r="26" spans="2:5" ht="14.25">
      <c r="B26" s="167" t="s">
        <v>103</v>
      </c>
      <c r="C26" s="165">
        <f>postigones!G23</f>
        <v>215175</v>
      </c>
      <c r="D26" s="165">
        <f>postigones!H23</f>
        <v>262685</v>
      </c>
      <c r="E26" s="166">
        <f>postigones!I23</f>
        <v>3</v>
      </c>
    </row>
    <row r="27" spans="2:5" ht="14.25">
      <c r="B27" s="167" t="s">
        <v>104</v>
      </c>
      <c r="C27" s="165">
        <f>postigones!G24</f>
        <v>238275</v>
      </c>
      <c r="D27" s="165">
        <f>postigones!H24</f>
        <v>291930</v>
      </c>
      <c r="E27" s="166">
        <f>postigones!I24</f>
        <v>3</v>
      </c>
    </row>
    <row r="28" spans="2:5" ht="14.25">
      <c r="B28" s="167" t="s">
        <v>105</v>
      </c>
      <c r="C28" s="165">
        <f>postigones!G25</f>
        <v>262590</v>
      </c>
      <c r="D28" s="165">
        <f>postigones!H25</f>
        <v>321125</v>
      </c>
      <c r="E28" s="166">
        <f>postigones!I25</f>
        <v>3</v>
      </c>
    </row>
    <row r="29" spans="2:5" ht="14.25">
      <c r="B29" s="167" t="s">
        <v>106</v>
      </c>
      <c r="C29" s="165">
        <f>postigones!G26</f>
        <v>286900</v>
      </c>
      <c r="D29" s="165">
        <f>postigones!H26</f>
        <v>350350</v>
      </c>
      <c r="E29" s="166">
        <f>postigones!I26</f>
        <v>3</v>
      </c>
    </row>
    <row r="30" spans="2:5" ht="14.25">
      <c r="B30" s="167" t="s">
        <v>58</v>
      </c>
      <c r="C30" s="165">
        <f>postigones!G27</f>
        <v>131295</v>
      </c>
      <c r="D30" s="165">
        <f>postigones!H27</f>
        <v>152910</v>
      </c>
      <c r="E30" s="166">
        <f>postigones!I27</f>
        <v>2</v>
      </c>
    </row>
    <row r="31" spans="2:5" ht="14.25">
      <c r="B31" s="167" t="s">
        <v>59</v>
      </c>
      <c r="C31" s="165">
        <f>postigones!G28</f>
        <v>156700</v>
      </c>
      <c r="D31" s="165">
        <f>postigones!H28</f>
        <v>183040</v>
      </c>
      <c r="E31" s="166">
        <f>postigones!I28</f>
        <v>2</v>
      </c>
    </row>
    <row r="32" spans="2:5" ht="14.25">
      <c r="B32" s="167" t="s">
        <v>60</v>
      </c>
      <c r="C32" s="165">
        <f>postigones!G29</f>
        <v>196330</v>
      </c>
      <c r="D32" s="165">
        <f>postigones!H29</f>
        <v>240855</v>
      </c>
      <c r="E32" s="166">
        <f>postigones!I29</f>
        <v>3</v>
      </c>
    </row>
    <row r="33" spans="2:5" ht="14.25">
      <c r="B33" s="167" t="s">
        <v>61</v>
      </c>
      <c r="C33" s="165">
        <f>postigones!G30</f>
        <v>234985</v>
      </c>
      <c r="D33" s="165">
        <f>postigones!H30</f>
        <v>288285</v>
      </c>
      <c r="E33" s="166">
        <f>postigones!I30</f>
        <v>3</v>
      </c>
    </row>
    <row r="34" spans="2:5" ht="14.25">
      <c r="B34" s="167" t="s">
        <v>62</v>
      </c>
      <c r="C34" s="165">
        <f>postigones!G31</f>
        <v>262590</v>
      </c>
      <c r="D34" s="165">
        <f>postigones!H31</f>
        <v>321125</v>
      </c>
      <c r="E34" s="166">
        <f>postigones!I31</f>
        <v>3</v>
      </c>
    </row>
    <row r="35" spans="2:5" ht="14.25">
      <c r="B35" s="167" t="s">
        <v>63</v>
      </c>
      <c r="C35" s="165">
        <f>postigones!G32</f>
        <v>287985</v>
      </c>
      <c r="D35" s="165">
        <f>postigones!H32</f>
        <v>352750</v>
      </c>
      <c r="E35" s="166">
        <f>postigones!I32</f>
        <v>3</v>
      </c>
    </row>
    <row r="36" spans="2:5" ht="14.25">
      <c r="B36" s="167" t="s">
        <v>64</v>
      </c>
      <c r="C36" s="165">
        <f>postigones!G33</f>
        <v>313265</v>
      </c>
      <c r="D36" s="165">
        <f>postigones!H33</f>
        <v>383180</v>
      </c>
      <c r="E36" s="166">
        <f>postigones!I33</f>
        <v>3</v>
      </c>
    </row>
    <row r="37" spans="2:5" ht="14.25">
      <c r="B37" s="167" t="s">
        <v>107</v>
      </c>
      <c r="C37" s="165">
        <f>postigones!G34</f>
        <v>155605</v>
      </c>
      <c r="D37" s="165">
        <f>postigones!H34</f>
        <v>180745</v>
      </c>
      <c r="E37" s="166">
        <f>postigones!I34</f>
        <v>2</v>
      </c>
    </row>
    <row r="38" spans="2:5" ht="14.25">
      <c r="B38" s="167" t="s">
        <v>108</v>
      </c>
      <c r="C38" s="165">
        <f>postigones!G35</f>
        <v>167400</v>
      </c>
      <c r="D38" s="165">
        <f>postigones!H35</f>
        <v>199260</v>
      </c>
      <c r="E38" s="166">
        <f>postigones!I35</f>
        <v>2</v>
      </c>
    </row>
    <row r="39" spans="2:5" ht="14.25">
      <c r="B39" s="167" t="s">
        <v>109</v>
      </c>
      <c r="C39" s="165">
        <f>postigones!G36</f>
        <v>215175</v>
      </c>
      <c r="D39" s="165">
        <f>postigones!H36</f>
        <v>262685</v>
      </c>
      <c r="E39" s="166">
        <f>postigones!I36</f>
        <v>3</v>
      </c>
    </row>
    <row r="40" spans="2:5" ht="14.25">
      <c r="B40" s="167" t="s">
        <v>110</v>
      </c>
      <c r="C40" s="165">
        <f>postigones!G37</f>
        <v>257115</v>
      </c>
      <c r="D40" s="165">
        <f>postigones!H37</f>
        <v>315090</v>
      </c>
      <c r="E40" s="166">
        <f>postigones!I37</f>
        <v>3</v>
      </c>
    </row>
    <row r="41" spans="2:5" ht="14.25">
      <c r="B41" s="167" t="s">
        <v>111</v>
      </c>
      <c r="C41" s="165">
        <f>postigones!G38</f>
        <v>260205</v>
      </c>
      <c r="D41" s="165">
        <f>postigones!H38</f>
        <v>350350</v>
      </c>
      <c r="E41" s="166">
        <f>postigones!I38</f>
        <v>3</v>
      </c>
    </row>
    <row r="42" spans="2:5" ht="14.25">
      <c r="B42" s="167" t="s">
        <v>112</v>
      </c>
      <c r="C42" s="165">
        <f>postigones!G39</f>
        <v>314375</v>
      </c>
      <c r="D42" s="165">
        <f>postigones!H39</f>
        <v>384395</v>
      </c>
      <c r="E42" s="166">
        <f>postigones!I39</f>
        <v>3</v>
      </c>
    </row>
    <row r="43" spans="2:5" ht="14.25">
      <c r="B43" s="167" t="s">
        <v>113</v>
      </c>
      <c r="C43" s="165">
        <f>postigones!G40</f>
        <v>331305</v>
      </c>
      <c r="D43" s="165">
        <f>postigones!H40</f>
        <v>419630</v>
      </c>
      <c r="E43" s="166">
        <f>postigones!I40</f>
        <v>3</v>
      </c>
    </row>
    <row r="44" spans="2:5" ht="14.25">
      <c r="B44" s="167" t="s">
        <v>114</v>
      </c>
      <c r="C44" s="165">
        <f>postigones!G41</f>
        <v>185390</v>
      </c>
      <c r="D44" s="165">
        <f>postigones!H41</f>
        <v>216625</v>
      </c>
      <c r="E44" s="166">
        <f>postigones!I41</f>
        <v>2</v>
      </c>
    </row>
    <row r="45" spans="2:5" ht="14.25">
      <c r="B45" s="167" t="s">
        <v>71</v>
      </c>
      <c r="C45" s="165">
        <f>postigones!G42</f>
        <v>223935</v>
      </c>
      <c r="D45" s="165">
        <f>postigones!H42</f>
        <v>260660</v>
      </c>
      <c r="E45" s="166">
        <f>postigones!I42</f>
        <v>2</v>
      </c>
    </row>
    <row r="46" spans="2:5" ht="14.25">
      <c r="B46" s="167" t="s">
        <v>72</v>
      </c>
      <c r="C46" s="165">
        <f>postigones!G43</f>
        <v>259295</v>
      </c>
      <c r="D46" s="165">
        <f>postigones!H43</f>
        <v>323280</v>
      </c>
      <c r="E46" s="166">
        <f>postigones!I43</f>
        <v>3</v>
      </c>
    </row>
    <row r="47" spans="2:5" ht="14.25">
      <c r="B47" s="167" t="s">
        <v>73</v>
      </c>
      <c r="C47" s="165">
        <f>postigones!G44</f>
        <v>274335</v>
      </c>
      <c r="D47" s="165">
        <f>postigones!H44</f>
        <v>340565</v>
      </c>
      <c r="E47" s="166">
        <f>postigones!I44</f>
        <v>3</v>
      </c>
    </row>
    <row r="48" spans="2:5" ht="14.25">
      <c r="B48" s="167" t="s">
        <v>74</v>
      </c>
      <c r="C48" s="165">
        <f>postigones!G45</f>
        <v>301770</v>
      </c>
      <c r="D48" s="165">
        <f>postigones!H45</f>
        <v>364955</v>
      </c>
      <c r="E48" s="166">
        <f>postigones!I45</f>
        <v>3</v>
      </c>
    </row>
    <row r="49" spans="2:5" ht="14.25">
      <c r="B49" s="167" t="s">
        <v>75</v>
      </c>
      <c r="C49" s="165">
        <f>postigones!G46</f>
        <v>331960</v>
      </c>
      <c r="D49" s="165">
        <f>postigones!H46</f>
        <v>401410</v>
      </c>
      <c r="E49" s="166">
        <f>postigones!I46</f>
        <v>3</v>
      </c>
    </row>
    <row r="50" spans="2:5" ht="14.25">
      <c r="B50" s="167" t="s">
        <v>76</v>
      </c>
      <c r="C50" s="165">
        <f>postigones!G47</f>
        <v>357535</v>
      </c>
      <c r="D50" s="165">
        <f>postigones!H47</f>
        <v>437860</v>
      </c>
      <c r="E50" s="166">
        <f>postigones!I47</f>
        <v>3</v>
      </c>
    </row>
    <row r="51" spans="2:5" ht="14.25">
      <c r="B51" s="167" t="s">
        <v>17</v>
      </c>
      <c r="C51" s="165">
        <f>postigones!G48</f>
        <v>238275</v>
      </c>
      <c r="D51" s="165">
        <f>postigones!H48</f>
        <v>291915</v>
      </c>
      <c r="E51" s="166">
        <f>postigones!I48</f>
        <v>2</v>
      </c>
    </row>
    <row r="52" spans="2:5" ht="14.25">
      <c r="B52" s="167" t="s">
        <v>83</v>
      </c>
      <c r="C52" s="165">
        <f>postigones!G49</f>
        <v>285685</v>
      </c>
      <c r="D52" s="165">
        <f>postigones!H49</f>
        <v>301245</v>
      </c>
      <c r="E52" s="166">
        <f>postigones!I49</f>
        <v>2</v>
      </c>
    </row>
    <row r="53" spans="2:5" ht="14.25">
      <c r="B53" s="167" t="s">
        <v>84</v>
      </c>
      <c r="C53" s="165">
        <f>postigones!G50</f>
        <v>321670</v>
      </c>
      <c r="D53" s="165">
        <f>postigones!H50</f>
        <v>400205</v>
      </c>
      <c r="E53" s="166">
        <f>postigones!I50</f>
        <v>3</v>
      </c>
    </row>
    <row r="54" spans="2:5" ht="14.25">
      <c r="B54" s="167" t="s">
        <v>85</v>
      </c>
      <c r="C54" s="165">
        <f>postigones!G51</f>
        <v>343070</v>
      </c>
      <c r="D54" s="165">
        <f>postigones!H51</f>
        <v>417105</v>
      </c>
      <c r="E54" s="166">
        <f>postigones!I51</f>
        <v>3</v>
      </c>
    </row>
    <row r="55" spans="2:5" ht="14.25">
      <c r="B55" s="167" t="s">
        <v>86</v>
      </c>
      <c r="C55" s="165">
        <f>postigones!G52</f>
        <v>362515</v>
      </c>
      <c r="D55" s="165">
        <f>postigones!H52</f>
        <v>444040</v>
      </c>
      <c r="E55" s="166">
        <f>postigones!I52</f>
        <v>3</v>
      </c>
    </row>
    <row r="56" spans="2:5" ht="14.25">
      <c r="B56" s="167" t="s">
        <v>87</v>
      </c>
      <c r="C56" s="165">
        <f>postigones!G53</f>
        <v>397165</v>
      </c>
      <c r="D56" s="165">
        <f>postigones!H53</f>
        <v>486425</v>
      </c>
      <c r="E56" s="166">
        <f>postigones!I53</f>
        <v>3</v>
      </c>
    </row>
    <row r="57" spans="2:5" ht="14.65" thickBot="1">
      <c r="B57" s="168" t="s">
        <v>88</v>
      </c>
      <c r="C57" s="231">
        <f>postigones!G54</f>
        <v>417105</v>
      </c>
      <c r="D57" s="231">
        <f>postigones!H54</f>
        <v>510920</v>
      </c>
      <c r="E57" s="232" t="str">
        <f>postigones!I54</f>
        <v>3ó4</v>
      </c>
    </row>
  </sheetData>
  <mergeCells count="3">
    <mergeCell ref="B6:E6"/>
    <mergeCell ref="B7:E7"/>
    <mergeCell ref="B9:E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" id="{FDCF76CF-753D-4AEB-B716-254FE707C56B}">
            <xm:f>postigones!$C$2="VERDE"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38" id="{13774B0D-4737-4FA9-B9E7-D2678A9514BA}">
            <xm:f>postigones!$C$2="AZUL"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39" id="{C9686CC3-B102-4D0F-9E5D-268D28D806EA}">
            <xm:f>postigones!$C$2="AMARILLA"</xm:f>
            <x14:dxf>
              <fill>
                <patternFill>
                  <bgColor rgb="FFFFFF00"/>
                </patternFill>
              </fill>
            </x14:dxf>
          </x14:cfRule>
          <xm:sqref>B9:E10 B11:B57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>
    <tabColor rgb="FF00B050"/>
    <pageSetUpPr fitToPage="1"/>
  </sheetPr>
  <dimension ref="B6:H17"/>
  <sheetViews>
    <sheetView zoomScale="55" zoomScaleNormal="55" workbookViewId="0">
      <selection activeCell="D37" sqref="D37"/>
    </sheetView>
  </sheetViews>
  <sheetFormatPr baseColWidth="10" defaultColWidth="10.73046875" defaultRowHeight="12.75"/>
  <cols>
    <col min="1" max="1" width="10.73046875" style="1"/>
    <col min="2" max="2" width="15.265625" style="1" customWidth="1"/>
    <col min="3" max="3" width="14.3984375" style="1" customWidth="1"/>
    <col min="4" max="16384" width="10.73046875" style="1"/>
  </cols>
  <sheetData>
    <row r="6" spans="2:8" ht="13.15">
      <c r="B6" s="345" t="s">
        <v>21</v>
      </c>
      <c r="C6" s="345"/>
      <c r="D6" s="345"/>
      <c r="E6" s="345"/>
    </row>
    <row r="7" spans="2:8" ht="13.15">
      <c r="B7" s="345" t="s">
        <v>22</v>
      </c>
      <c r="C7" s="345"/>
      <c r="D7" s="345"/>
      <c r="E7" s="345"/>
    </row>
    <row r="8" spans="2:8" ht="13.15" thickBot="1"/>
    <row r="9" spans="2:8" ht="21.4" thickBot="1">
      <c r="B9" s="368" t="s">
        <v>294</v>
      </c>
      <c r="C9" s="369"/>
      <c r="D9" s="369"/>
      <c r="E9" s="370"/>
      <c r="F9" s="174"/>
      <c r="G9" s="174"/>
      <c r="H9" s="174"/>
    </row>
    <row r="10" spans="2:8" ht="16.149999999999999" thickBot="1">
      <c r="B10" s="175" t="s">
        <v>246</v>
      </c>
      <c r="C10" s="109" t="s">
        <v>290</v>
      </c>
      <c r="D10" s="109" t="s">
        <v>237</v>
      </c>
      <c r="E10" s="110" t="s">
        <v>126</v>
      </c>
    </row>
    <row r="11" spans="2:8" ht="16.899999999999999">
      <c r="B11" s="176" t="s">
        <v>291</v>
      </c>
      <c r="C11" s="5">
        <f>'puertas eco'!H8</f>
        <v>144335</v>
      </c>
      <c r="D11" s="5">
        <f>'puertas eco'!I8</f>
        <v>176380</v>
      </c>
      <c r="E11" s="6">
        <f>'puertas eco'!J8</f>
        <v>179605</v>
      </c>
    </row>
    <row r="12" spans="2:8" ht="16.899999999999999">
      <c r="B12" s="177" t="s">
        <v>206</v>
      </c>
      <c r="C12" s="5">
        <f>'puertas eco'!H9</f>
        <v>155625</v>
      </c>
      <c r="D12" s="5">
        <f>'puertas eco'!I9</f>
        <v>160945</v>
      </c>
      <c r="E12" s="6">
        <f>'puertas eco'!J9</f>
        <v>163990</v>
      </c>
    </row>
    <row r="13" spans="2:8" ht="16.899999999999999">
      <c r="B13" s="177" t="s">
        <v>207</v>
      </c>
      <c r="C13" s="5">
        <f>'puertas eco'!H10</f>
        <v>186740</v>
      </c>
      <c r="D13" s="5">
        <f>'puertas eco'!I10</f>
        <v>189400</v>
      </c>
      <c r="E13" s="6">
        <f>'puertas eco'!J10</f>
        <v>190925</v>
      </c>
    </row>
    <row r="14" spans="2:8" ht="16.899999999999999">
      <c r="B14" s="177" t="s">
        <v>292</v>
      </c>
      <c r="C14" s="5">
        <f>'puertas eco'!H11</f>
        <v>220925</v>
      </c>
      <c r="D14" s="5">
        <f>'puertas eco'!I11</f>
        <v>208405</v>
      </c>
      <c r="E14" s="6">
        <f>'puertas eco'!J11</f>
        <v>225110</v>
      </c>
    </row>
    <row r="15" spans="2:8" ht="16.899999999999999">
      <c r="B15" s="177" t="s">
        <v>293</v>
      </c>
      <c r="C15" s="5">
        <f>'puertas eco'!H12</f>
        <v>202810</v>
      </c>
      <c r="D15" s="5">
        <f>'puertas eco'!I12</f>
        <v>204240</v>
      </c>
      <c r="E15" s="6">
        <f>'puertas eco'!J12</f>
        <v>205095</v>
      </c>
    </row>
    <row r="16" spans="2:8" ht="16.899999999999999">
      <c r="B16" s="177" t="s">
        <v>210</v>
      </c>
      <c r="C16" s="5">
        <f>'puertas eco'!H13</f>
        <v>220140</v>
      </c>
      <c r="D16" s="5">
        <f>'puertas eco'!I13</f>
        <v>213140</v>
      </c>
      <c r="E16" s="6">
        <f>'puertas eco'!J13</f>
        <v>222425</v>
      </c>
    </row>
    <row r="17" spans="2:5" ht="17.25" thickBot="1">
      <c r="B17" s="178" t="s">
        <v>211</v>
      </c>
      <c r="C17" s="10">
        <f>'puertas eco'!H14</f>
        <v>214530</v>
      </c>
      <c r="D17" s="10" t="s">
        <v>204</v>
      </c>
      <c r="E17" s="11" t="s">
        <v>204</v>
      </c>
    </row>
  </sheetData>
  <mergeCells count="3">
    <mergeCell ref="B6:E6"/>
    <mergeCell ref="B7:E7"/>
    <mergeCell ref="B9:E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9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A61C967F-E9A3-499E-B4F5-D19B6C77F659}">
            <xm:f>'puertas eco'!$C$2="VERDE"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41" id="{7ED84EF9-0EEF-4E2C-8E59-87F2305B5AD4}">
            <xm:f>'puertas eco'!$C$2="AZUL"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42" id="{2E9F18B3-91EE-4841-A712-5091D189AC95}">
            <xm:f>'puertas eco'!$C$2="AMARILLA"</xm:f>
            <x14:dxf>
              <fill>
                <patternFill>
                  <bgColor rgb="FFFFFF00"/>
                </patternFill>
              </fill>
            </x14:dxf>
          </x14:cfRule>
          <xm:sqref>B9:E10 B11:B17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>
    <tabColor rgb="FF00B050"/>
    <pageSetUpPr fitToPage="1"/>
  </sheetPr>
  <dimension ref="B7:E49"/>
  <sheetViews>
    <sheetView topLeftCell="A8" zoomScale="55" zoomScaleNormal="55" workbookViewId="0">
      <selection activeCell="D37" sqref="D37"/>
    </sheetView>
  </sheetViews>
  <sheetFormatPr baseColWidth="10" defaultColWidth="10.73046875" defaultRowHeight="12.75"/>
  <cols>
    <col min="1" max="1" width="10.73046875" style="1"/>
    <col min="2" max="2" width="68.59765625" style="1" customWidth="1"/>
    <col min="3" max="3" width="17.86328125" style="1" customWidth="1"/>
    <col min="4" max="4" width="12.59765625" style="1" customWidth="1"/>
    <col min="5" max="16384" width="10.73046875" style="1"/>
  </cols>
  <sheetData>
    <row r="7" spans="2:5" ht="13.15">
      <c r="B7" s="345" t="s">
        <v>21</v>
      </c>
      <c r="C7" s="345"/>
      <c r="D7" s="345"/>
    </row>
    <row r="8" spans="2:5" ht="13.15">
      <c r="B8" s="345" t="s">
        <v>22</v>
      </c>
      <c r="C8" s="345"/>
      <c r="D8" s="345"/>
      <c r="E8" s="188"/>
    </row>
    <row r="9" spans="2:5" ht="13.5" thickBot="1">
      <c r="B9" s="189"/>
    </row>
    <row r="10" spans="2:5" ht="18.399999999999999" thickBot="1">
      <c r="B10" s="371" t="s">
        <v>295</v>
      </c>
      <c r="C10" s="372"/>
      <c r="D10" s="373"/>
    </row>
    <row r="11" spans="2:5" ht="14.65" thickBot="1">
      <c r="B11" s="190" t="s">
        <v>297</v>
      </c>
      <c r="C11" s="180"/>
      <c r="D11" s="191">
        <f>recargos!G6</f>
        <v>0.3</v>
      </c>
    </row>
    <row r="12" spans="2:5" ht="14.65" thickBot="1">
      <c r="B12" s="192" t="s">
        <v>299</v>
      </c>
      <c r="C12" s="183"/>
      <c r="D12" s="191">
        <f>recargos!G7</f>
        <v>0.2</v>
      </c>
    </row>
    <row r="13" spans="2:5" ht="14.65" thickBot="1">
      <c r="B13" s="192" t="s">
        <v>301</v>
      </c>
      <c r="C13" s="183"/>
      <c r="D13" s="191">
        <f>recargos!G8</f>
        <v>0.7</v>
      </c>
    </row>
    <row r="14" spans="2:5" ht="14.65" thickBot="1">
      <c r="B14" s="192" t="s">
        <v>303</v>
      </c>
      <c r="C14" s="183"/>
      <c r="D14" s="191">
        <f>recargos!G9</f>
        <v>0.45</v>
      </c>
    </row>
    <row r="15" spans="2:5" ht="14.65" thickBot="1">
      <c r="B15" s="192" t="s">
        <v>305</v>
      </c>
      <c r="C15" s="183"/>
      <c r="D15" s="191">
        <f>recargos!G10</f>
        <v>0.3</v>
      </c>
    </row>
    <row r="16" spans="2:5" ht="14.65" thickBot="1">
      <c r="B16" s="192"/>
      <c r="C16" s="183"/>
      <c r="D16" s="193"/>
    </row>
    <row r="17" spans="2:4" ht="14.65" thickBot="1">
      <c r="B17" s="192"/>
      <c r="C17" s="183" t="s">
        <v>306</v>
      </c>
      <c r="D17" s="193"/>
    </row>
    <row r="18" spans="2:4" ht="14.65" thickBot="1">
      <c r="B18" s="192" t="s">
        <v>309</v>
      </c>
      <c r="C18" s="183" t="s">
        <v>308</v>
      </c>
      <c r="D18" s="194">
        <f>recargos!G13</f>
        <v>9483</v>
      </c>
    </row>
    <row r="19" spans="2:4" ht="14.65" thickBot="1">
      <c r="B19" s="192" t="s">
        <v>311</v>
      </c>
      <c r="C19" s="183" t="s">
        <v>308</v>
      </c>
      <c r="D19" s="194">
        <f>recargos!G14</f>
        <v>5382</v>
      </c>
    </row>
    <row r="20" spans="2:4" ht="14.65" thickBot="1">
      <c r="B20" s="192" t="s">
        <v>313</v>
      </c>
      <c r="C20" s="183"/>
      <c r="D20" s="194">
        <f>recargos!G15</f>
        <v>35883</v>
      </c>
    </row>
    <row r="21" spans="2:4" ht="14.65" thickBot="1">
      <c r="B21" s="195" t="s">
        <v>314</v>
      </c>
      <c r="C21" s="183"/>
      <c r="D21" s="194">
        <f>recargos!G16</f>
        <v>181979</v>
      </c>
    </row>
    <row r="22" spans="2:4" ht="14.65" thickBot="1">
      <c r="B22" s="192" t="s">
        <v>316</v>
      </c>
      <c r="C22" s="183" t="s">
        <v>308</v>
      </c>
      <c r="D22" s="194">
        <f>recargos!G17</f>
        <v>13693</v>
      </c>
    </row>
    <row r="23" spans="2:4" ht="14.65" thickBot="1">
      <c r="B23" s="192" t="s">
        <v>318</v>
      </c>
      <c r="C23" s="183" t="s">
        <v>308</v>
      </c>
      <c r="D23" s="194">
        <f>recargos!G18</f>
        <v>17323</v>
      </c>
    </row>
    <row r="24" spans="2:4" ht="14.65" thickBot="1">
      <c r="B24" s="192" t="s">
        <v>320</v>
      </c>
      <c r="C24" s="183" t="s">
        <v>308</v>
      </c>
      <c r="D24" s="194">
        <f>recargos!G19</f>
        <v>23170</v>
      </c>
    </row>
    <row r="25" spans="2:4" ht="14.65" thickBot="1">
      <c r="B25" s="192" t="s">
        <v>322</v>
      </c>
      <c r="C25" s="183" t="s">
        <v>308</v>
      </c>
      <c r="D25" s="194">
        <f>recargos!G20</f>
        <v>26278</v>
      </c>
    </row>
    <row r="26" spans="2:4" ht="14.65" thickBot="1">
      <c r="B26" s="192" t="s">
        <v>324</v>
      </c>
      <c r="C26" s="183" t="s">
        <v>308</v>
      </c>
      <c r="D26" s="194">
        <f>recargos!G21</f>
        <v>7567</v>
      </c>
    </row>
    <row r="27" spans="2:4" ht="14.65" thickBot="1">
      <c r="B27" s="192" t="s">
        <v>326</v>
      </c>
      <c r="C27" s="183" t="s">
        <v>308</v>
      </c>
      <c r="D27" s="194">
        <f>recargos!G26</f>
        <v>16147</v>
      </c>
    </row>
    <row r="28" spans="2:4" ht="14.65" thickBot="1">
      <c r="B28" s="192"/>
      <c r="C28" s="183"/>
      <c r="D28" s="194"/>
    </row>
    <row r="29" spans="2:4" ht="14.65" thickBot="1">
      <c r="B29" s="192" t="s">
        <v>329</v>
      </c>
      <c r="C29" s="183" t="s">
        <v>328</v>
      </c>
      <c r="D29" s="194">
        <f>recargos!G27</f>
        <v>21093</v>
      </c>
    </row>
    <row r="30" spans="2:4" ht="14.65" thickBot="1">
      <c r="B30" s="192" t="s">
        <v>331</v>
      </c>
      <c r="C30" s="183" t="s">
        <v>328</v>
      </c>
      <c r="D30" s="194">
        <f>recargos!G28</f>
        <v>27233</v>
      </c>
    </row>
    <row r="31" spans="2:4" ht="14.65" thickBot="1">
      <c r="B31" s="192" t="s">
        <v>333</v>
      </c>
      <c r="C31" s="183" t="s">
        <v>328</v>
      </c>
      <c r="D31" s="194">
        <f>recargos!G29</f>
        <v>34818</v>
      </c>
    </row>
    <row r="32" spans="2:4" ht="14.65" thickBot="1">
      <c r="B32" s="192" t="s">
        <v>335</v>
      </c>
      <c r="C32" s="183" t="s">
        <v>328</v>
      </c>
      <c r="D32" s="194">
        <f>recargos!G30</f>
        <v>42816</v>
      </c>
    </row>
    <row r="33" spans="2:4" ht="14.65" thickBot="1">
      <c r="B33" s="192"/>
      <c r="C33" s="183"/>
      <c r="D33" s="194"/>
    </row>
    <row r="34" spans="2:4" ht="14.65" thickBot="1">
      <c r="B34" s="192" t="s">
        <v>337</v>
      </c>
      <c r="C34" s="183" t="s">
        <v>328</v>
      </c>
      <c r="D34" s="194">
        <f>recargos!G31</f>
        <v>34617</v>
      </c>
    </row>
    <row r="35" spans="2:4" ht="14.65" thickBot="1">
      <c r="B35" s="192" t="s">
        <v>339</v>
      </c>
      <c r="C35" s="183" t="s">
        <v>328</v>
      </c>
      <c r="D35" s="194">
        <f>recargos!G32</f>
        <v>105225</v>
      </c>
    </row>
    <row r="36" spans="2:4" ht="14.65" thickBot="1">
      <c r="B36" s="192"/>
      <c r="C36" s="183"/>
      <c r="D36" s="194"/>
    </row>
    <row r="37" spans="2:4" ht="14.65" thickBot="1">
      <c r="B37" s="192" t="s">
        <v>341</v>
      </c>
      <c r="C37" s="183" t="s">
        <v>328</v>
      </c>
      <c r="D37" s="194">
        <f>recargos!G33</f>
        <v>84000</v>
      </c>
    </row>
    <row r="38" spans="2:4" ht="14.65" thickBot="1">
      <c r="B38" s="192" t="s">
        <v>343</v>
      </c>
      <c r="C38" s="183" t="s">
        <v>328</v>
      </c>
      <c r="D38" s="194">
        <f>recargos!G34</f>
        <v>93836</v>
      </c>
    </row>
    <row r="39" spans="2:4" ht="14.65" thickBot="1">
      <c r="B39" s="192" t="s">
        <v>345</v>
      </c>
      <c r="C39" s="183" t="s">
        <v>328</v>
      </c>
      <c r="D39" s="194">
        <f>recargos!G35</f>
        <v>113512</v>
      </c>
    </row>
    <row r="40" spans="2:4" ht="14.65" thickBot="1">
      <c r="B40" s="192"/>
      <c r="C40" s="183"/>
      <c r="D40" s="194"/>
    </row>
    <row r="41" spans="2:4" ht="14.65" thickBot="1">
      <c r="B41" s="192" t="s">
        <v>347</v>
      </c>
      <c r="C41" s="183" t="s">
        <v>308</v>
      </c>
      <c r="D41" s="194">
        <f>recargos!G36</f>
        <v>69260</v>
      </c>
    </row>
    <row r="42" spans="2:4" ht="14.65" thickBot="1">
      <c r="B42" s="196" t="s">
        <v>349</v>
      </c>
      <c r="C42" s="197" t="s">
        <v>328</v>
      </c>
      <c r="D42" s="194">
        <f>recargos!G37</f>
        <v>77914</v>
      </c>
    </row>
    <row r="49" ht="15.75" customHeight="1"/>
  </sheetData>
  <mergeCells count="3">
    <mergeCell ref="B7:D7"/>
    <mergeCell ref="B8:D8"/>
    <mergeCell ref="B10:D10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7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" id="{65B4EE59-3D83-40A5-B95D-BD246EB6A6F7}">
            <xm:f>recargos!$C$2="VERDE"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44" id="{D7D69FA9-00DD-4880-8283-6033CD59F128}">
            <xm:f>recargos!$C$2="AZUL"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45" id="{BD3236E5-2EBD-45D1-AFF4-829998CFC11D}">
            <xm:f>recargos!$C$2="AMARILLA"</xm:f>
            <x14:dxf>
              <fill>
                <patternFill>
                  <bgColor rgb="FFFFFF00"/>
                </patternFill>
              </fill>
            </x14:dxf>
          </x14:cfRule>
          <xm:sqref>B10:D10 B11:B42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>
    <tabColor rgb="FF00B050"/>
    <pageSetUpPr fitToPage="1"/>
  </sheetPr>
  <dimension ref="B5:G22"/>
  <sheetViews>
    <sheetView zoomScale="55" zoomScaleNormal="55" workbookViewId="0">
      <selection activeCell="D37" sqref="D37"/>
    </sheetView>
  </sheetViews>
  <sheetFormatPr baseColWidth="10" defaultColWidth="8.73046875" defaultRowHeight="14.25"/>
  <cols>
    <col min="1" max="1" width="8.73046875" style="2"/>
    <col min="2" max="2" width="24" style="2" customWidth="1"/>
    <col min="3" max="3" width="13" style="2" customWidth="1"/>
    <col min="4" max="4" width="12.265625" style="2" customWidth="1"/>
    <col min="5" max="5" width="17.59765625" style="2" customWidth="1"/>
    <col min="6" max="6" width="13.59765625" style="2" customWidth="1"/>
    <col min="7" max="7" width="14.86328125" style="2" customWidth="1"/>
    <col min="8" max="16384" width="8.73046875" style="2"/>
  </cols>
  <sheetData>
    <row r="5" spans="2:7">
      <c r="B5" s="337" t="s">
        <v>21</v>
      </c>
      <c r="C5" s="337"/>
      <c r="D5" s="337"/>
      <c r="E5" s="337"/>
      <c r="F5" s="337"/>
      <c r="G5" s="337"/>
    </row>
    <row r="6" spans="2:7">
      <c r="B6" s="345" t="s">
        <v>22</v>
      </c>
      <c r="C6" s="345"/>
      <c r="D6" s="345"/>
      <c r="E6" s="345"/>
      <c r="F6" s="345"/>
      <c r="G6" s="345"/>
    </row>
    <row r="7" spans="2:7" ht="14.65" thickBot="1"/>
    <row r="8" spans="2:7" ht="25.5">
      <c r="B8" s="374" t="s">
        <v>363</v>
      </c>
      <c r="C8" s="375"/>
      <c r="D8" s="375"/>
      <c r="E8" s="375"/>
      <c r="F8" s="375"/>
      <c r="G8" s="376"/>
    </row>
    <row r="9" spans="2:7">
      <c r="B9" s="198" t="s">
        <v>351</v>
      </c>
      <c r="C9" s="199" t="s">
        <v>364</v>
      </c>
      <c r="D9" s="199" t="s">
        <v>365</v>
      </c>
      <c r="E9" s="199" t="s">
        <v>366</v>
      </c>
      <c r="F9" s="199" t="s">
        <v>373</v>
      </c>
      <c r="G9" s="200" t="s">
        <v>374</v>
      </c>
    </row>
    <row r="10" spans="2:7">
      <c r="B10" s="31" t="s">
        <v>369</v>
      </c>
      <c r="C10" s="65">
        <f>'cortinas pvc'!I7</f>
        <v>39157</v>
      </c>
      <c r="D10" s="65">
        <f>'cortinas pvc'!J7</f>
        <v>48496</v>
      </c>
      <c r="E10" s="65">
        <f>'cortinas pvc'!K7</f>
        <v>45625</v>
      </c>
      <c r="F10" s="65">
        <f>'cortinas pvc'!L7</f>
        <v>45625</v>
      </c>
      <c r="G10" s="66">
        <f>'cortinas pvc'!M7</f>
        <v>74486</v>
      </c>
    </row>
    <row r="11" spans="2:7">
      <c r="B11" s="31" t="s">
        <v>370</v>
      </c>
      <c r="C11" s="65">
        <f>'cortinas pvc'!I8</f>
        <v>30049</v>
      </c>
      <c r="D11" s="65">
        <f>'cortinas pvc'!J8</f>
        <v>36640</v>
      </c>
      <c r="E11" s="65">
        <f>'cortinas pvc'!K8</f>
        <v>35843</v>
      </c>
      <c r="F11" s="65">
        <f>'cortinas pvc'!L8</f>
        <v>35843</v>
      </c>
      <c r="G11" s="66">
        <f>'cortinas pvc'!M8</f>
        <v>55293</v>
      </c>
    </row>
    <row r="12" spans="2:7">
      <c r="B12" s="31" t="s">
        <v>371</v>
      </c>
      <c r="C12" s="65">
        <f>'cortinas pvc'!I9</f>
        <v>1504</v>
      </c>
      <c r="D12" s="65">
        <f>'cortinas pvc'!J9</f>
        <v>1874</v>
      </c>
      <c r="E12" s="65">
        <f>'cortinas pvc'!K9</f>
        <v>1792</v>
      </c>
      <c r="F12" s="65">
        <f>'cortinas pvc'!L9</f>
        <v>1792</v>
      </c>
      <c r="G12" s="66">
        <f>'cortinas pvc'!M9</f>
        <v>2766</v>
      </c>
    </row>
    <row r="13" spans="2:7" ht="14.65" thickBot="1">
      <c r="B13" s="32" t="s">
        <v>372</v>
      </c>
      <c r="C13" s="229">
        <f>'cortinas pvc'!I10</f>
        <v>3396</v>
      </c>
      <c r="D13" s="229">
        <f>'cortinas pvc'!J10</f>
        <v>3396</v>
      </c>
      <c r="E13" s="229">
        <f>'cortinas pvc'!K10</f>
        <v>3396</v>
      </c>
      <c r="F13" s="229">
        <f>'cortinas pvc'!L10</f>
        <v>3396</v>
      </c>
      <c r="G13" s="230">
        <f>'cortinas pvc'!M10</f>
        <v>3703</v>
      </c>
    </row>
    <row r="14" spans="2:7" ht="17.25" thickBot="1">
      <c r="B14" s="201"/>
    </row>
    <row r="15" spans="2:7" ht="25.9" thickBot="1">
      <c r="B15" s="377" t="s">
        <v>350</v>
      </c>
      <c r="C15" s="378"/>
      <c r="D15" s="378"/>
      <c r="E15" s="379"/>
      <c r="F15" s="379"/>
      <c r="G15" s="380"/>
    </row>
    <row r="16" spans="2:7">
      <c r="B16" s="202" t="s">
        <v>351</v>
      </c>
      <c r="C16" s="203" t="s">
        <v>352</v>
      </c>
      <c r="D16" s="203" t="s">
        <v>353</v>
      </c>
      <c r="E16" s="203" t="s">
        <v>354</v>
      </c>
      <c r="F16" s="203" t="s">
        <v>355</v>
      </c>
      <c r="G16" s="204" t="s">
        <v>356</v>
      </c>
    </row>
    <row r="17" spans="2:7">
      <c r="B17" s="31" t="s">
        <v>357</v>
      </c>
      <c r="C17" s="65">
        <f>plegadizas!I7</f>
        <v>89133</v>
      </c>
      <c r="D17" s="65">
        <f>plegadizas!J7</f>
        <v>0</v>
      </c>
      <c r="E17" s="65">
        <f>plegadizas!K7</f>
        <v>89133</v>
      </c>
      <c r="F17" s="65">
        <f>plegadizas!L7</f>
        <v>100425</v>
      </c>
      <c r="G17" s="66">
        <f>plegadizas!M7</f>
        <v>100425</v>
      </c>
    </row>
    <row r="18" spans="2:7">
      <c r="B18" s="31" t="s">
        <v>358</v>
      </c>
      <c r="C18" s="65">
        <f>plegadizas!I8</f>
        <v>93933</v>
      </c>
      <c r="D18" s="65">
        <f>plegadizas!J8</f>
        <v>93932</v>
      </c>
      <c r="E18" s="65">
        <f>plegadizas!K8</f>
        <v>93932</v>
      </c>
      <c r="F18" s="65">
        <f>plegadizas!L8</f>
        <v>103886</v>
      </c>
      <c r="G18" s="66">
        <f>plegadizas!M8</f>
        <v>103886</v>
      </c>
    </row>
    <row r="19" spans="2:7">
      <c r="B19" s="31" t="s">
        <v>359</v>
      </c>
      <c r="C19" s="65">
        <f>plegadizas!I9</f>
        <v>102026</v>
      </c>
      <c r="D19" s="65">
        <f>plegadizas!J9</f>
        <v>102024</v>
      </c>
      <c r="E19" s="65">
        <f>plegadizas!K9</f>
        <v>102024</v>
      </c>
      <c r="F19" s="65">
        <f>plegadizas!L9</f>
        <v>119793</v>
      </c>
      <c r="G19" s="66">
        <f>plegadizas!M9</f>
        <v>119793</v>
      </c>
    </row>
    <row r="20" spans="2:7">
      <c r="B20" s="31" t="s">
        <v>360</v>
      </c>
      <c r="C20" s="65">
        <f>plegadizas!I10</f>
        <v>104416</v>
      </c>
      <c r="D20" s="65">
        <f>plegadizas!J10</f>
        <v>104414</v>
      </c>
      <c r="E20" s="65">
        <f>plegadizas!K10</f>
        <v>104414</v>
      </c>
      <c r="F20" s="65">
        <f>plegadizas!L10</f>
        <v>0</v>
      </c>
      <c r="G20" s="66">
        <f>plegadizas!M10</f>
        <v>0</v>
      </c>
    </row>
    <row r="21" spans="2:7">
      <c r="B21" s="31" t="s">
        <v>361</v>
      </c>
      <c r="C21" s="65">
        <f>plegadizas!I11</f>
        <v>120465</v>
      </c>
      <c r="D21" s="65">
        <f>plegadizas!J11</f>
        <v>0</v>
      </c>
      <c r="E21" s="65">
        <f>plegadizas!K11</f>
        <v>120465</v>
      </c>
      <c r="F21" s="65">
        <f>plegadizas!L11</f>
        <v>0</v>
      </c>
      <c r="G21" s="66">
        <f>plegadizas!M11</f>
        <v>0</v>
      </c>
    </row>
    <row r="22" spans="2:7" ht="14.65" thickBot="1">
      <c r="B22" s="32" t="s">
        <v>362</v>
      </c>
      <c r="C22" s="229">
        <f>plegadizas!I12</f>
        <v>127645</v>
      </c>
      <c r="D22" s="229">
        <f>plegadizas!J12</f>
        <v>0</v>
      </c>
      <c r="E22" s="229">
        <f>plegadizas!K12</f>
        <v>127645</v>
      </c>
      <c r="F22" s="229">
        <f>plegadizas!L12</f>
        <v>0</v>
      </c>
      <c r="G22" s="230">
        <f>plegadizas!M12</f>
        <v>0</v>
      </c>
    </row>
  </sheetData>
  <mergeCells count="4">
    <mergeCell ref="B5:G5"/>
    <mergeCell ref="B6:G6"/>
    <mergeCell ref="B8:G8"/>
    <mergeCell ref="B15:G15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3" firstPageNumber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25C22F54-A659-4583-8796-A47FACEC979D}">
            <xm:f>'cortinas pvc'!$C$2="AMARILLA"</xm:f>
            <x14:dxf>
              <fill>
                <patternFill>
                  <bgColor rgb="FFFFFF00"/>
                </patternFill>
              </fill>
            </x14:dxf>
          </x14:cfRule>
          <xm:sqref>B8:G8 B9:B13 C9:G9 B15:G16 B17:B22</xm:sqref>
        </x14:conditionalFormatting>
        <x14:conditionalFormatting xmlns:xm="http://schemas.microsoft.com/office/excel/2006/main">
          <x14:cfRule type="expression" priority="51" id="{C96A665D-7D2E-4B50-8803-C548D6F3D4A2}">
            <xm:f>'cortinas pvc'!$C$2="AZUL"</xm:f>
            <x14:dxf>
              <fill>
                <patternFill>
                  <bgColor rgb="FF00B0F0"/>
                </patternFill>
              </fill>
            </x14:dxf>
          </x14:cfRule>
          <xm:sqref>B8:G8 B9:B13 C9:G9 B15:G16 B17:B22</xm:sqref>
        </x14:conditionalFormatting>
        <x14:conditionalFormatting xmlns:xm="http://schemas.microsoft.com/office/excel/2006/main">
          <x14:cfRule type="expression" priority="56" id="{7B09267C-CD3C-4E03-92A9-4EC6438CAAC6}">
            <xm:f>'cortinas pvc'!$C$2="VERDE"</xm:f>
            <x14:dxf>
              <fill>
                <patternFill>
                  <bgColor rgb="FF00B050"/>
                </patternFill>
              </fill>
            </x14:dxf>
          </x14:cfRule>
          <xm:sqref>B8:G8 B9:B13 C9:G9 B15:G16 B17:B22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>
    <tabColor rgb="FF00B050"/>
    <pageSetUpPr fitToPage="1"/>
  </sheetPr>
  <dimension ref="B6:G52"/>
  <sheetViews>
    <sheetView zoomScale="55" zoomScaleNormal="55" workbookViewId="0">
      <selection activeCell="D37" sqref="D37"/>
    </sheetView>
  </sheetViews>
  <sheetFormatPr baseColWidth="10" defaultColWidth="10.73046875" defaultRowHeight="12.75"/>
  <cols>
    <col min="1" max="2" width="10.73046875" style="1"/>
    <col min="3" max="3" width="19" style="1" customWidth="1"/>
    <col min="4" max="16384" width="10.73046875" style="1"/>
  </cols>
  <sheetData>
    <row r="6" spans="2:7" ht="13.15">
      <c r="B6" s="345"/>
      <c r="C6" s="345"/>
      <c r="D6" s="345"/>
      <c r="E6" s="345"/>
    </row>
    <row r="7" spans="2:7" ht="13.15">
      <c r="B7" s="337" t="s">
        <v>21</v>
      </c>
      <c r="C7" s="337"/>
      <c r="D7" s="337"/>
      <c r="E7" s="337"/>
      <c r="F7" s="337"/>
      <c r="G7" s="337"/>
    </row>
    <row r="8" spans="2:7" ht="13.15">
      <c r="B8" s="345" t="s">
        <v>22</v>
      </c>
      <c r="C8" s="345"/>
      <c r="D8" s="345"/>
      <c r="E8" s="345"/>
      <c r="F8" s="345"/>
      <c r="G8" s="345"/>
    </row>
    <row r="9" spans="2:7" ht="13.15" thickBot="1"/>
    <row r="10" spans="2:7" ht="18.399999999999999" thickBot="1">
      <c r="C10" s="391" t="s">
        <v>375</v>
      </c>
      <c r="D10" s="392"/>
      <c r="E10" s="392"/>
      <c r="F10" s="393"/>
    </row>
    <row r="11" spans="2:7">
      <c r="C11" s="383" t="s">
        <v>386</v>
      </c>
      <c r="D11" s="215" t="s">
        <v>377</v>
      </c>
      <c r="E11" s="216" t="s">
        <v>378</v>
      </c>
      <c r="F11" s="217" t="s">
        <v>379</v>
      </c>
    </row>
    <row r="12" spans="2:7">
      <c r="C12" s="384"/>
      <c r="D12" s="218" t="s">
        <v>390</v>
      </c>
      <c r="E12" s="219">
        <f>placas!H8</f>
        <v>80811</v>
      </c>
      <c r="F12" s="84">
        <f>placas!I8</f>
        <v>85886</v>
      </c>
    </row>
    <row r="13" spans="2:7">
      <c r="C13" s="381" t="s">
        <v>380</v>
      </c>
      <c r="D13" s="218" t="s">
        <v>393</v>
      </c>
      <c r="E13" s="219">
        <f>placas!H9</f>
        <v>80811</v>
      </c>
      <c r="F13" s="84">
        <f>placas!I9</f>
        <v>85886</v>
      </c>
    </row>
    <row r="14" spans="2:7" ht="13.15" thickBot="1">
      <c r="C14" s="382"/>
      <c r="D14" s="220" t="s">
        <v>394</v>
      </c>
      <c r="E14" s="225">
        <f>placas!H10</f>
        <v>85886</v>
      </c>
      <c r="F14" s="87">
        <f>placas!I10</f>
        <v>91221</v>
      </c>
    </row>
    <row r="15" spans="2:7" ht="13.15" thickBot="1"/>
    <row r="16" spans="2:7">
      <c r="C16" s="383" t="s">
        <v>386</v>
      </c>
      <c r="D16" s="215" t="s">
        <v>377</v>
      </c>
      <c r="E16" s="216" t="s">
        <v>378</v>
      </c>
      <c r="F16" s="217" t="s">
        <v>379</v>
      </c>
    </row>
    <row r="17" spans="3:6">
      <c r="C17" s="384"/>
      <c r="D17" s="218" t="s">
        <v>390</v>
      </c>
      <c r="E17" s="219">
        <f>placas!H13</f>
        <v>146679</v>
      </c>
      <c r="F17" s="84">
        <f>placas!I13</f>
        <v>152486</v>
      </c>
    </row>
    <row r="18" spans="3:6">
      <c r="C18" s="381" t="s">
        <v>383</v>
      </c>
      <c r="D18" s="218" t="s">
        <v>393</v>
      </c>
      <c r="E18" s="219">
        <f>placas!H14</f>
        <v>146679</v>
      </c>
      <c r="F18" s="84">
        <f>placas!I14</f>
        <v>152486</v>
      </c>
    </row>
    <row r="19" spans="3:6" ht="13.15" thickBot="1">
      <c r="C19" s="382"/>
      <c r="D19" s="220" t="s">
        <v>394</v>
      </c>
      <c r="E19" s="225">
        <f>placas!H15</f>
        <v>151667</v>
      </c>
      <c r="F19" s="87">
        <f>placas!I15</f>
        <v>159149</v>
      </c>
    </row>
    <row r="20" spans="3:6" ht="13.15" thickBot="1">
      <c r="E20" s="221"/>
    </row>
    <row r="21" spans="3:6">
      <c r="C21" s="383" t="s">
        <v>389</v>
      </c>
      <c r="D21" s="215" t="s">
        <v>377</v>
      </c>
      <c r="E21" s="216" t="s">
        <v>378</v>
      </c>
      <c r="F21" s="217" t="s">
        <v>379</v>
      </c>
    </row>
    <row r="22" spans="3:6">
      <c r="C22" s="384"/>
      <c r="D22" s="218" t="s">
        <v>390</v>
      </c>
      <c r="E22" s="219">
        <f>placas!H18</f>
        <v>239826</v>
      </c>
      <c r="F22" s="84">
        <f>placas!I18</f>
        <v>266113</v>
      </c>
    </row>
    <row r="23" spans="3:6">
      <c r="C23" s="381" t="s">
        <v>383</v>
      </c>
      <c r="D23" s="218" t="s">
        <v>393</v>
      </c>
      <c r="E23" s="219">
        <f>placas!H19</f>
        <v>239826</v>
      </c>
      <c r="F23" s="84">
        <f>placas!I19</f>
        <v>266113</v>
      </c>
    </row>
    <row r="24" spans="3:6" ht="13.15" thickBot="1">
      <c r="C24" s="382"/>
      <c r="D24" s="220" t="s">
        <v>394</v>
      </c>
      <c r="E24" s="219">
        <f>placas!H20</f>
        <v>252610</v>
      </c>
      <c r="F24" s="84">
        <f>placas!I20</f>
        <v>271419</v>
      </c>
    </row>
    <row r="25" spans="3:6" ht="13.15" thickBot="1">
      <c r="C25" s="226"/>
      <c r="D25" s="227"/>
      <c r="E25" s="227"/>
      <c r="F25" s="228"/>
    </row>
    <row r="26" spans="3:6" ht="13.15" thickBot="1"/>
    <row r="27" spans="3:6">
      <c r="C27" s="383" t="s">
        <v>391</v>
      </c>
      <c r="D27" s="215" t="s">
        <v>377</v>
      </c>
      <c r="E27" s="217" t="s">
        <v>392</v>
      </c>
    </row>
    <row r="28" spans="3:6">
      <c r="C28" s="384"/>
      <c r="D28" s="218" t="s">
        <v>390</v>
      </c>
      <c r="E28" s="84">
        <f>placas!H23</f>
        <v>83739</v>
      </c>
    </row>
    <row r="29" spans="3:6">
      <c r="C29" s="381" t="s">
        <v>380</v>
      </c>
      <c r="D29" s="218" t="s">
        <v>393</v>
      </c>
      <c r="E29" s="84">
        <f>placas!H24</f>
        <v>83739</v>
      </c>
    </row>
    <row r="30" spans="3:6" ht="13.15" thickBot="1">
      <c r="C30" s="382"/>
      <c r="D30" s="220" t="s">
        <v>394</v>
      </c>
      <c r="E30" s="87">
        <f>placas!H25</f>
        <v>87525</v>
      </c>
    </row>
    <row r="31" spans="3:6" ht="13.15" thickBot="1"/>
    <row r="32" spans="3:6">
      <c r="C32" s="383" t="s">
        <v>391</v>
      </c>
      <c r="D32" s="215" t="s">
        <v>377</v>
      </c>
      <c r="E32" s="217" t="s">
        <v>392</v>
      </c>
    </row>
    <row r="33" spans="3:6">
      <c r="C33" s="384"/>
      <c r="D33" s="218" t="s">
        <v>390</v>
      </c>
      <c r="E33" s="84">
        <f>placas!H28</f>
        <v>173170</v>
      </c>
    </row>
    <row r="34" spans="3:6">
      <c r="C34" s="381" t="s">
        <v>383</v>
      </c>
      <c r="D34" s="218" t="s">
        <v>393</v>
      </c>
      <c r="E34" s="84">
        <f>placas!H29</f>
        <v>174212</v>
      </c>
    </row>
    <row r="35" spans="3:6" ht="13.15" thickBot="1">
      <c r="C35" s="382"/>
      <c r="D35" s="220" t="s">
        <v>394</v>
      </c>
      <c r="E35" s="87">
        <f>placas!H30</f>
        <v>189681</v>
      </c>
    </row>
    <row r="36" spans="3:6" ht="13.15" thickBot="1"/>
    <row r="37" spans="3:6">
      <c r="C37" s="385" t="s">
        <v>385</v>
      </c>
      <c r="D37" s="386"/>
      <c r="E37" s="386"/>
      <c r="F37" s="387"/>
    </row>
    <row r="38" spans="3:6" ht="13.15" thickBot="1">
      <c r="C38" s="388"/>
      <c r="D38" s="389"/>
      <c r="E38" s="389"/>
      <c r="F38" s="390"/>
    </row>
    <row r="39" spans="3:6">
      <c r="C39" s="383" t="s">
        <v>386</v>
      </c>
      <c r="D39" s="222" t="s">
        <v>377</v>
      </c>
      <c r="E39" s="223" t="s">
        <v>378</v>
      </c>
      <c r="F39" s="224" t="s">
        <v>379</v>
      </c>
    </row>
    <row r="40" spans="3:6">
      <c r="C40" s="384"/>
      <c r="D40" s="218" t="s">
        <v>390</v>
      </c>
      <c r="E40" s="219">
        <f>placas!H35</f>
        <v>0</v>
      </c>
      <c r="F40" s="84">
        <f>placas!I35</f>
        <v>226882</v>
      </c>
    </row>
    <row r="41" spans="3:6">
      <c r="C41" s="381" t="s">
        <v>380</v>
      </c>
      <c r="D41" s="218" t="s">
        <v>393</v>
      </c>
      <c r="E41" s="219">
        <f>placas!H36</f>
        <v>0</v>
      </c>
      <c r="F41" s="84">
        <f>placas!I36</f>
        <v>226882</v>
      </c>
    </row>
    <row r="42" spans="3:6" ht="13.15" thickBot="1">
      <c r="C42" s="382"/>
      <c r="D42" s="220" t="s">
        <v>394</v>
      </c>
      <c r="E42" s="225">
        <f>placas!H37</f>
        <v>0</v>
      </c>
      <c r="F42" s="87">
        <f>placas!I37</f>
        <v>242432</v>
      </c>
    </row>
    <row r="43" spans="3:6" ht="13.15" thickBot="1"/>
    <row r="44" spans="3:6">
      <c r="C44" s="383" t="s">
        <v>386</v>
      </c>
      <c r="D44" s="215" t="s">
        <v>377</v>
      </c>
      <c r="E44" s="216" t="s">
        <v>378</v>
      </c>
      <c r="F44" s="217" t="s">
        <v>379</v>
      </c>
    </row>
    <row r="45" spans="3:6">
      <c r="C45" s="384"/>
      <c r="D45" s="218" t="s">
        <v>390</v>
      </c>
      <c r="E45" s="219">
        <f>placas!H40</f>
        <v>0</v>
      </c>
      <c r="F45" s="84">
        <f>placas!I40</f>
        <v>269019</v>
      </c>
    </row>
    <row r="46" spans="3:6">
      <c r="C46" s="381" t="s">
        <v>383</v>
      </c>
      <c r="D46" s="218" t="s">
        <v>393</v>
      </c>
      <c r="E46" s="219">
        <f>placas!H41</f>
        <v>0</v>
      </c>
      <c r="F46" s="84">
        <f>placas!I41</f>
        <v>269019</v>
      </c>
    </row>
    <row r="47" spans="3:6" ht="13.15" thickBot="1">
      <c r="C47" s="382"/>
      <c r="D47" s="220" t="s">
        <v>394</v>
      </c>
      <c r="E47" s="225">
        <f>placas!H42</f>
        <v>0</v>
      </c>
      <c r="F47" s="87">
        <f>placas!I42</f>
        <v>271041</v>
      </c>
    </row>
    <row r="48" spans="3:6" ht="13.15" thickBot="1"/>
    <row r="49" spans="3:6">
      <c r="C49" s="383" t="s">
        <v>389</v>
      </c>
      <c r="D49" s="215" t="s">
        <v>377</v>
      </c>
      <c r="E49" s="216" t="s">
        <v>378</v>
      </c>
      <c r="F49" s="217" t="s">
        <v>379</v>
      </c>
    </row>
    <row r="50" spans="3:6">
      <c r="C50" s="384"/>
      <c r="D50" s="218" t="s">
        <v>390</v>
      </c>
      <c r="E50" s="219">
        <f>placas!H45</f>
        <v>0</v>
      </c>
      <c r="F50" s="84">
        <f>placas!I45</f>
        <v>352659</v>
      </c>
    </row>
    <row r="51" spans="3:6">
      <c r="C51" s="381" t="s">
        <v>383</v>
      </c>
      <c r="D51" s="218" t="s">
        <v>393</v>
      </c>
      <c r="E51" s="219">
        <f>placas!H46</f>
        <v>0</v>
      </c>
      <c r="F51" s="84">
        <f>placas!I46</f>
        <v>352659</v>
      </c>
    </row>
    <row r="52" spans="3:6" ht="13.15" thickBot="1">
      <c r="C52" s="382"/>
      <c r="D52" s="220" t="s">
        <v>394</v>
      </c>
      <c r="E52" s="225">
        <f>placas!H47</f>
        <v>0</v>
      </c>
      <c r="F52" s="87">
        <f>placas!I47</f>
        <v>372409</v>
      </c>
    </row>
  </sheetData>
  <mergeCells count="21">
    <mergeCell ref="C29:C30"/>
    <mergeCell ref="B6:E6"/>
    <mergeCell ref="B7:G7"/>
    <mergeCell ref="B8:G8"/>
    <mergeCell ref="C10:F10"/>
    <mergeCell ref="C11:C12"/>
    <mergeCell ref="C13:C14"/>
    <mergeCell ref="C16:C17"/>
    <mergeCell ref="C18:C19"/>
    <mergeCell ref="C21:C22"/>
    <mergeCell ref="C23:C24"/>
    <mergeCell ref="C27:C28"/>
    <mergeCell ref="C46:C47"/>
    <mergeCell ref="C49:C50"/>
    <mergeCell ref="C51:C52"/>
    <mergeCell ref="C32:C33"/>
    <mergeCell ref="C34:C35"/>
    <mergeCell ref="C37:F38"/>
    <mergeCell ref="C39:C40"/>
    <mergeCell ref="C41:C42"/>
    <mergeCell ref="C44:C45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7" id="{174EDBF9-8DE9-429B-A0A3-7E88469849FF}">
            <xm:f>placas!$C$2="VERDE"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58" id="{0E003699-C572-49EC-BE83-095910B8D572}">
            <xm:f>placas!$C$2="AZUL"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59" id="{FE37ACFD-C94E-45E0-94FD-59BC2394A8FF}">
            <xm:f>placas!$C$2="AMARILLA"</xm:f>
            <x14:dxf>
              <fill>
                <patternFill>
                  <bgColor rgb="FFFFFF00"/>
                </patternFill>
              </fill>
            </x14:dxf>
          </x14:cfRule>
          <xm:sqref>C10:F10 C11:C12 D11:F11 C16:C17 D16:F16 C21:C22 D21:F21 C27:C28 D27:E27 C32:C33 D32:E32 C37:F38 C39:C40 D39:F39 C44:C45 D44:F44 C49:C50 D49:F49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CONTROL</vt:lpstr>
      <vt:lpstr>CONFIG</vt:lpstr>
      <vt:lpstr>ventana herrero</vt:lpstr>
      <vt:lpstr>mosquiteros</vt:lpstr>
      <vt:lpstr>rajas herrero</vt:lpstr>
      <vt:lpstr>puertas herrero</vt:lpstr>
      <vt:lpstr>medias puertas herrero</vt:lpstr>
      <vt:lpstr>ventanas modena</vt:lpstr>
      <vt:lpstr>rajas modena</vt:lpstr>
      <vt:lpstr>puertas modena</vt:lpstr>
      <vt:lpstr>patagonicas modena</vt:lpstr>
      <vt:lpstr>postigones</vt:lpstr>
      <vt:lpstr>puertas eco</vt:lpstr>
      <vt:lpstr>recargos</vt:lpstr>
      <vt:lpstr>plegadizas</vt:lpstr>
      <vt:lpstr>cortinas pvc</vt:lpstr>
      <vt:lpstr>placas</vt:lpstr>
      <vt:lpstr>ventana herrero venta</vt:lpstr>
      <vt:lpstr>mosquiteros venta</vt:lpstr>
      <vt:lpstr>rajas herrero venta</vt:lpstr>
      <vt:lpstr>puertas herrero venta</vt:lpstr>
      <vt:lpstr>medias puertas herrero venta</vt:lpstr>
      <vt:lpstr>ventanas modena venta</vt:lpstr>
      <vt:lpstr>rajas modena venta</vt:lpstr>
      <vt:lpstr>puertas modena venta</vt:lpstr>
      <vt:lpstr>patagonicas modena venta</vt:lpstr>
      <vt:lpstr>postigones venta</vt:lpstr>
      <vt:lpstr>puertas eco venta</vt:lpstr>
      <vt:lpstr>recargos venta</vt:lpstr>
      <vt:lpstr>plegadizas cortinas venta</vt:lpstr>
      <vt:lpstr>placas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Pablo Belloni</dc:creator>
  <cp:lastModifiedBy>German Pablo Belloni</cp:lastModifiedBy>
  <cp:lastPrinted>2026-04-23T19:21:35Z</cp:lastPrinted>
  <dcterms:created xsi:type="dcterms:W3CDTF">2026-03-21T20:23:42Z</dcterms:created>
  <dcterms:modified xsi:type="dcterms:W3CDTF">2026-05-06T01:17:21Z</dcterms:modified>
</cp:coreProperties>
</file>