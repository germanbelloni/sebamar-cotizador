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rman\Documents\sebamarapp\excel\"/>
    </mc:Choice>
  </mc:AlternateContent>
  <xr:revisionPtr revIDLastSave="0" documentId="13_ncr:1_{B78665FA-33B2-4D27-B256-18967ECE4D1E}" xr6:coauthVersionLast="47" xr6:coauthVersionMax="47" xr10:uidLastSave="{00000000-0000-0000-0000-000000000000}"/>
  <bookViews>
    <workbookView xWindow="-98" yWindow="-98" windowWidth="19396" windowHeight="10276" tabRatio="1000" activeTab="7" xr2:uid="{F9E30F5A-8160-4E5C-BDF5-2ECD47C4A982}"/>
  </bookViews>
  <sheets>
    <sheet name="CONTROL" sheetId="33" r:id="rId1"/>
    <sheet name="CONFIG" sheetId="2" r:id="rId2"/>
    <sheet name="ventana herrero" sheetId="1" r:id="rId3"/>
    <sheet name="mosquiteros" sheetId="4" r:id="rId4"/>
    <sheet name="rajas herrero" sheetId="7" r:id="rId5"/>
    <sheet name="puertas herrero" sheetId="10" r:id="rId6"/>
    <sheet name="medias puertas herrero" sheetId="12" r:id="rId7"/>
    <sheet name="ventanas modena" sheetId="13" r:id="rId8"/>
    <sheet name="rajas modena" sheetId="16" r:id="rId9"/>
    <sheet name="puertas modena" sheetId="18" r:id="rId10"/>
    <sheet name="patagonicas modena" sheetId="20" r:id="rId11"/>
    <sheet name="postigones" sheetId="22" r:id="rId12"/>
    <sheet name="puertas eco" sheetId="24" r:id="rId13"/>
    <sheet name="recargos" sheetId="26" r:id="rId14"/>
    <sheet name="plegadizas" sheetId="28" r:id="rId15"/>
    <sheet name="cortinas pvc" sheetId="29" r:id="rId16"/>
    <sheet name="placas" sheetId="31" r:id="rId17"/>
    <sheet name="ventana herrero venta" sheetId="3" r:id="rId18"/>
    <sheet name="mosquiteros venta" sheetId="6" r:id="rId19"/>
    <sheet name="rajas herrero venta" sheetId="9" r:id="rId20"/>
    <sheet name="puertas herrero venta" sheetId="11" r:id="rId21"/>
    <sheet name="medias puertas herrero venta" sheetId="14" r:id="rId22"/>
    <sheet name="ventanas modena venta" sheetId="15" r:id="rId23"/>
    <sheet name="rajas modena venta" sheetId="17" r:id="rId24"/>
    <sheet name="puertas modena venta" sheetId="19" r:id="rId25"/>
    <sheet name="patagonicas modena venta" sheetId="21" r:id="rId26"/>
    <sheet name="postigones venta" sheetId="23" r:id="rId27"/>
    <sheet name="puertas eco venta" sheetId="25" r:id="rId28"/>
    <sheet name="recargos venta" sheetId="27" r:id="rId29"/>
    <sheet name="plegadizas cortinas venta" sheetId="30" r:id="rId30"/>
    <sheet name="placas venta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31" l="1"/>
  <c r="C2" i="31"/>
  <c r="A2" i="31"/>
  <c r="I36" i="31" s="1"/>
  <c r="D2" i="29"/>
  <c r="C2" i="29"/>
  <c r="A2" i="29"/>
  <c r="D2" i="28"/>
  <c r="C2" i="28"/>
  <c r="A2" i="28"/>
  <c r="D2" i="26"/>
  <c r="C2" i="26"/>
  <c r="A2" i="26"/>
  <c r="D2" i="24"/>
  <c r="C2" i="24"/>
  <c r="I12" i="24" s="1" a="1"/>
  <c r="I12" i="24" s="1"/>
  <c r="A2" i="24"/>
  <c r="D2" i="22"/>
  <c r="C2" i="22"/>
  <c r="H14" i="22" s="1" a="1"/>
  <c r="H14" i="22" s="1"/>
  <c r="A2" i="22"/>
  <c r="D2" i="20"/>
  <c r="C2" i="20"/>
  <c r="A2" i="20"/>
  <c r="D2" i="18"/>
  <c r="C2" i="18"/>
  <c r="A2" i="18"/>
  <c r="D2" i="16"/>
  <c r="C2" i="16"/>
  <c r="Q49" i="16" s="1" a="1"/>
  <c r="Q49" i="16" s="1"/>
  <c r="A2" i="16"/>
  <c r="D2" i="13"/>
  <c r="C2" i="13"/>
  <c r="R20" i="13" s="1" a="1"/>
  <c r="R20" i="13" s="1"/>
  <c r="A2" i="13"/>
  <c r="D2" i="12"/>
  <c r="C2" i="12"/>
  <c r="J8" i="12" s="1" a="1"/>
  <c r="J8" i="12" s="1"/>
  <c r="A2" i="12"/>
  <c r="D2" i="10"/>
  <c r="C2" i="10"/>
  <c r="P7" i="10" s="1" a="1"/>
  <c r="P7" i="10" s="1"/>
  <c r="A2" i="10"/>
  <c r="D2" i="7"/>
  <c r="C2" i="7"/>
  <c r="Q18" i="7" s="1" a="1"/>
  <c r="Q18" i="7" s="1"/>
  <c r="A2" i="7"/>
  <c r="D2" i="4"/>
  <c r="A2" i="4"/>
  <c r="D2" i="1"/>
  <c r="C2" i="1"/>
  <c r="A2" i="1"/>
  <c r="J10" i="24" a="1"/>
  <c r="J10" i="24" s="1"/>
  <c r="J11" i="24" a="1"/>
  <c r="J11" i="24" s="1"/>
  <c r="I11" i="24" a="1"/>
  <c r="I11" i="24" s="1"/>
  <c r="R58" i="16" a="1"/>
  <c r="R58" i="16" s="1"/>
  <c r="Q11" i="16" a="1"/>
  <c r="Q11" i="16" s="1"/>
  <c r="Q15" i="16" a="1"/>
  <c r="Q15" i="16" s="1"/>
  <c r="Q16" i="16" a="1"/>
  <c r="Q16" i="16" s="1"/>
  <c r="Q48" i="16" a="1"/>
  <c r="Q48" i="16" s="1"/>
  <c r="P22" i="16" a="1"/>
  <c r="P22" i="16" s="1"/>
  <c r="P46" i="16" a="1"/>
  <c r="P46" i="16" s="1"/>
  <c r="P49" i="16" a="1"/>
  <c r="P49" i="16" s="1"/>
  <c r="P50" i="16" a="1"/>
  <c r="P50" i="16" s="1"/>
  <c r="P69" i="16" a="1"/>
  <c r="P69" i="16" s="1"/>
  <c r="P70" i="16" a="1"/>
  <c r="P70" i="16" s="1"/>
  <c r="O13" i="16" a="1"/>
  <c r="O13" i="16" s="1"/>
  <c r="O14" i="16" a="1"/>
  <c r="O14" i="16" s="1"/>
  <c r="O19" i="16" a="1"/>
  <c r="O19" i="16" s="1"/>
  <c r="O20" i="16" a="1"/>
  <c r="O20" i="16" s="1"/>
  <c r="O25" i="16" a="1"/>
  <c r="O25" i="16" s="1"/>
  <c r="O26" i="16" a="1"/>
  <c r="O26" i="16" s="1"/>
  <c r="O35" i="16" a="1"/>
  <c r="O35" i="16" s="1"/>
  <c r="O39" i="16" a="1"/>
  <c r="O39" i="16" s="1"/>
  <c r="O46" i="16" a="1"/>
  <c r="O46" i="16" s="1"/>
  <c r="O47" i="16" a="1"/>
  <c r="O47" i="16" s="1"/>
  <c r="O48" i="16" a="1"/>
  <c r="O48" i="16" s="1"/>
  <c r="O49" i="16" a="1"/>
  <c r="O49" i="16" s="1"/>
  <c r="O52" i="16" a="1"/>
  <c r="O52" i="16" s="1"/>
  <c r="O54" i="16" a="1"/>
  <c r="O54" i="16" s="1"/>
  <c r="O57" i="16" a="1"/>
  <c r="O57" i="16" s="1"/>
  <c r="O58" i="16" a="1"/>
  <c r="O58" i="16" s="1"/>
  <c r="O59" i="16" a="1"/>
  <c r="O59" i="16" s="1"/>
  <c r="O65" i="16" a="1"/>
  <c r="O65" i="16" s="1"/>
  <c r="O69" i="16" a="1"/>
  <c r="O69" i="16" s="1"/>
  <c r="O70" i="16" a="1"/>
  <c r="O70" i="16" s="1"/>
  <c r="O71" i="16" a="1"/>
  <c r="O71" i="16" s="1"/>
  <c r="O74" i="16" a="1"/>
  <c r="O74" i="16" s="1"/>
  <c r="O75" i="16" a="1"/>
  <c r="O75" i="16" s="1"/>
  <c r="N8" i="16" a="1"/>
  <c r="N8" i="16" s="1"/>
  <c r="N9" i="16" a="1"/>
  <c r="N9" i="16" s="1"/>
  <c r="N11" i="16" a="1"/>
  <c r="N11" i="16" s="1"/>
  <c r="N12" i="16" a="1"/>
  <c r="N12" i="16" s="1"/>
  <c r="N13" i="16" a="1"/>
  <c r="N13" i="16" s="1"/>
  <c r="N18" i="16" a="1"/>
  <c r="N18" i="16" s="1"/>
  <c r="N20" i="16" a="1"/>
  <c r="N20" i="16" s="1"/>
  <c r="N21" i="16" a="1"/>
  <c r="N21" i="16" s="1"/>
  <c r="N22" i="16" a="1"/>
  <c r="N22" i="16" s="1"/>
  <c r="N23" i="16" a="1"/>
  <c r="N23" i="16" s="1"/>
  <c r="N24" i="16" a="1"/>
  <c r="N24" i="16" s="1"/>
  <c r="N25" i="16" a="1"/>
  <c r="N25" i="16" s="1"/>
  <c r="N26" i="16" a="1"/>
  <c r="N26" i="16" s="1"/>
  <c r="N28" i="16" a="1"/>
  <c r="N28" i="16" s="1"/>
  <c r="N29" i="16" a="1"/>
  <c r="N29" i="16" s="1"/>
  <c r="N30" i="16" a="1"/>
  <c r="N30" i="16" s="1"/>
  <c r="N31" i="16" a="1"/>
  <c r="N31" i="16" s="1"/>
  <c r="N34" i="16" a="1"/>
  <c r="N34" i="16" s="1"/>
  <c r="N36" i="16" a="1"/>
  <c r="N36" i="16" s="1"/>
  <c r="N38" i="16" a="1"/>
  <c r="N38" i="16" s="1"/>
  <c r="N39" i="16" a="1"/>
  <c r="N39" i="16" s="1"/>
  <c r="N40" i="16" a="1"/>
  <c r="N40" i="16" s="1"/>
  <c r="N41" i="16" a="1"/>
  <c r="N41" i="16" s="1"/>
  <c r="N42" i="16" a="1"/>
  <c r="N42" i="16" s="1"/>
  <c r="N43" i="16" a="1"/>
  <c r="N43" i="16" s="1"/>
  <c r="N45" i="16" a="1"/>
  <c r="N45" i="16" s="1"/>
  <c r="N46" i="16" a="1"/>
  <c r="N46" i="16" s="1"/>
  <c r="N47" i="16" a="1"/>
  <c r="N47" i="16" s="1"/>
  <c r="N48" i="16" a="1"/>
  <c r="N48" i="16" s="1"/>
  <c r="N52" i="16" a="1"/>
  <c r="N52" i="16" s="1"/>
  <c r="N53" i="16" a="1"/>
  <c r="N53" i="16" s="1"/>
  <c r="N54" i="16" a="1"/>
  <c r="N54" i="16" s="1"/>
  <c r="N55" i="16" a="1"/>
  <c r="N55" i="16" s="1"/>
  <c r="N56" i="16" a="1"/>
  <c r="N56" i="16" s="1"/>
  <c r="N58" i="16" a="1"/>
  <c r="N58" i="16" s="1"/>
  <c r="N59" i="16" a="1"/>
  <c r="N59" i="16" s="1"/>
  <c r="N60" i="16" a="1"/>
  <c r="N60" i="16" s="1"/>
  <c r="N62" i="16" a="1"/>
  <c r="N62" i="16" s="1"/>
  <c r="N63" i="16" a="1"/>
  <c r="N63" i="16" s="1"/>
  <c r="N64" i="16" a="1"/>
  <c r="N64" i="16" s="1"/>
  <c r="N65" i="16" a="1"/>
  <c r="N65" i="16" s="1"/>
  <c r="N69" i="16" a="1"/>
  <c r="N69" i="16" s="1"/>
  <c r="N70" i="16" a="1"/>
  <c r="N70" i="16" s="1"/>
  <c r="N71" i="16" a="1"/>
  <c r="N71" i="16" s="1"/>
  <c r="N72" i="16" a="1"/>
  <c r="N72" i="16" s="1"/>
  <c r="N73" i="16" a="1"/>
  <c r="N73" i="16" s="1"/>
  <c r="N74" i="16" a="1"/>
  <c r="N74" i="16" s="1"/>
  <c r="N75" i="16" a="1"/>
  <c r="N75" i="16" s="1"/>
  <c r="N7" i="16" a="1"/>
  <c r="N7" i="16" s="1"/>
  <c r="M10" i="16" a="1"/>
  <c r="M10" i="16" s="1"/>
  <c r="M11" i="16" a="1"/>
  <c r="M11" i="16" s="1"/>
  <c r="M12" i="16" a="1"/>
  <c r="M12" i="16" s="1"/>
  <c r="M13" i="16" a="1"/>
  <c r="M13" i="16" s="1"/>
  <c r="M16" i="16" a="1"/>
  <c r="M16" i="16" s="1"/>
  <c r="M17" i="16" a="1"/>
  <c r="M17" i="16" s="1"/>
  <c r="M18" i="16" a="1"/>
  <c r="M18" i="16" s="1"/>
  <c r="M19" i="16" a="1"/>
  <c r="M19" i="16" s="1"/>
  <c r="M20" i="16" a="1"/>
  <c r="M20" i="16" s="1"/>
  <c r="M21" i="16" a="1"/>
  <c r="M21" i="16" s="1"/>
  <c r="M22" i="16" a="1"/>
  <c r="M22" i="16" s="1"/>
  <c r="M23" i="16" a="1"/>
  <c r="M23" i="16" s="1"/>
  <c r="M24" i="16" a="1"/>
  <c r="M24" i="16" s="1"/>
  <c r="M26" i="16" a="1"/>
  <c r="M26" i="16" s="1"/>
  <c r="M27" i="16" a="1"/>
  <c r="M27" i="16" s="1"/>
  <c r="M29" i="16" a="1"/>
  <c r="M29" i="16" s="1"/>
  <c r="M32" i="16" a="1"/>
  <c r="M32" i="16" s="1"/>
  <c r="M33" i="16" a="1"/>
  <c r="M33" i="16" s="1"/>
  <c r="M34" i="16" a="1"/>
  <c r="M34" i="16" s="1"/>
  <c r="M35" i="16" a="1"/>
  <c r="M35" i="16" s="1"/>
  <c r="M36" i="16" a="1"/>
  <c r="M36" i="16" s="1"/>
  <c r="M37" i="16" a="1"/>
  <c r="M37" i="16" s="1"/>
  <c r="M38" i="16" a="1"/>
  <c r="M38" i="16" s="1"/>
  <c r="M39" i="16" a="1"/>
  <c r="M39" i="16" s="1"/>
  <c r="M40" i="16" a="1"/>
  <c r="M40" i="16" s="1"/>
  <c r="M42" i="16" a="1"/>
  <c r="M42" i="16" s="1"/>
  <c r="M43" i="16" a="1"/>
  <c r="M43" i="16" s="1"/>
  <c r="M44" i="16" a="1"/>
  <c r="M44" i="16" s="1"/>
  <c r="M45" i="16" a="1"/>
  <c r="M45" i="16" s="1"/>
  <c r="M48" i="16" a="1"/>
  <c r="M48" i="16" s="1"/>
  <c r="M50" i="16" a="1"/>
  <c r="M50" i="16" s="1"/>
  <c r="M51" i="16" a="1"/>
  <c r="M51" i="16" s="1"/>
  <c r="M52" i="16" a="1"/>
  <c r="M52" i="16" s="1"/>
  <c r="M53" i="16" a="1"/>
  <c r="M53" i="16" s="1"/>
  <c r="M54" i="16" a="1"/>
  <c r="M54" i="16" s="1"/>
  <c r="M55" i="16" a="1"/>
  <c r="M55" i="16" s="1"/>
  <c r="M56" i="16" a="1"/>
  <c r="M56" i="16" s="1"/>
  <c r="M57" i="16" a="1"/>
  <c r="M57" i="16" s="1"/>
  <c r="M58" i="16" a="1"/>
  <c r="M58" i="16" s="1"/>
  <c r="M59" i="16" a="1"/>
  <c r="M59" i="16" s="1"/>
  <c r="M60" i="16" a="1"/>
  <c r="M60" i="16" s="1"/>
  <c r="M61" i="16" a="1"/>
  <c r="M61" i="16" s="1"/>
  <c r="M62" i="16" a="1"/>
  <c r="M62" i="16" s="1"/>
  <c r="M63" i="16" a="1"/>
  <c r="M63" i="16" s="1"/>
  <c r="M64" i="16" a="1"/>
  <c r="M64" i="16" s="1"/>
  <c r="M66" i="16" a="1"/>
  <c r="M66" i="16" s="1"/>
  <c r="M67" i="16" a="1"/>
  <c r="M67" i="16" s="1"/>
  <c r="M68" i="16" a="1"/>
  <c r="M68" i="16" s="1"/>
  <c r="M69" i="16" a="1"/>
  <c r="M69" i="16" s="1"/>
  <c r="M70" i="16" a="1"/>
  <c r="M70" i="16" s="1"/>
  <c r="M71" i="16" a="1"/>
  <c r="M71" i="16" s="1"/>
  <c r="M72" i="16" a="1"/>
  <c r="M72" i="16" s="1"/>
  <c r="M73" i="16" a="1"/>
  <c r="M73" i="16" s="1"/>
  <c r="M74" i="16" a="1"/>
  <c r="M74" i="16" s="1"/>
  <c r="M75" i="16" a="1"/>
  <c r="M75" i="16" s="1"/>
  <c r="M7" i="16" a="1"/>
  <c r="M7" i="16" s="1"/>
  <c r="L8" i="16" a="1"/>
  <c r="L8" i="16" s="1"/>
  <c r="L9" i="16" a="1"/>
  <c r="L9" i="16" s="1"/>
  <c r="L10" i="16" a="1"/>
  <c r="L10" i="16" s="1"/>
  <c r="L11" i="16" a="1"/>
  <c r="L11" i="16" s="1"/>
  <c r="L13" i="16" a="1"/>
  <c r="L13" i="16" s="1"/>
  <c r="L14" i="16" a="1"/>
  <c r="L14" i="16" s="1"/>
  <c r="L15" i="16" a="1"/>
  <c r="L15" i="16" s="1"/>
  <c r="L16" i="16" a="1"/>
  <c r="L16" i="16" s="1"/>
  <c r="L17" i="16" a="1"/>
  <c r="L17" i="16" s="1"/>
  <c r="L18" i="16" a="1"/>
  <c r="L18" i="16" s="1"/>
  <c r="L19" i="16" a="1"/>
  <c r="L19" i="16" s="1"/>
  <c r="L20" i="16" a="1"/>
  <c r="L20" i="16" s="1"/>
  <c r="L21" i="16" a="1"/>
  <c r="L21" i="16" s="1"/>
  <c r="L22" i="16" a="1"/>
  <c r="L22" i="16" s="1"/>
  <c r="L23" i="16" a="1"/>
  <c r="L23" i="16" s="1"/>
  <c r="L24" i="16" a="1"/>
  <c r="L24" i="16" s="1"/>
  <c r="L25" i="16" a="1"/>
  <c r="L25" i="16" s="1"/>
  <c r="L26" i="16" a="1"/>
  <c r="L26" i="16" s="1"/>
  <c r="L27" i="16" a="1"/>
  <c r="L27" i="16" s="1"/>
  <c r="L29" i="16" a="1"/>
  <c r="L29" i="16" s="1"/>
  <c r="L30" i="16" a="1"/>
  <c r="L30" i="16" s="1"/>
  <c r="L31" i="16" a="1"/>
  <c r="L31" i="16" s="1"/>
  <c r="L32" i="16" a="1"/>
  <c r="L32" i="16" s="1"/>
  <c r="L33" i="16" a="1"/>
  <c r="L33" i="16" s="1"/>
  <c r="L34" i="16" a="1"/>
  <c r="L34" i="16" s="1"/>
  <c r="L35" i="16" a="1"/>
  <c r="L35" i="16" s="1"/>
  <c r="L36" i="16" a="1"/>
  <c r="L36" i="16" s="1"/>
  <c r="L37" i="16" a="1"/>
  <c r="L37" i="16" s="1"/>
  <c r="L38" i="16" a="1"/>
  <c r="L38" i="16" s="1"/>
  <c r="L39" i="16" a="1"/>
  <c r="L39" i="16" s="1"/>
  <c r="L40" i="16" a="1"/>
  <c r="L40" i="16" s="1"/>
  <c r="L41" i="16" a="1"/>
  <c r="L41" i="16" s="1"/>
  <c r="L42" i="16" a="1"/>
  <c r="L42" i="16" s="1"/>
  <c r="L43" i="16" a="1"/>
  <c r="L43" i="16" s="1"/>
  <c r="L45" i="16" a="1"/>
  <c r="L45" i="16" s="1"/>
  <c r="L46" i="16" a="1"/>
  <c r="L46" i="16" s="1"/>
  <c r="L47" i="16" a="1"/>
  <c r="L47" i="16" s="1"/>
  <c r="L48" i="16" a="1"/>
  <c r="L48" i="16" s="1"/>
  <c r="L49" i="16" a="1"/>
  <c r="L49" i="16" s="1"/>
  <c r="L50" i="16" a="1"/>
  <c r="L50" i="16" s="1"/>
  <c r="L51" i="16" a="1"/>
  <c r="L51" i="16" s="1"/>
  <c r="L52" i="16" a="1"/>
  <c r="L52" i="16" s="1"/>
  <c r="L53" i="16" a="1"/>
  <c r="L53" i="16" s="1"/>
  <c r="L54" i="16" a="1"/>
  <c r="L54" i="16" s="1"/>
  <c r="L55" i="16" a="1"/>
  <c r="L55" i="16" s="1"/>
  <c r="L56" i="16" a="1"/>
  <c r="L56" i="16" s="1"/>
  <c r="L57" i="16" a="1"/>
  <c r="L57" i="16" s="1"/>
  <c r="L58" i="16" a="1"/>
  <c r="L58" i="16" s="1"/>
  <c r="L59" i="16" a="1"/>
  <c r="L59" i="16" s="1"/>
  <c r="L61" i="16" a="1"/>
  <c r="L61" i="16" s="1"/>
  <c r="L62" i="16" a="1"/>
  <c r="L62" i="16" s="1"/>
  <c r="L63" i="16" a="1"/>
  <c r="L63" i="16" s="1"/>
  <c r="L64" i="16" a="1"/>
  <c r="L64" i="16" s="1"/>
  <c r="L65" i="16" a="1"/>
  <c r="L65" i="16" s="1"/>
  <c r="L66" i="16" a="1"/>
  <c r="L66" i="16" s="1"/>
  <c r="L67" i="16" a="1"/>
  <c r="L67" i="16" s="1"/>
  <c r="L68" i="16" a="1"/>
  <c r="L68" i="16" s="1"/>
  <c r="L69" i="16" a="1"/>
  <c r="L69" i="16" s="1"/>
  <c r="L70" i="16" a="1"/>
  <c r="L70" i="16" s="1"/>
  <c r="L71" i="16" a="1"/>
  <c r="L71" i="16" s="1"/>
  <c r="L72" i="16" a="1"/>
  <c r="L72" i="16" s="1"/>
  <c r="L73" i="16" a="1"/>
  <c r="L73" i="16" s="1"/>
  <c r="L74" i="16" a="1"/>
  <c r="L74" i="16" s="1"/>
  <c r="L75" i="16" a="1"/>
  <c r="L75" i="16" s="1"/>
  <c r="R13" i="13" a="1"/>
  <c r="R13" i="13" s="1"/>
  <c r="R18" i="13" a="1"/>
  <c r="R18" i="13" s="1"/>
  <c r="R19" i="13" a="1"/>
  <c r="R19" i="13" s="1"/>
  <c r="R30" i="13" a="1"/>
  <c r="R30" i="13" s="1"/>
  <c r="R35" i="13" a="1"/>
  <c r="R35" i="13" s="1"/>
  <c r="R36" i="13" a="1"/>
  <c r="R36" i="13" s="1"/>
  <c r="R47" i="13" a="1"/>
  <c r="R47" i="13" s="1"/>
  <c r="R52" i="13" a="1"/>
  <c r="R52" i="13" s="1"/>
  <c r="R53" i="13" a="1"/>
  <c r="R53" i="13" s="1"/>
  <c r="O10" i="13" a="1"/>
  <c r="O10" i="13" s="1"/>
  <c r="O15" i="13" a="1"/>
  <c r="O15" i="13" s="1"/>
  <c r="O17" i="13" a="1"/>
  <c r="O17" i="13" s="1"/>
  <c r="O27" i="13" a="1"/>
  <c r="O27" i="13" s="1"/>
  <c r="O33" i="13" a="1"/>
  <c r="O33" i="13" s="1"/>
  <c r="O34" i="13" a="1"/>
  <c r="O34" i="13" s="1"/>
  <c r="O44" i="13" a="1"/>
  <c r="O44" i="13" s="1"/>
  <c r="O50" i="13" a="1"/>
  <c r="O50" i="13" s="1"/>
  <c r="O51" i="13" a="1"/>
  <c r="O51" i="13" s="1"/>
  <c r="N7" i="13" a="1"/>
  <c r="N7" i="13" s="1"/>
  <c r="N13" i="13" a="1"/>
  <c r="N13" i="13" s="1"/>
  <c r="N14" i="13" a="1"/>
  <c r="N14" i="13" s="1"/>
  <c r="N24" i="13" a="1"/>
  <c r="N24" i="13" s="1"/>
  <c r="N30" i="13" a="1"/>
  <c r="N30" i="13" s="1"/>
  <c r="N31" i="13" a="1"/>
  <c r="N31" i="13" s="1"/>
  <c r="N41" i="13" a="1"/>
  <c r="N41" i="13" s="1"/>
  <c r="N47" i="13" a="1"/>
  <c r="N47" i="13" s="1"/>
  <c r="N48" i="13" a="1"/>
  <c r="N48" i="13" s="1"/>
  <c r="N59" i="13" a="1"/>
  <c r="N59" i="13" s="1"/>
  <c r="M10" i="13" a="1"/>
  <c r="M10" i="13" s="1"/>
  <c r="M11" i="13" a="1"/>
  <c r="M11" i="13" s="1"/>
  <c r="M22" i="13" a="1"/>
  <c r="M22" i="13" s="1"/>
  <c r="M27" i="13" a="1"/>
  <c r="M27" i="13" s="1"/>
  <c r="M28" i="13" a="1"/>
  <c r="M28" i="13" s="1"/>
  <c r="M39" i="13" a="1"/>
  <c r="M39" i="13" s="1"/>
  <c r="M44" i="13" a="1"/>
  <c r="M44" i="13" s="1"/>
  <c r="M45" i="13" a="1"/>
  <c r="M45" i="13" s="1"/>
  <c r="M56" i="13" a="1"/>
  <c r="M56" i="13" s="1"/>
  <c r="L7" i="13" a="1"/>
  <c r="L7" i="13" s="1"/>
  <c r="L8" i="13" a="1"/>
  <c r="L8" i="13" s="1"/>
  <c r="L19" i="13" a="1"/>
  <c r="L19" i="13" s="1"/>
  <c r="L24" i="13" a="1"/>
  <c r="L24" i="13" s="1"/>
  <c r="L25" i="13" a="1"/>
  <c r="L25" i="13" s="1"/>
  <c r="L36" i="13" a="1"/>
  <c r="L36" i="13" s="1"/>
  <c r="L41" i="13" a="1"/>
  <c r="L41" i="13" s="1"/>
  <c r="L42" i="13" a="1"/>
  <c r="L42" i="13" s="1"/>
  <c r="L53" i="13" a="1"/>
  <c r="L53" i="13" s="1"/>
  <c r="L58" i="13" a="1"/>
  <c r="L58" i="13" s="1"/>
  <c r="L59" i="13" a="1"/>
  <c r="L59" i="13" s="1"/>
  <c r="E2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7" i="4"/>
  <c r="M8" i="29"/>
  <c r="M9" i="29"/>
  <c r="M10" i="29"/>
  <c r="M7" i="29"/>
  <c r="L8" i="29"/>
  <c r="L9" i="29"/>
  <c r="L10" i="29"/>
  <c r="L7" i="29"/>
  <c r="K8" i="29"/>
  <c r="K9" i="29"/>
  <c r="K10" i="29"/>
  <c r="K7" i="29"/>
  <c r="J8" i="29"/>
  <c r="J9" i="29"/>
  <c r="J10" i="29"/>
  <c r="J7" i="29"/>
  <c r="I8" i="29"/>
  <c r="I9" i="29"/>
  <c r="I10" i="29"/>
  <c r="I7" i="29"/>
  <c r="M8" i="28"/>
  <c r="M9" i="28"/>
  <c r="M10" i="28"/>
  <c r="M11" i="28"/>
  <c r="M12" i="28"/>
  <c r="M7" i="28"/>
  <c r="L8" i="28"/>
  <c r="L9" i="28"/>
  <c r="L10" i="28"/>
  <c r="L11" i="28"/>
  <c r="L12" i="28"/>
  <c r="L7" i="28"/>
  <c r="K8" i="28"/>
  <c r="K9" i="28"/>
  <c r="K10" i="28"/>
  <c r="K11" i="28"/>
  <c r="K12" i="28"/>
  <c r="K7" i="28"/>
  <c r="J8" i="28"/>
  <c r="J9" i="28"/>
  <c r="J10" i="28"/>
  <c r="J11" i="28"/>
  <c r="J12" i="28"/>
  <c r="J7" i="28"/>
  <c r="I8" i="28"/>
  <c r="I9" i="28"/>
  <c r="I10" i="28"/>
  <c r="I11" i="28"/>
  <c r="I12" i="28"/>
  <c r="I7" i="28"/>
  <c r="G24" i="26" a="1"/>
  <c r="G24" i="26" s="1"/>
  <c r="G25" i="26" a="1"/>
  <c r="G25" i="26" s="1"/>
  <c r="G26" i="26" a="1"/>
  <c r="G26" i="26" s="1"/>
  <c r="G27" i="26" a="1"/>
  <c r="G27" i="26" s="1"/>
  <c r="G29" i="26" a="1"/>
  <c r="G29" i="26" s="1"/>
  <c r="G30" i="26" a="1"/>
  <c r="G30" i="26" s="1"/>
  <c r="G32" i="26" a="1"/>
  <c r="G32" i="26" s="1"/>
  <c r="G33" i="26" a="1"/>
  <c r="G33" i="26" s="1"/>
  <c r="G34" i="26" a="1"/>
  <c r="G34" i="26" s="1"/>
  <c r="G36" i="26" a="1"/>
  <c r="G36" i="26" s="1"/>
  <c r="G37" i="26" a="1"/>
  <c r="G37" i="26" s="1"/>
  <c r="G22" i="26" a="1"/>
  <c r="G22" i="26" s="1"/>
  <c r="G16" i="26" a="1"/>
  <c r="G16" i="26" s="1"/>
  <c r="G15" i="26" a="1"/>
  <c r="G15" i="26" s="1"/>
  <c r="G18" i="26" a="1"/>
  <c r="G18" i="26" s="1"/>
  <c r="G19" i="26" a="1"/>
  <c r="G19" i="26" s="1"/>
  <c r="G20" i="26" a="1"/>
  <c r="G20" i="26" s="1"/>
  <c r="G21" i="26" a="1"/>
  <c r="G21" i="26" s="1"/>
  <c r="G17" i="26" a="1"/>
  <c r="G17" i="26" s="1"/>
  <c r="G14" i="26" a="1"/>
  <c r="G14" i="26" s="1"/>
  <c r="G13" i="26" a="1"/>
  <c r="G13" i="26" s="1"/>
  <c r="H11" i="22" a="1"/>
  <c r="H11" i="22" s="1"/>
  <c r="J43" i="20" a="1"/>
  <c r="J43" i="20" s="1"/>
  <c r="J44" i="20" a="1"/>
  <c r="J44" i="20" s="1"/>
  <c r="J45" i="20" a="1"/>
  <c r="J45" i="20" s="1"/>
  <c r="J42" i="20" a="1"/>
  <c r="J42" i="20" s="1"/>
  <c r="I43" i="20" a="1"/>
  <c r="I43" i="20" s="1"/>
  <c r="I44" i="20" a="1"/>
  <c r="I44" i="20" s="1"/>
  <c r="I45" i="20" a="1"/>
  <c r="I45" i="20" s="1"/>
  <c r="I42" i="20" a="1"/>
  <c r="I42" i="20" s="1"/>
  <c r="H43" i="20" a="1"/>
  <c r="H43" i="20" s="1"/>
  <c r="H44" i="20" a="1"/>
  <c r="H44" i="20" s="1"/>
  <c r="H45" i="20" a="1"/>
  <c r="H45" i="20" s="1"/>
  <c r="H42" i="20" a="1"/>
  <c r="H42" i="20" s="1"/>
  <c r="J8" i="20" a="1"/>
  <c r="J8" i="20" s="1"/>
  <c r="J9" i="20" a="1"/>
  <c r="J9" i="20" s="1"/>
  <c r="J10" i="20" a="1"/>
  <c r="J10" i="20" s="1"/>
  <c r="J11" i="20" a="1"/>
  <c r="J11" i="20" s="1"/>
  <c r="J12" i="20" a="1"/>
  <c r="J12" i="20" s="1"/>
  <c r="J13" i="20" a="1"/>
  <c r="J13" i="20" s="1"/>
  <c r="J14" i="20" a="1"/>
  <c r="J14" i="20" s="1"/>
  <c r="J15" i="20" a="1"/>
  <c r="J15" i="20" s="1"/>
  <c r="J16" i="20" a="1"/>
  <c r="J16" i="20" s="1"/>
  <c r="J17" i="20" a="1"/>
  <c r="J17" i="20" s="1"/>
  <c r="J18" i="20" a="1"/>
  <c r="J18" i="20" s="1"/>
  <c r="J19" i="20" a="1"/>
  <c r="J19" i="20" s="1"/>
  <c r="J20" i="20" a="1"/>
  <c r="J20" i="20" s="1"/>
  <c r="J21" i="20" a="1"/>
  <c r="J21" i="20" s="1"/>
  <c r="J22" i="20" a="1"/>
  <c r="J22" i="20" s="1"/>
  <c r="J23" i="20" a="1"/>
  <c r="J23" i="20" s="1"/>
  <c r="J24" i="20" a="1"/>
  <c r="J24" i="20" s="1"/>
  <c r="J25" i="20" a="1"/>
  <c r="J25" i="20" s="1"/>
  <c r="J26" i="20" a="1"/>
  <c r="J26" i="20" s="1"/>
  <c r="J27" i="20" a="1"/>
  <c r="J27" i="20" s="1"/>
  <c r="J28" i="20" a="1"/>
  <c r="J28" i="20" s="1"/>
  <c r="J29" i="20" a="1"/>
  <c r="J29" i="20" s="1"/>
  <c r="J30" i="20" a="1"/>
  <c r="J30" i="20" s="1"/>
  <c r="J31" i="20" a="1"/>
  <c r="J31" i="20" s="1"/>
  <c r="J32" i="20" a="1"/>
  <c r="J32" i="20" s="1"/>
  <c r="J33" i="20" a="1"/>
  <c r="J33" i="20" s="1"/>
  <c r="J34" i="20" a="1"/>
  <c r="J34" i="20" s="1"/>
  <c r="J35" i="20" a="1"/>
  <c r="J35" i="20" s="1"/>
  <c r="J7" i="20" a="1"/>
  <c r="J7" i="20" s="1"/>
  <c r="I8" i="20" a="1"/>
  <c r="I8" i="20" s="1"/>
  <c r="I9" i="20" a="1"/>
  <c r="I9" i="20" s="1"/>
  <c r="I10" i="20" a="1"/>
  <c r="I10" i="20" s="1"/>
  <c r="I11" i="20" a="1"/>
  <c r="I11" i="20" s="1"/>
  <c r="I12" i="20" a="1"/>
  <c r="I12" i="20" s="1"/>
  <c r="I13" i="20" a="1"/>
  <c r="I13" i="20" s="1"/>
  <c r="I14" i="20" a="1"/>
  <c r="I14" i="20" s="1"/>
  <c r="I15" i="20" a="1"/>
  <c r="I15" i="20" s="1"/>
  <c r="I16" i="20" a="1"/>
  <c r="I16" i="20" s="1"/>
  <c r="I17" i="20" a="1"/>
  <c r="I17" i="20" s="1"/>
  <c r="I18" i="20" a="1"/>
  <c r="I18" i="20" s="1"/>
  <c r="I19" i="20" a="1"/>
  <c r="I19" i="20" s="1"/>
  <c r="I20" i="20" a="1"/>
  <c r="I20" i="20" s="1"/>
  <c r="I21" i="20" a="1"/>
  <c r="I21" i="20" s="1"/>
  <c r="I22" i="20" a="1"/>
  <c r="I22" i="20" s="1"/>
  <c r="I23" i="20" a="1"/>
  <c r="I23" i="20" s="1"/>
  <c r="I24" i="20" a="1"/>
  <c r="I24" i="20" s="1"/>
  <c r="I25" i="20" a="1"/>
  <c r="I25" i="20" s="1"/>
  <c r="I26" i="20" a="1"/>
  <c r="I26" i="20" s="1"/>
  <c r="I27" i="20" a="1"/>
  <c r="I27" i="20" s="1"/>
  <c r="I28" i="20" a="1"/>
  <c r="I28" i="20" s="1"/>
  <c r="I29" i="20" a="1"/>
  <c r="I29" i="20" s="1"/>
  <c r="I30" i="20" a="1"/>
  <c r="I30" i="20" s="1"/>
  <c r="I31" i="20" a="1"/>
  <c r="I31" i="20" s="1"/>
  <c r="I32" i="20" a="1"/>
  <c r="I32" i="20" s="1"/>
  <c r="I33" i="20" a="1"/>
  <c r="I33" i="20" s="1"/>
  <c r="I34" i="20" a="1"/>
  <c r="I34" i="20" s="1"/>
  <c r="I35" i="20" a="1"/>
  <c r="I35" i="20" s="1"/>
  <c r="I7" i="20" a="1"/>
  <c r="I7" i="20" s="1"/>
  <c r="H8" i="20" a="1"/>
  <c r="H8" i="20" s="1"/>
  <c r="H9" i="20" a="1"/>
  <c r="H9" i="20" s="1"/>
  <c r="H10" i="20" a="1"/>
  <c r="H10" i="20" s="1"/>
  <c r="H11" i="20" a="1"/>
  <c r="H11" i="20" s="1"/>
  <c r="H12" i="20" a="1"/>
  <c r="H12" i="20" s="1"/>
  <c r="H13" i="20" a="1"/>
  <c r="H13" i="20" s="1"/>
  <c r="H14" i="20" a="1"/>
  <c r="H14" i="20" s="1"/>
  <c r="H15" i="20" a="1"/>
  <c r="H15" i="20" s="1"/>
  <c r="H16" i="20" a="1"/>
  <c r="H16" i="20" s="1"/>
  <c r="H17" i="20" a="1"/>
  <c r="H17" i="20" s="1"/>
  <c r="H18" i="20" a="1"/>
  <c r="H18" i="20" s="1"/>
  <c r="H19" i="20" a="1"/>
  <c r="H19" i="20" s="1"/>
  <c r="H20" i="20" a="1"/>
  <c r="H20" i="20" s="1"/>
  <c r="H21" i="20" a="1"/>
  <c r="H21" i="20" s="1"/>
  <c r="H22" i="20" a="1"/>
  <c r="H22" i="20" s="1"/>
  <c r="H23" i="20" a="1"/>
  <c r="H23" i="20" s="1"/>
  <c r="H24" i="20" a="1"/>
  <c r="H24" i="20" s="1"/>
  <c r="H25" i="20" a="1"/>
  <c r="H25" i="20" s="1"/>
  <c r="H26" i="20" a="1"/>
  <c r="H26" i="20" s="1"/>
  <c r="H27" i="20" a="1"/>
  <c r="H27" i="20" s="1"/>
  <c r="H28" i="20" a="1"/>
  <c r="H28" i="20" s="1"/>
  <c r="H29" i="20" a="1"/>
  <c r="H29" i="20" s="1"/>
  <c r="H30" i="20" a="1"/>
  <c r="H30" i="20" s="1"/>
  <c r="H31" i="20" a="1"/>
  <c r="H31" i="20" s="1"/>
  <c r="H32" i="20" a="1"/>
  <c r="H32" i="20" s="1"/>
  <c r="H33" i="20" a="1"/>
  <c r="H33" i="20" s="1"/>
  <c r="H34" i="20" a="1"/>
  <c r="H34" i="20" s="1"/>
  <c r="H35" i="20" a="1"/>
  <c r="H35" i="20" s="1"/>
  <c r="H7" i="20" a="1"/>
  <c r="H7" i="20" s="1"/>
  <c r="Q8" i="13" a="1"/>
  <c r="Q8" i="13" s="1"/>
  <c r="Q9" i="13" a="1"/>
  <c r="Q9" i="13" s="1"/>
  <c r="Q10" i="13" a="1"/>
  <c r="Q10" i="13" s="1"/>
  <c r="Q20" i="13" a="1"/>
  <c r="Q20" i="13" s="1"/>
  <c r="Q24" i="13" a="1"/>
  <c r="Q24" i="13" s="1"/>
  <c r="Q25" i="13" a="1"/>
  <c r="Q25" i="13" s="1"/>
  <c r="Q26" i="13" a="1"/>
  <c r="Q26" i="13" s="1"/>
  <c r="Q36" i="13" a="1"/>
  <c r="Q36" i="13" s="1"/>
  <c r="Q40" i="13" a="1"/>
  <c r="Q40" i="13" s="1"/>
  <c r="Q41" i="13" a="1"/>
  <c r="Q41" i="13" s="1"/>
  <c r="Q42" i="13" a="1"/>
  <c r="Q42" i="13" s="1"/>
  <c r="Q52" i="13" a="1"/>
  <c r="Q52" i="13" s="1"/>
  <c r="Q56" i="13" a="1"/>
  <c r="Q56" i="13" s="1"/>
  <c r="Q57" i="13" a="1"/>
  <c r="Q57" i="13" s="1"/>
  <c r="Q58" i="13" a="1"/>
  <c r="Q58" i="13" s="1"/>
  <c r="P14" i="13" a="1"/>
  <c r="P14" i="13" s="1"/>
  <c r="P18" i="13" a="1"/>
  <c r="P18" i="13" s="1"/>
  <c r="P19" i="13" a="1"/>
  <c r="P19" i="13" s="1"/>
  <c r="P20" i="13" a="1"/>
  <c r="P20" i="13" s="1"/>
  <c r="P30" i="13" a="1"/>
  <c r="P30" i="13" s="1"/>
  <c r="P34" i="13" a="1"/>
  <c r="P34" i="13" s="1"/>
  <c r="P35" i="13" a="1"/>
  <c r="P35" i="13" s="1"/>
  <c r="P36" i="13" a="1"/>
  <c r="P36" i="13" s="1"/>
  <c r="P46" i="13" a="1"/>
  <c r="P46" i="13" s="1"/>
  <c r="P50" i="13" a="1"/>
  <c r="P50" i="13" s="1"/>
  <c r="P51" i="13" a="1"/>
  <c r="P51" i="13" s="1"/>
  <c r="P52" i="13" a="1"/>
  <c r="P52" i="13" s="1"/>
  <c r="L28" i="18" a="1"/>
  <c r="L28" i="18" s="1"/>
  <c r="L29" i="18" a="1"/>
  <c r="L29" i="18" s="1"/>
  <c r="L27" i="18" a="1"/>
  <c r="L27" i="18" s="1"/>
  <c r="R8" i="18" a="1"/>
  <c r="R8" i="18" s="1"/>
  <c r="R9" i="18" a="1"/>
  <c r="R9" i="18" s="1"/>
  <c r="R10" i="18" a="1"/>
  <c r="R10" i="18" s="1"/>
  <c r="R11" i="18" a="1"/>
  <c r="R11" i="18" s="1"/>
  <c r="R12" i="18" a="1"/>
  <c r="R12" i="18" s="1"/>
  <c r="R13" i="18" a="1"/>
  <c r="R13" i="18" s="1"/>
  <c r="R14" i="18" a="1"/>
  <c r="R14" i="18" s="1"/>
  <c r="R15" i="18" a="1"/>
  <c r="R15" i="18" s="1"/>
  <c r="R16" i="18" a="1"/>
  <c r="R16" i="18" s="1"/>
  <c r="R17" i="18" a="1"/>
  <c r="R17" i="18" s="1"/>
  <c r="R18" i="18" a="1"/>
  <c r="R18" i="18" s="1"/>
  <c r="R19" i="18" a="1"/>
  <c r="R19" i="18" s="1"/>
  <c r="R20" i="18" a="1"/>
  <c r="R20" i="18" s="1"/>
  <c r="R21" i="18" a="1"/>
  <c r="R21" i="18" s="1"/>
  <c r="R22" i="18" a="1"/>
  <c r="R22" i="18" s="1"/>
  <c r="R23" i="18" a="1"/>
  <c r="R23" i="18" s="1"/>
  <c r="R7" i="18" a="1"/>
  <c r="R7" i="18" s="1"/>
  <c r="Q8" i="18" a="1"/>
  <c r="Q8" i="18" s="1"/>
  <c r="Q9" i="18" a="1"/>
  <c r="Q9" i="18" s="1"/>
  <c r="Q10" i="18" a="1"/>
  <c r="Q10" i="18" s="1"/>
  <c r="Q11" i="18" a="1"/>
  <c r="Q11" i="18" s="1"/>
  <c r="Q12" i="18" a="1"/>
  <c r="Q12" i="18" s="1"/>
  <c r="Q13" i="18" a="1"/>
  <c r="Q13" i="18" s="1"/>
  <c r="Q14" i="18" a="1"/>
  <c r="Q14" i="18" s="1"/>
  <c r="Q15" i="18" a="1"/>
  <c r="Q15" i="18" s="1"/>
  <c r="Q16" i="18" a="1"/>
  <c r="Q16" i="18" s="1"/>
  <c r="Q17" i="18" a="1"/>
  <c r="Q17" i="18" s="1"/>
  <c r="Q18" i="18" a="1"/>
  <c r="Q18" i="18" s="1"/>
  <c r="Q19" i="18" a="1"/>
  <c r="Q19" i="18" s="1"/>
  <c r="Q20" i="18" a="1"/>
  <c r="Q20" i="18" s="1"/>
  <c r="Q21" i="18" a="1"/>
  <c r="Q21" i="18" s="1"/>
  <c r="Q22" i="18" a="1"/>
  <c r="Q22" i="18" s="1"/>
  <c r="Q23" i="18" a="1"/>
  <c r="Q23" i="18" s="1"/>
  <c r="Q7" i="18" a="1"/>
  <c r="Q7" i="18" s="1"/>
  <c r="P8" i="18" a="1"/>
  <c r="P8" i="18" s="1"/>
  <c r="P9" i="18" a="1"/>
  <c r="P9" i="18" s="1"/>
  <c r="P10" i="18" a="1"/>
  <c r="P10" i="18" s="1"/>
  <c r="P11" i="18" a="1"/>
  <c r="P11" i="18" s="1"/>
  <c r="P12" i="18" a="1"/>
  <c r="P12" i="18" s="1"/>
  <c r="P13" i="18" a="1"/>
  <c r="P13" i="18" s="1"/>
  <c r="P14" i="18" a="1"/>
  <c r="P14" i="18" s="1"/>
  <c r="P15" i="18" a="1"/>
  <c r="P15" i="18" s="1"/>
  <c r="P16" i="18" a="1"/>
  <c r="P16" i="18" s="1"/>
  <c r="P17" i="18" a="1"/>
  <c r="P17" i="18" s="1"/>
  <c r="P18" i="18" a="1"/>
  <c r="P18" i="18" s="1"/>
  <c r="P19" i="18" a="1"/>
  <c r="P19" i="18" s="1"/>
  <c r="P20" i="18" a="1"/>
  <c r="P20" i="18" s="1"/>
  <c r="P21" i="18" a="1"/>
  <c r="P21" i="18" s="1"/>
  <c r="P22" i="18" a="1"/>
  <c r="P22" i="18" s="1"/>
  <c r="P23" i="18" a="1"/>
  <c r="P23" i="18" s="1"/>
  <c r="P7" i="18" a="1"/>
  <c r="P7" i="18" s="1"/>
  <c r="O8" i="18" a="1"/>
  <c r="O8" i="18" s="1"/>
  <c r="O9" i="18" a="1"/>
  <c r="O9" i="18" s="1"/>
  <c r="O10" i="18" a="1"/>
  <c r="O10" i="18" s="1"/>
  <c r="O11" i="18" a="1"/>
  <c r="O11" i="18" s="1"/>
  <c r="O12" i="18" a="1"/>
  <c r="O12" i="18" s="1"/>
  <c r="O13" i="18" a="1"/>
  <c r="O13" i="18" s="1"/>
  <c r="O14" i="18" a="1"/>
  <c r="O14" i="18" s="1"/>
  <c r="O15" i="18" a="1"/>
  <c r="O15" i="18" s="1"/>
  <c r="O16" i="18" a="1"/>
  <c r="O16" i="18" s="1"/>
  <c r="O17" i="18" a="1"/>
  <c r="O17" i="18" s="1"/>
  <c r="O18" i="18" a="1"/>
  <c r="O18" i="18" s="1"/>
  <c r="O19" i="18" a="1"/>
  <c r="O19" i="18" s="1"/>
  <c r="O20" i="18" a="1"/>
  <c r="O20" i="18" s="1"/>
  <c r="O21" i="18" a="1"/>
  <c r="O21" i="18" s="1"/>
  <c r="O22" i="18" a="1"/>
  <c r="O22" i="18" s="1"/>
  <c r="O23" i="18" a="1"/>
  <c r="O23" i="18" s="1"/>
  <c r="O7" i="18" a="1"/>
  <c r="O7" i="18" s="1"/>
  <c r="N8" i="18" a="1"/>
  <c r="N8" i="18" s="1"/>
  <c r="N9" i="18" a="1"/>
  <c r="N9" i="18" s="1"/>
  <c r="N10" i="18" a="1"/>
  <c r="N10" i="18" s="1"/>
  <c r="N11" i="18" a="1"/>
  <c r="N11" i="18" s="1"/>
  <c r="N12" i="18" a="1"/>
  <c r="N12" i="18" s="1"/>
  <c r="N13" i="18" a="1"/>
  <c r="N13" i="18" s="1"/>
  <c r="N14" i="18" a="1"/>
  <c r="N14" i="18" s="1"/>
  <c r="N15" i="18" a="1"/>
  <c r="N15" i="18" s="1"/>
  <c r="N16" i="18" a="1"/>
  <c r="N16" i="18" s="1"/>
  <c r="N17" i="18" a="1"/>
  <c r="N17" i="18" s="1"/>
  <c r="N18" i="18" a="1"/>
  <c r="N18" i="18" s="1"/>
  <c r="N19" i="18" a="1"/>
  <c r="N19" i="18" s="1"/>
  <c r="N20" i="18" a="1"/>
  <c r="N20" i="18" s="1"/>
  <c r="N21" i="18" a="1"/>
  <c r="N21" i="18" s="1"/>
  <c r="N22" i="18" a="1"/>
  <c r="N22" i="18" s="1"/>
  <c r="N23" i="18" a="1"/>
  <c r="N23" i="18" s="1"/>
  <c r="N7" i="18" a="1"/>
  <c r="N7" i="18" s="1"/>
  <c r="M8" i="18" a="1"/>
  <c r="M8" i="18" s="1"/>
  <c r="M9" i="18" a="1"/>
  <c r="M9" i="18" s="1"/>
  <c r="M10" i="18" a="1"/>
  <c r="M10" i="18" s="1"/>
  <c r="M11" i="18" a="1"/>
  <c r="M11" i="18" s="1"/>
  <c r="M12" i="18" a="1"/>
  <c r="M12" i="18" s="1"/>
  <c r="M13" i="18" a="1"/>
  <c r="M13" i="18" s="1"/>
  <c r="M14" i="18" a="1"/>
  <c r="M14" i="18" s="1"/>
  <c r="M15" i="18" a="1"/>
  <c r="M15" i="18" s="1"/>
  <c r="M16" i="18" a="1"/>
  <c r="M16" i="18" s="1"/>
  <c r="M17" i="18" a="1"/>
  <c r="M17" i="18" s="1"/>
  <c r="M18" i="18" a="1"/>
  <c r="M18" i="18" s="1"/>
  <c r="M19" i="18" a="1"/>
  <c r="M19" i="18" s="1"/>
  <c r="M20" i="18" a="1"/>
  <c r="M20" i="18" s="1"/>
  <c r="M21" i="18" a="1"/>
  <c r="M21" i="18" s="1"/>
  <c r="M22" i="18" a="1"/>
  <c r="M22" i="18" s="1"/>
  <c r="M23" i="18" a="1"/>
  <c r="M23" i="18" s="1"/>
  <c r="M7" i="18" a="1"/>
  <c r="M7" i="18" s="1"/>
  <c r="L8" i="18" a="1"/>
  <c r="L8" i="18" s="1"/>
  <c r="L9" i="18" a="1"/>
  <c r="L9" i="18" s="1"/>
  <c r="L10" i="18" a="1"/>
  <c r="L10" i="18" s="1"/>
  <c r="L11" i="18" a="1"/>
  <c r="L11" i="18" s="1"/>
  <c r="L12" i="18" a="1"/>
  <c r="L12" i="18" s="1"/>
  <c r="L13" i="18" a="1"/>
  <c r="L13" i="18" s="1"/>
  <c r="L14" i="18" a="1"/>
  <c r="L14" i="18" s="1"/>
  <c r="L15" i="18" a="1"/>
  <c r="L15" i="18" s="1"/>
  <c r="L16" i="18" a="1"/>
  <c r="L16" i="18" s="1"/>
  <c r="L17" i="18" a="1"/>
  <c r="L17" i="18" s="1"/>
  <c r="L18" i="18" a="1"/>
  <c r="L18" i="18" s="1"/>
  <c r="L19" i="18" a="1"/>
  <c r="L19" i="18" s="1"/>
  <c r="L20" i="18" a="1"/>
  <c r="L20" i="18" s="1"/>
  <c r="L21" i="18" a="1"/>
  <c r="L21" i="18" s="1"/>
  <c r="L22" i="18" a="1"/>
  <c r="L22" i="18" s="1"/>
  <c r="L23" i="18" a="1"/>
  <c r="L23" i="18" s="1"/>
  <c r="L7" i="18" a="1"/>
  <c r="L7" i="18" s="1"/>
  <c r="Q10" i="7" a="1"/>
  <c r="Q10" i="7" s="1"/>
  <c r="Q12" i="7" a="1"/>
  <c r="Q12" i="7" s="1"/>
  <c r="Q17" i="7" a="1"/>
  <c r="Q17" i="7" s="1"/>
  <c r="Q21" i="7" a="1"/>
  <c r="Q21" i="7" s="1"/>
  <c r="Q23" i="7" a="1"/>
  <c r="Q23" i="7" s="1"/>
  <c r="Q24" i="7" a="1"/>
  <c r="Q24" i="7" s="1"/>
  <c r="Q25" i="7" a="1"/>
  <c r="Q25" i="7" s="1"/>
  <c r="Q30" i="7" a="1"/>
  <c r="Q30" i="7" s="1"/>
  <c r="Q31" i="7" a="1"/>
  <c r="Q31" i="7" s="1"/>
  <c r="Q38" i="7" a="1"/>
  <c r="Q38" i="7" s="1"/>
  <c r="Q40" i="7" a="1"/>
  <c r="Q40" i="7" s="1"/>
  <c r="Q42" i="7" a="1"/>
  <c r="Q42" i="7" s="1"/>
  <c r="Q44" i="7" a="1"/>
  <c r="Q44" i="7" s="1"/>
  <c r="Q45" i="7" a="1"/>
  <c r="Q45" i="7" s="1"/>
  <c r="Q49" i="7" a="1"/>
  <c r="Q49" i="7" s="1"/>
  <c r="Q50" i="7" a="1"/>
  <c r="Q50" i="7" s="1"/>
  <c r="Q53" i="7" a="1"/>
  <c r="Q53" i="7" s="1"/>
  <c r="Q57" i="7" a="1"/>
  <c r="Q57" i="7" s="1"/>
  <c r="Q60" i="7" a="1"/>
  <c r="Q60" i="7" s="1"/>
  <c r="Q62" i="7" a="1"/>
  <c r="Q62" i="7" s="1"/>
  <c r="Q63" i="7" a="1"/>
  <c r="Q63" i="7" s="1"/>
  <c r="Q64" i="7" a="1"/>
  <c r="Q64" i="7" s="1"/>
  <c r="Q70" i="7" a="1"/>
  <c r="Q70" i="7" s="1"/>
  <c r="Q71" i="7" a="1"/>
  <c r="Q71" i="7" s="1"/>
  <c r="Q72" i="7" a="1"/>
  <c r="Q72" i="7" s="1"/>
  <c r="P8" i="7" a="1"/>
  <c r="P8" i="7" s="1"/>
  <c r="P10" i="7" a="1"/>
  <c r="P10" i="7" s="1"/>
  <c r="P12" i="7" a="1"/>
  <c r="P12" i="7" s="1"/>
  <c r="P13" i="7" a="1"/>
  <c r="P13" i="7" s="1"/>
  <c r="P16" i="7" a="1"/>
  <c r="P16" i="7" s="1"/>
  <c r="P20" i="7" a="1"/>
  <c r="P20" i="7" s="1"/>
  <c r="P21" i="7" a="1"/>
  <c r="P21" i="7" s="1"/>
  <c r="P23" i="7" a="1"/>
  <c r="P23" i="7" s="1"/>
  <c r="P26" i="7" a="1"/>
  <c r="P26" i="7" s="1"/>
  <c r="P27" i="7" a="1"/>
  <c r="P27" i="7" s="1"/>
  <c r="P29" i="7" a="1"/>
  <c r="P29" i="7" s="1"/>
  <c r="P33" i="7" a="1"/>
  <c r="P33" i="7" s="1"/>
  <c r="P34" i="7" a="1"/>
  <c r="P34" i="7" s="1"/>
  <c r="P35" i="7" a="1"/>
  <c r="P35" i="7" s="1"/>
  <c r="P40" i="7" a="1"/>
  <c r="P40" i="7" s="1"/>
  <c r="P41" i="7" a="1"/>
  <c r="P41" i="7" s="1"/>
  <c r="P42" i="7" a="1"/>
  <c r="P42" i="7" s="1"/>
  <c r="P45" i="7" a="1"/>
  <c r="P45" i="7" s="1"/>
  <c r="P48" i="7" a="1"/>
  <c r="P48" i="7" s="1"/>
  <c r="P50" i="7" a="1"/>
  <c r="P50" i="7" s="1"/>
  <c r="P52" i="7" a="1"/>
  <c r="P52" i="7" s="1"/>
  <c r="P53" i="7" a="1"/>
  <c r="P53" i="7" s="1"/>
  <c r="P55" i="7" a="1"/>
  <c r="P55" i="7" s="1"/>
  <c r="P59" i="7" a="1"/>
  <c r="P59" i="7" s="1"/>
  <c r="P60" i="7" a="1"/>
  <c r="P60" i="7" s="1"/>
  <c r="P61" i="7" a="1"/>
  <c r="P61" i="7" s="1"/>
  <c r="P66" i="7" a="1"/>
  <c r="P66" i="7" s="1"/>
  <c r="P67" i="7" a="1"/>
  <c r="P67" i="7" s="1"/>
  <c r="P69" i="7" a="1"/>
  <c r="P69" i="7" s="1"/>
  <c r="P72" i="7" a="1"/>
  <c r="P72" i="7" s="1"/>
  <c r="P73" i="7" a="1"/>
  <c r="P73" i="7" s="1"/>
  <c r="P74" i="7" a="1"/>
  <c r="P74" i="7" s="1"/>
  <c r="O11" i="7" a="1"/>
  <c r="O11" i="7" s="1"/>
  <c r="O12" i="7" a="1"/>
  <c r="O12" i="7" s="1"/>
  <c r="O13" i="7" a="1"/>
  <c r="O13" i="7" s="1"/>
  <c r="O16" i="7" a="1"/>
  <c r="O16" i="7" s="1"/>
  <c r="O18" i="7" a="1"/>
  <c r="O18" i="7" s="1"/>
  <c r="O20" i="7" a="1"/>
  <c r="O20" i="7" s="1"/>
  <c r="O22" i="7" a="1"/>
  <c r="O22" i="7" s="1"/>
  <c r="O23" i="7" a="1"/>
  <c r="O23" i="7" s="1"/>
  <c r="O24" i="7" a="1"/>
  <c r="O24" i="7" s="1"/>
  <c r="O30" i="7" a="1"/>
  <c r="O30" i="7" s="1"/>
  <c r="O31" i="7" a="1"/>
  <c r="O31" i="7" s="1"/>
  <c r="O32" i="7" a="1"/>
  <c r="O32" i="7" s="1"/>
  <c r="O36" i="7" a="1"/>
  <c r="O36" i="7" s="1"/>
  <c r="O37" i="7" a="1"/>
  <c r="O37" i="7" s="1"/>
  <c r="O39" i="7" a="1"/>
  <c r="O39" i="7" s="1"/>
  <c r="O43" i="7" a="1"/>
  <c r="O43" i="7" s="1"/>
  <c r="O44" i="7" a="1"/>
  <c r="O44" i="7" s="1"/>
  <c r="O45" i="7" a="1"/>
  <c r="O45" i="7" s="1"/>
  <c r="O50" i="7" a="1"/>
  <c r="O50" i="7" s="1"/>
  <c r="O51" i="7" a="1"/>
  <c r="O51" i="7" s="1"/>
  <c r="O52" i="7" a="1"/>
  <c r="O52" i="7" s="1"/>
  <c r="O55" i="7" a="1"/>
  <c r="O55" i="7" s="1"/>
  <c r="O56" i="7" a="1"/>
  <c r="O56" i="7" s="1"/>
  <c r="O60" i="7" a="1"/>
  <c r="O60" i="7" s="1"/>
  <c r="O62" i="7" a="1"/>
  <c r="O62" i="7" s="1"/>
  <c r="O63" i="7" a="1"/>
  <c r="O63" i="7" s="1"/>
  <c r="O64" i="7" a="1"/>
  <c r="O64" i="7" s="1"/>
  <c r="O69" i="7" a="1"/>
  <c r="O69" i="7" s="1"/>
  <c r="O70" i="7" a="1"/>
  <c r="O70" i="7" s="1"/>
  <c r="O71" i="7" a="1"/>
  <c r="O71" i="7" s="1"/>
  <c r="O7" i="7" a="1"/>
  <c r="O7" i="7" s="1"/>
  <c r="N8" i="7" a="1"/>
  <c r="N8" i="7" s="1"/>
  <c r="N10" i="7" a="1"/>
  <c r="N10" i="7" s="1"/>
  <c r="N13" i="7" a="1"/>
  <c r="N13" i="7" s="1"/>
  <c r="N14" i="7" a="1"/>
  <c r="N14" i="7" s="1"/>
  <c r="N15" i="7" a="1"/>
  <c r="N15" i="7" s="1"/>
  <c r="N19" i="7" a="1"/>
  <c r="N19" i="7" s="1"/>
  <c r="N22" i="7" a="1"/>
  <c r="N22" i="7" s="1"/>
  <c r="N23" i="7" a="1"/>
  <c r="N23" i="7" s="1"/>
  <c r="N26" i="7" a="1"/>
  <c r="N26" i="7" s="1"/>
  <c r="N27" i="7" a="1"/>
  <c r="N27" i="7" s="1"/>
  <c r="N30" i="7" a="1"/>
  <c r="N30" i="7" s="1"/>
  <c r="N32" i="7" a="1"/>
  <c r="N32" i="7" s="1"/>
  <c r="N33" i="7" a="1"/>
  <c r="N33" i="7" s="1"/>
  <c r="N34" i="7" a="1"/>
  <c r="N34" i="7" s="1"/>
  <c r="N40" i="7" a="1"/>
  <c r="N40" i="7" s="1"/>
  <c r="N41" i="7" a="1"/>
  <c r="N41" i="7" s="1"/>
  <c r="N42" i="7" a="1"/>
  <c r="N42" i="7" s="1"/>
  <c r="N46" i="7" a="1"/>
  <c r="N46" i="7" s="1"/>
  <c r="N47" i="7" a="1"/>
  <c r="N47" i="7" s="1"/>
  <c r="N49" i="7" a="1"/>
  <c r="N49" i="7" s="1"/>
  <c r="N51" i="7" a="1"/>
  <c r="N51" i="7" s="1"/>
  <c r="N54" i="7" a="1"/>
  <c r="N54" i="7" s="1"/>
  <c r="N55" i="7" a="1"/>
  <c r="N55" i="7" s="1"/>
  <c r="N59" i="7" a="1"/>
  <c r="N59" i="7" s="1"/>
  <c r="N61" i="7" a="1"/>
  <c r="N61" i="7" s="1"/>
  <c r="N62" i="7" a="1"/>
  <c r="N62" i="7" s="1"/>
  <c r="N65" i="7" a="1"/>
  <c r="N65" i="7" s="1"/>
  <c r="N66" i="7" a="1"/>
  <c r="N66" i="7" s="1"/>
  <c r="N70" i="7" a="1"/>
  <c r="N70" i="7" s="1"/>
  <c r="N72" i="7" a="1"/>
  <c r="N72" i="7" s="1"/>
  <c r="N73" i="7" a="1"/>
  <c r="N73" i="7" s="1"/>
  <c r="N74" i="7" a="1"/>
  <c r="N74" i="7" s="1"/>
  <c r="M10" i="7" a="1"/>
  <c r="M10" i="7" s="1"/>
  <c r="M11" i="7" a="1"/>
  <c r="M11" i="7" s="1"/>
  <c r="M12" i="7" a="1"/>
  <c r="M12" i="7" s="1"/>
  <c r="M17" i="7" a="1"/>
  <c r="M17" i="7" s="1"/>
  <c r="M18" i="7" a="1"/>
  <c r="M18" i="7" s="1"/>
  <c r="M20" i="7" a="1"/>
  <c r="M20" i="7" s="1"/>
  <c r="M22" i="7" a="1"/>
  <c r="M22" i="7" s="1"/>
  <c r="M24" i="7" a="1"/>
  <c r="M24" i="7" s="1"/>
  <c r="M25" i="7" a="1"/>
  <c r="M25" i="7" s="1"/>
  <c r="M29" i="7" a="1"/>
  <c r="M29" i="7" s="1"/>
  <c r="M30" i="7" a="1"/>
  <c r="M30" i="7" s="1"/>
  <c r="M31" i="7" a="1"/>
  <c r="M31" i="7" s="1"/>
  <c r="M35" i="7" a="1"/>
  <c r="M35" i="7" s="1"/>
  <c r="M36" i="7" a="1"/>
  <c r="M36" i="7" s="1"/>
  <c r="M38" i="7" a="1"/>
  <c r="M38" i="7" s="1"/>
  <c r="M41" i="7" a="1"/>
  <c r="M41" i="7" s="1"/>
  <c r="M42" i="7" a="1"/>
  <c r="M42" i="7" s="1"/>
  <c r="M43" i="7" a="1"/>
  <c r="M43" i="7" s="1"/>
  <c r="M47" i="7" a="1"/>
  <c r="M47" i="7" s="1"/>
  <c r="M49" i="7" a="1"/>
  <c r="M49" i="7" s="1"/>
  <c r="M50" i="7" a="1"/>
  <c r="M50" i="7" s="1"/>
  <c r="M53" i="7" a="1"/>
  <c r="M53" i="7" s="1"/>
  <c r="M54" i="7" a="1"/>
  <c r="M54" i="7" s="1"/>
  <c r="M57" i="7" a="1"/>
  <c r="M57" i="7" s="1"/>
  <c r="M59" i="7" a="1"/>
  <c r="M59" i="7" s="1"/>
  <c r="M60" i="7" a="1"/>
  <c r="M60" i="7" s="1"/>
  <c r="M61" i="7" a="1"/>
  <c r="M61" i="7" s="1"/>
  <c r="M66" i="7" a="1"/>
  <c r="M66" i="7" s="1"/>
  <c r="M67" i="7" a="1"/>
  <c r="M67" i="7" s="1"/>
  <c r="M68" i="7" a="1"/>
  <c r="M68" i="7" s="1"/>
  <c r="M72" i="7" a="1"/>
  <c r="M72" i="7" s="1"/>
  <c r="M73" i="7" a="1"/>
  <c r="M73" i="7" s="1"/>
  <c r="M75" i="7" a="1"/>
  <c r="M75" i="7" s="1"/>
  <c r="M7" i="7" a="1"/>
  <c r="M7" i="7" s="1"/>
  <c r="L8" i="7" a="1"/>
  <c r="L8" i="7" s="1"/>
  <c r="L9" i="7" a="1"/>
  <c r="L9" i="7" s="1"/>
  <c r="L10" i="7" a="1"/>
  <c r="L10" i="7" s="1"/>
  <c r="L15" i="7" a="1"/>
  <c r="L15" i="7" s="1"/>
  <c r="L16" i="7" a="1"/>
  <c r="L16" i="7" s="1"/>
  <c r="L17" i="7" a="1"/>
  <c r="L17" i="7" s="1"/>
  <c r="L21" i="7" a="1"/>
  <c r="L21" i="7" s="1"/>
  <c r="L22" i="7" a="1"/>
  <c r="L22" i="7" s="1"/>
  <c r="L24" i="7" a="1"/>
  <c r="L24" i="7" s="1"/>
  <c r="L25" i="7" a="1"/>
  <c r="L25" i="7" s="1"/>
  <c r="L26" i="7" a="1"/>
  <c r="L26" i="7" s="1"/>
  <c r="L28" i="7" a="1"/>
  <c r="L28" i="7" s="1"/>
  <c r="L29" i="7" a="1"/>
  <c r="L29" i="7" s="1"/>
  <c r="L33" i="7" a="1"/>
  <c r="L33" i="7" s="1"/>
  <c r="L35" i="7" a="1"/>
  <c r="L35" i="7" s="1"/>
  <c r="L36" i="7" a="1"/>
  <c r="L36" i="7" s="1"/>
  <c r="L39" i="7" a="1"/>
  <c r="L39" i="7" s="1"/>
  <c r="L40" i="7" a="1"/>
  <c r="L40" i="7" s="1"/>
  <c r="L42" i="7" a="1"/>
  <c r="L42" i="7" s="1"/>
  <c r="L44" i="7" a="1"/>
  <c r="L44" i="7" s="1"/>
  <c r="L45" i="7" a="1"/>
  <c r="L45" i="7" s="1"/>
  <c r="L46" i="7" a="1"/>
  <c r="L46" i="7" s="1"/>
  <c r="L47" i="7" a="1"/>
  <c r="L47" i="7" s="1"/>
  <c r="L48" i="7" a="1"/>
  <c r="L48" i="7" s="1"/>
  <c r="L52" i="7" a="1"/>
  <c r="L52" i="7" s="1"/>
  <c r="L53" i="7" a="1"/>
  <c r="L53" i="7" s="1"/>
  <c r="L54" i="7" a="1"/>
  <c r="L54" i="7" s="1"/>
  <c r="L57" i="7" a="1"/>
  <c r="L57" i="7" s="1"/>
  <c r="L58" i="7" a="1"/>
  <c r="L58" i="7" s="1"/>
  <c r="L61" i="7" a="1"/>
  <c r="L61" i="7" s="1"/>
  <c r="L62" i="7" a="1"/>
  <c r="L62" i="7" s="1"/>
  <c r="L63" i="7" a="1"/>
  <c r="L63" i="7" s="1"/>
  <c r="L64" i="7" a="1"/>
  <c r="L64" i="7" s="1"/>
  <c r="L65" i="7" a="1"/>
  <c r="L65" i="7" s="1"/>
  <c r="L67" i="7" a="1"/>
  <c r="L67" i="7" s="1"/>
  <c r="L70" i="7" a="1"/>
  <c r="L70" i="7" s="1"/>
  <c r="L71" i="7" a="1"/>
  <c r="L71" i="7" s="1"/>
  <c r="L72" i="7" a="1"/>
  <c r="L72" i="7" s="1"/>
  <c r="L7" i="7" a="1"/>
  <c r="L7" i="7" s="1"/>
  <c r="K12" i="1" a="1"/>
  <c r="K12" i="1" s="1"/>
  <c r="K28" i="1" a="1"/>
  <c r="K28" i="1" s="1"/>
  <c r="K44" i="1" a="1"/>
  <c r="K44" i="1" s="1"/>
  <c r="K60" i="1" a="1"/>
  <c r="K60" i="1" s="1"/>
  <c r="J23" i="1" a="1"/>
  <c r="J23" i="1" s="1"/>
  <c r="J39" i="1" a="1"/>
  <c r="J39" i="1" s="1"/>
  <c r="J55" i="1" a="1"/>
  <c r="J55" i="1" s="1"/>
  <c r="I18" i="1" a="1"/>
  <c r="I18" i="1" s="1"/>
  <c r="I34" i="1" a="1"/>
  <c r="I34" i="1" s="1"/>
  <c r="I50" i="1" a="1"/>
  <c r="I50" i="1" s="1"/>
  <c r="H13" i="1" a="1"/>
  <c r="H13" i="1" s="1"/>
  <c r="H29" i="1" a="1"/>
  <c r="H29" i="1" s="1"/>
  <c r="H45" i="1" a="1"/>
  <c r="H45" i="1" s="1"/>
  <c r="I13" i="12" l="1" a="1"/>
  <c r="I13" i="12" s="1"/>
  <c r="K12" i="12" a="1"/>
  <c r="K12" i="12" s="1"/>
  <c r="H10" i="31"/>
  <c r="I14" i="31"/>
  <c r="I18" i="31"/>
  <c r="H9" i="31"/>
  <c r="I13" i="31"/>
  <c r="H35" i="31"/>
  <c r="I10" i="31"/>
  <c r="I15" i="31"/>
  <c r="H8" i="31"/>
  <c r="H47" i="31"/>
  <c r="I9" i="31"/>
  <c r="H30" i="31"/>
  <c r="H46" i="31"/>
  <c r="I35" i="31"/>
  <c r="F40" i="32" s="1"/>
  <c r="H15" i="31"/>
  <c r="H29" i="31"/>
  <c r="H45" i="31"/>
  <c r="I47" i="31"/>
  <c r="H28" i="31"/>
  <c r="H42" i="31"/>
  <c r="I46" i="31"/>
  <c r="H25" i="31"/>
  <c r="H41" i="31"/>
  <c r="I45" i="31"/>
  <c r="I19" i="31"/>
  <c r="H14" i="31"/>
  <c r="H24" i="31"/>
  <c r="H40" i="31"/>
  <c r="I42" i="31"/>
  <c r="H23" i="31"/>
  <c r="E28" i="32" s="1"/>
  <c r="H37" i="31"/>
  <c r="I41" i="31"/>
  <c r="H20" i="31"/>
  <c r="H36" i="31"/>
  <c r="I40" i="31"/>
  <c r="H13" i="31"/>
  <c r="H19" i="31"/>
  <c r="I8" i="31"/>
  <c r="I37" i="31"/>
  <c r="F42" i="32" s="1"/>
  <c r="H18" i="31"/>
  <c r="I20" i="31"/>
  <c r="Q56" i="7" a="1"/>
  <c r="Q56" i="7" s="1"/>
  <c r="J8" i="24" a="1"/>
  <c r="J8" i="24" s="1"/>
  <c r="Q7" i="7" a="1"/>
  <c r="Q7" i="7" s="1"/>
  <c r="Q16" i="7" a="1"/>
  <c r="Q16" i="7" s="1"/>
  <c r="L74" i="7" a="1"/>
  <c r="L74" i="7" s="1"/>
  <c r="L56" i="7" a="1"/>
  <c r="L56" i="7" s="1"/>
  <c r="L38" i="7" a="1"/>
  <c r="L38" i="7" s="1"/>
  <c r="L20" i="7" a="1"/>
  <c r="L20" i="7" s="1"/>
  <c r="M70" i="7" a="1"/>
  <c r="M70" i="7" s="1"/>
  <c r="M52" i="7" a="1"/>
  <c r="M52" i="7" s="1"/>
  <c r="M34" i="7" a="1"/>
  <c r="M34" i="7" s="1"/>
  <c r="M14" i="7" a="1"/>
  <c r="M14" i="7" s="1"/>
  <c r="N64" i="7" a="1"/>
  <c r="N64" i="7" s="1"/>
  <c r="N45" i="7" a="1"/>
  <c r="N45" i="7" s="1"/>
  <c r="N25" i="7" a="1"/>
  <c r="N25" i="7" s="1"/>
  <c r="O75" i="7" a="1"/>
  <c r="O75" i="7" s="1"/>
  <c r="O54" i="7" a="1"/>
  <c r="O54" i="7" s="1"/>
  <c r="O35" i="7" a="1"/>
  <c r="O35" i="7" s="1"/>
  <c r="O15" i="7" a="1"/>
  <c r="O15" i="7" s="1"/>
  <c r="P65" i="7" a="1"/>
  <c r="P65" i="7" s="1"/>
  <c r="P44" i="7" a="1"/>
  <c r="P44" i="7" s="1"/>
  <c r="P25" i="7" a="1"/>
  <c r="P25" i="7" s="1"/>
  <c r="Q74" i="7" a="1"/>
  <c r="Q74" i="7" s="1"/>
  <c r="Q55" i="7" a="1"/>
  <c r="Q55" i="7" s="1"/>
  <c r="Q34" i="7" a="1"/>
  <c r="Q34" i="7" s="1"/>
  <c r="Q15" i="7" a="1"/>
  <c r="Q15" i="7" s="1"/>
  <c r="J14" i="24" a="1"/>
  <c r="J14" i="24" s="1"/>
  <c r="Q37" i="7" a="1"/>
  <c r="Q37" i="7" s="1"/>
  <c r="L73" i="7" a="1"/>
  <c r="L73" i="7" s="1"/>
  <c r="L55" i="7" a="1"/>
  <c r="L55" i="7" s="1"/>
  <c r="L37" i="7" a="1"/>
  <c r="L37" i="7" s="1"/>
  <c r="L19" i="7" a="1"/>
  <c r="L19" i="7" s="1"/>
  <c r="M69" i="7" a="1"/>
  <c r="M69" i="7" s="1"/>
  <c r="M51" i="7" a="1"/>
  <c r="M51" i="7" s="1"/>
  <c r="M33" i="7" a="1"/>
  <c r="M33" i="7" s="1"/>
  <c r="M13" i="7" a="1"/>
  <c r="M13" i="7" s="1"/>
  <c r="N63" i="7" a="1"/>
  <c r="N63" i="7" s="1"/>
  <c r="N43" i="7" a="1"/>
  <c r="N43" i="7" s="1"/>
  <c r="N24" i="7" a="1"/>
  <c r="N24" i="7" s="1"/>
  <c r="O72" i="7" a="1"/>
  <c r="O72" i="7" s="1"/>
  <c r="O53" i="7" a="1"/>
  <c r="O53" i="7" s="1"/>
  <c r="O34" i="7" a="1"/>
  <c r="O34" i="7" s="1"/>
  <c r="O14" i="7" a="1"/>
  <c r="O14" i="7" s="1"/>
  <c r="P64" i="7" a="1"/>
  <c r="P64" i="7" s="1"/>
  <c r="P43" i="7" a="1"/>
  <c r="P43" i="7" s="1"/>
  <c r="P24" i="7" a="1"/>
  <c r="P24" i="7" s="1"/>
  <c r="Q73" i="7" a="1"/>
  <c r="Q73" i="7" s="1"/>
  <c r="Q54" i="7" a="1"/>
  <c r="Q54" i="7" s="1"/>
  <c r="Q33" i="7" a="1"/>
  <c r="Q33" i="7" s="1"/>
  <c r="Q14" i="7" a="1"/>
  <c r="Q14" i="7" s="1"/>
  <c r="J13" i="24" a="1"/>
  <c r="J13" i="24" s="1"/>
  <c r="Q32" i="7" a="1"/>
  <c r="Q32" i="7" s="1"/>
  <c r="Q13" i="7" a="1"/>
  <c r="Q13" i="7" s="1"/>
  <c r="J12" i="24" a="1"/>
  <c r="J12" i="24" s="1"/>
  <c r="L69" i="7" a="1"/>
  <c r="L69" i="7" s="1"/>
  <c r="L51" i="7" a="1"/>
  <c r="L51" i="7" s="1"/>
  <c r="L32" i="7" a="1"/>
  <c r="L32" i="7" s="1"/>
  <c r="L14" i="7" a="1"/>
  <c r="L14" i="7" s="1"/>
  <c r="M65" i="7" a="1"/>
  <c r="M65" i="7" s="1"/>
  <c r="M46" i="7" a="1"/>
  <c r="M46" i="7" s="1"/>
  <c r="M28" i="7" a="1"/>
  <c r="M28" i="7" s="1"/>
  <c r="M9" i="7" a="1"/>
  <c r="M9" i="7" s="1"/>
  <c r="N58" i="7" a="1"/>
  <c r="N58" i="7" s="1"/>
  <c r="N39" i="7" a="1"/>
  <c r="N39" i="7" s="1"/>
  <c r="N18" i="7" a="1"/>
  <c r="N18" i="7" s="1"/>
  <c r="O68" i="7" a="1"/>
  <c r="O68" i="7" s="1"/>
  <c r="O48" i="7" a="1"/>
  <c r="O48" i="7" s="1"/>
  <c r="O29" i="7" a="1"/>
  <c r="O29" i="7" s="1"/>
  <c r="O8" i="7" a="1"/>
  <c r="O8" i="7" s="1"/>
  <c r="P58" i="7" a="1"/>
  <c r="P58" i="7" s="1"/>
  <c r="P39" i="7" a="1"/>
  <c r="P39" i="7" s="1"/>
  <c r="P19" i="7" a="1"/>
  <c r="P19" i="7" s="1"/>
  <c r="Q69" i="7" a="1"/>
  <c r="Q69" i="7" s="1"/>
  <c r="Q48" i="7" a="1"/>
  <c r="Q48" i="7" s="1"/>
  <c r="Q29" i="7" a="1"/>
  <c r="Q29" i="7" s="1"/>
  <c r="Q9" i="7" a="1"/>
  <c r="Q9" i="7" s="1"/>
  <c r="H8" i="24" a="1"/>
  <c r="H8" i="24" s="1"/>
  <c r="J9" i="24" a="1"/>
  <c r="J9" i="24" s="1"/>
  <c r="L68" i="7" a="1"/>
  <c r="L68" i="7" s="1"/>
  <c r="L49" i="7" a="1"/>
  <c r="L49" i="7" s="1"/>
  <c r="L31" i="7" a="1"/>
  <c r="L31" i="7" s="1"/>
  <c r="L13" i="7" a="1"/>
  <c r="L13" i="7" s="1"/>
  <c r="M63" i="7" a="1"/>
  <c r="M63" i="7" s="1"/>
  <c r="M45" i="7" a="1"/>
  <c r="M45" i="7" s="1"/>
  <c r="M27" i="7" a="1"/>
  <c r="M27" i="7" s="1"/>
  <c r="M8" i="7" a="1"/>
  <c r="M8" i="7" s="1"/>
  <c r="N57" i="7" a="1"/>
  <c r="N57" i="7" s="1"/>
  <c r="N38" i="7" a="1"/>
  <c r="N38" i="7" s="1"/>
  <c r="N17" i="7" a="1"/>
  <c r="N17" i="7" s="1"/>
  <c r="O67" i="7" a="1"/>
  <c r="O67" i="7" s="1"/>
  <c r="O47" i="7" a="1"/>
  <c r="O47" i="7" s="1"/>
  <c r="O28" i="7" a="1"/>
  <c r="O28" i="7" s="1"/>
  <c r="P7" i="7" a="1"/>
  <c r="P7" i="7" s="1"/>
  <c r="P57" i="7" a="1"/>
  <c r="P57" i="7" s="1"/>
  <c r="P37" i="7" a="1"/>
  <c r="P37" i="7" s="1"/>
  <c r="P18" i="7" a="1"/>
  <c r="P18" i="7" s="1"/>
  <c r="Q66" i="7" a="1"/>
  <c r="Q66" i="7" s="1"/>
  <c r="Q47" i="7" a="1"/>
  <c r="Q47" i="7" s="1"/>
  <c r="Q28" i="7" a="1"/>
  <c r="Q28" i="7" s="1"/>
  <c r="Q8" i="7" a="1"/>
  <c r="Q8" i="7" s="1"/>
  <c r="H14" i="24" a="1"/>
  <c r="H14" i="24" s="1"/>
  <c r="C17" i="25" s="1"/>
  <c r="L30" i="7" a="1"/>
  <c r="L30" i="7" s="1"/>
  <c r="L12" i="7" a="1"/>
  <c r="L12" i="7" s="1"/>
  <c r="M62" i="7" a="1"/>
  <c r="M62" i="7" s="1"/>
  <c r="M44" i="7" a="1"/>
  <c r="M44" i="7" s="1"/>
  <c r="M26" i="7" a="1"/>
  <c r="M26" i="7" s="1"/>
  <c r="N75" i="7" a="1"/>
  <c r="N75" i="7" s="1"/>
  <c r="N56" i="7" a="1"/>
  <c r="N56" i="7" s="1"/>
  <c r="N35" i="7" a="1"/>
  <c r="N35" i="7" s="1"/>
  <c r="N16" i="7" a="1"/>
  <c r="N16" i="7" s="1"/>
  <c r="O66" i="7" a="1"/>
  <c r="O66" i="7" s="1"/>
  <c r="O46" i="7" a="1"/>
  <c r="O46" i="7" s="1"/>
  <c r="O27" i="7" a="1"/>
  <c r="O27" i="7" s="1"/>
  <c r="P75" i="7" a="1"/>
  <c r="P75" i="7" s="1"/>
  <c r="P56" i="7" a="1"/>
  <c r="P56" i="7" s="1"/>
  <c r="P36" i="7" a="1"/>
  <c r="P36" i="7" s="1"/>
  <c r="P17" i="7" a="1"/>
  <c r="P17" i="7" s="1"/>
  <c r="Q65" i="7" a="1"/>
  <c r="Q65" i="7" s="1"/>
  <c r="Q46" i="7" a="1"/>
  <c r="Q46" i="7" s="1"/>
  <c r="Q26" i="7" a="1"/>
  <c r="Q26" i="7" s="1"/>
  <c r="H13" i="24" a="1"/>
  <c r="H13" i="24" s="1"/>
  <c r="H12" i="24" a="1"/>
  <c r="H12" i="24" s="1"/>
  <c r="H11" i="24" a="1"/>
  <c r="H11" i="24" s="1"/>
  <c r="I8" i="24" a="1"/>
  <c r="I8" i="24" s="1"/>
  <c r="M58" i="7" a="1"/>
  <c r="M58" i="7" s="1"/>
  <c r="M40" i="7" a="1"/>
  <c r="M40" i="7" s="1"/>
  <c r="M21" i="7" a="1"/>
  <c r="M21" i="7" s="1"/>
  <c r="N71" i="7" a="1"/>
  <c r="N71" i="7" s="1"/>
  <c r="N50" i="7" a="1"/>
  <c r="N50" i="7" s="1"/>
  <c r="N31" i="7" a="1"/>
  <c r="N31" i="7" s="1"/>
  <c r="N11" i="7" a="1"/>
  <c r="N11" i="7" s="1"/>
  <c r="O61" i="7" a="1"/>
  <c r="O61" i="7" s="1"/>
  <c r="O40" i="7" a="1"/>
  <c r="O40" i="7" s="1"/>
  <c r="O21" i="7" a="1"/>
  <c r="O21" i="7" s="1"/>
  <c r="P71" i="7" a="1"/>
  <c r="P71" i="7" s="1"/>
  <c r="P51" i="7" a="1"/>
  <c r="P51" i="7" s="1"/>
  <c r="P32" i="7" a="1"/>
  <c r="P32" i="7" s="1"/>
  <c r="P11" i="7" a="1"/>
  <c r="P11" i="7" s="1"/>
  <c r="Q61" i="7" a="1"/>
  <c r="Q61" i="7" s="1"/>
  <c r="Q41" i="7" a="1"/>
  <c r="Q41" i="7" s="1"/>
  <c r="Q22" i="7" a="1"/>
  <c r="Q22" i="7" s="1"/>
  <c r="I14" i="24" a="1"/>
  <c r="I14" i="24" s="1"/>
  <c r="L60" i="7" a="1"/>
  <c r="L60" i="7" s="1"/>
  <c r="L41" i="7" a="1"/>
  <c r="L41" i="7" s="1"/>
  <c r="L23" i="7" a="1"/>
  <c r="L23" i="7" s="1"/>
  <c r="M74" i="7" a="1"/>
  <c r="M74" i="7" s="1"/>
  <c r="M56" i="7" a="1"/>
  <c r="M56" i="7" s="1"/>
  <c r="M37" i="7" a="1"/>
  <c r="M37" i="7" s="1"/>
  <c r="M19" i="7" a="1"/>
  <c r="M19" i="7" s="1"/>
  <c r="N67" i="7" a="1"/>
  <c r="N67" i="7" s="1"/>
  <c r="N48" i="7" a="1"/>
  <c r="N48" i="7" s="1"/>
  <c r="N29" i="7" a="1"/>
  <c r="N29" i="7" s="1"/>
  <c r="N9" i="7" a="1"/>
  <c r="N9" i="7" s="1"/>
  <c r="O59" i="7" a="1"/>
  <c r="O59" i="7" s="1"/>
  <c r="O38" i="7" a="1"/>
  <c r="O38" i="7" s="1"/>
  <c r="O19" i="7" a="1"/>
  <c r="O19" i="7" s="1"/>
  <c r="P68" i="7" a="1"/>
  <c r="P68" i="7" s="1"/>
  <c r="P49" i="7" a="1"/>
  <c r="P49" i="7" s="1"/>
  <c r="P28" i="7" a="1"/>
  <c r="P28" i="7" s="1"/>
  <c r="P9" i="7" a="1"/>
  <c r="P9" i="7" s="1"/>
  <c r="Q58" i="7" a="1"/>
  <c r="Q58" i="7" s="1"/>
  <c r="Q39" i="7" a="1"/>
  <c r="Q39" i="7" s="1"/>
  <c r="I10" i="24" a="1"/>
  <c r="I10" i="24" s="1"/>
  <c r="D13" i="25" s="1"/>
  <c r="Q19" i="7" a="1"/>
  <c r="Q19" i="7" s="1"/>
  <c r="I9" i="24" a="1"/>
  <c r="I9" i="24" s="1"/>
  <c r="D12" i="25" s="1"/>
  <c r="G44" i="22" a="1"/>
  <c r="G44" i="22" s="1"/>
  <c r="G30" i="22" a="1"/>
  <c r="G30" i="22" s="1"/>
  <c r="G28" i="22" a="1"/>
  <c r="G28" i="22" s="1"/>
  <c r="H8" i="22" a="1"/>
  <c r="H8" i="22" s="1"/>
  <c r="H27" i="22" a="1"/>
  <c r="H27" i="22" s="1"/>
  <c r="H13" i="22" a="1"/>
  <c r="H13" i="22" s="1"/>
  <c r="O44" i="16" a="1"/>
  <c r="O44" i="16" s="1"/>
  <c r="P48" i="16" a="1"/>
  <c r="P48" i="16" s="1"/>
  <c r="H10" i="24" a="1"/>
  <c r="H10" i="24" s="1"/>
  <c r="O73" i="16" a="1"/>
  <c r="O73" i="16" s="1"/>
  <c r="F77" i="17" s="1"/>
  <c r="O41" i="16" a="1"/>
  <c r="O41" i="16" s="1"/>
  <c r="F45" i="17" s="1"/>
  <c r="P47" i="16" a="1"/>
  <c r="P47" i="16" s="1"/>
  <c r="H9" i="24" a="1"/>
  <c r="H9" i="24" s="1"/>
  <c r="Q42" i="16" a="1"/>
  <c r="Q42" i="16" s="1"/>
  <c r="O32" i="16" a="1"/>
  <c r="O32" i="16" s="1"/>
  <c r="P21" i="16" a="1"/>
  <c r="P21" i="16" s="1"/>
  <c r="G25" i="17" s="1"/>
  <c r="I13" i="24" a="1"/>
  <c r="I13" i="24" s="1"/>
  <c r="O66" i="16" a="1"/>
  <c r="O66" i="16" s="1"/>
  <c r="O27" i="16" a="1"/>
  <c r="O27" i="16" s="1"/>
  <c r="G29" i="22" a="1"/>
  <c r="G29" i="22" s="1"/>
  <c r="H12" i="22" a="1"/>
  <c r="H12" i="22" s="1"/>
  <c r="G24" i="22" a="1"/>
  <c r="G24" i="22" s="1"/>
  <c r="G14" i="22" a="1"/>
  <c r="G14" i="22" s="1"/>
  <c r="G13" i="22" a="1"/>
  <c r="G13" i="22" s="1"/>
  <c r="G12" i="22" a="1"/>
  <c r="G12" i="22" s="1"/>
  <c r="H45" i="22" a="1"/>
  <c r="H45" i="22" s="1"/>
  <c r="D48" i="23" s="1"/>
  <c r="H44" i="22" a="1"/>
  <c r="H44" i="22" s="1"/>
  <c r="D47" i="23" s="1"/>
  <c r="H43" i="22" a="1"/>
  <c r="H43" i="22" s="1"/>
  <c r="H39" i="22" a="1"/>
  <c r="H39" i="22" s="1"/>
  <c r="G46" i="22" a="1"/>
  <c r="G46" i="22" s="1"/>
  <c r="H29" i="22" a="1"/>
  <c r="H29" i="22" s="1"/>
  <c r="G45" i="22" a="1"/>
  <c r="G45" i="22" s="1"/>
  <c r="C48" i="23" s="1"/>
  <c r="H28" i="22" a="1"/>
  <c r="H28" i="22" s="1"/>
  <c r="G40" i="22" a="1"/>
  <c r="G40" i="22" s="1"/>
  <c r="H23" i="22" a="1"/>
  <c r="H23" i="22" s="1"/>
  <c r="L57" i="13" a="1"/>
  <c r="L57" i="13" s="1"/>
  <c r="M6" i="13" a="1"/>
  <c r="M6" i="13" s="1"/>
  <c r="M9" i="13" a="1"/>
  <c r="M9" i="13" s="1"/>
  <c r="N12" i="13" a="1"/>
  <c r="N12" i="13" s="1"/>
  <c r="O14" i="13" a="1"/>
  <c r="O14" i="13" s="1"/>
  <c r="R17" i="13" a="1"/>
  <c r="R17" i="13" s="1"/>
  <c r="P49" i="13" a="1"/>
  <c r="P49" i="13" s="1"/>
  <c r="P33" i="13" a="1"/>
  <c r="P33" i="13" s="1"/>
  <c r="G38" i="15" s="1"/>
  <c r="P17" i="13" a="1"/>
  <c r="P17" i="13" s="1"/>
  <c r="Q55" i="13" a="1"/>
  <c r="Q55" i="13" s="1"/>
  <c r="Q39" i="13" a="1"/>
  <c r="Q39" i="13" s="1"/>
  <c r="H44" i="15" s="1"/>
  <c r="Q23" i="13" a="1"/>
  <c r="Q23" i="13" s="1"/>
  <c r="Q7" i="13" a="1"/>
  <c r="Q7" i="13" s="1"/>
  <c r="H12" i="15" s="1"/>
  <c r="G43" i="22" a="1"/>
  <c r="G43" i="22" s="1"/>
  <c r="G27" i="22" a="1"/>
  <c r="G27" i="22" s="1"/>
  <c r="C30" i="23" s="1"/>
  <c r="G11" i="22" a="1"/>
  <c r="G11" i="22" s="1"/>
  <c r="C14" i="23" s="1"/>
  <c r="H42" i="22" a="1"/>
  <c r="H42" i="22" s="1"/>
  <c r="H26" i="22" a="1"/>
  <c r="H26" i="22" s="1"/>
  <c r="H10" i="22" a="1"/>
  <c r="H10" i="22" s="1"/>
  <c r="L56" i="13" a="1"/>
  <c r="L56" i="13" s="1"/>
  <c r="L39" i="13" a="1"/>
  <c r="L39" i="13" s="1"/>
  <c r="L22" i="13" a="1"/>
  <c r="L22" i="13" s="1"/>
  <c r="M59" i="13" a="1"/>
  <c r="M59" i="13" s="1"/>
  <c r="M42" i="13" a="1"/>
  <c r="M42" i="13" s="1"/>
  <c r="D47" i="15" s="1"/>
  <c r="M25" i="13" a="1"/>
  <c r="M25" i="13" s="1"/>
  <c r="M8" i="13" a="1"/>
  <c r="M8" i="13" s="1"/>
  <c r="N45" i="13" a="1"/>
  <c r="N45" i="13" s="1"/>
  <c r="E50" i="15" s="1"/>
  <c r="N28" i="13" a="1"/>
  <c r="N28" i="13" s="1"/>
  <c r="N11" i="13" a="1"/>
  <c r="N11" i="13" s="1"/>
  <c r="E16" i="15" s="1"/>
  <c r="O47" i="13" a="1"/>
  <c r="O47" i="13" s="1"/>
  <c r="F52" i="15" s="1"/>
  <c r="O30" i="13" a="1"/>
  <c r="O30" i="13" s="1"/>
  <c r="F35" i="15" s="1"/>
  <c r="O13" i="13" a="1"/>
  <c r="O13" i="13" s="1"/>
  <c r="F18" i="15" s="1"/>
  <c r="R50" i="13" a="1"/>
  <c r="R50" i="13" s="1"/>
  <c r="R33" i="13" a="1"/>
  <c r="R33" i="13" s="1"/>
  <c r="R16" i="13" a="1"/>
  <c r="R16" i="13" s="1"/>
  <c r="L40" i="13" a="1"/>
  <c r="L40" i="13" s="1"/>
  <c r="M43" i="13" a="1"/>
  <c r="M43" i="13" s="1"/>
  <c r="N46" i="13" a="1"/>
  <c r="N46" i="13" s="1"/>
  <c r="O49" i="13" a="1"/>
  <c r="O49" i="13" s="1"/>
  <c r="F54" i="15" s="1"/>
  <c r="R51" i="13" a="1"/>
  <c r="R51" i="13" s="1"/>
  <c r="I56" i="15" s="1"/>
  <c r="P48" i="13" a="1"/>
  <c r="P48" i="13" s="1"/>
  <c r="P32" i="13" a="1"/>
  <c r="P32" i="13" s="1"/>
  <c r="P16" i="13" a="1"/>
  <c r="P16" i="13" s="1"/>
  <c r="G21" i="15" s="1"/>
  <c r="Q54" i="13" a="1"/>
  <c r="Q54" i="13" s="1"/>
  <c r="Q38" i="13" a="1"/>
  <c r="Q38" i="13" s="1"/>
  <c r="H43" i="15" s="1"/>
  <c r="Q22" i="13" a="1"/>
  <c r="Q22" i="13" s="1"/>
  <c r="H27" i="15" s="1"/>
  <c r="G42" i="22" a="1"/>
  <c r="G42" i="22" s="1"/>
  <c r="C45" i="23" s="1"/>
  <c r="G26" i="22" a="1"/>
  <c r="G26" i="22" s="1"/>
  <c r="C29" i="23" s="1"/>
  <c r="G10" i="22" a="1"/>
  <c r="G10" i="22" s="1"/>
  <c r="H41" i="22" a="1"/>
  <c r="H41" i="22" s="1"/>
  <c r="H25" i="22" a="1"/>
  <c r="H25" i="22" s="1"/>
  <c r="H9" i="22" a="1"/>
  <c r="H9" i="22" s="1"/>
  <c r="L55" i="13" a="1"/>
  <c r="L55" i="13" s="1"/>
  <c r="L38" i="13" a="1"/>
  <c r="L38" i="13" s="1"/>
  <c r="L21" i="13" a="1"/>
  <c r="L21" i="13" s="1"/>
  <c r="C26" i="15" s="1"/>
  <c r="M58" i="13" a="1"/>
  <c r="M58" i="13" s="1"/>
  <c r="D63" i="15" s="1"/>
  <c r="M41" i="13" a="1"/>
  <c r="M41" i="13" s="1"/>
  <c r="M24" i="13" a="1"/>
  <c r="M24" i="13" s="1"/>
  <c r="M7" i="13" a="1"/>
  <c r="M7" i="13" s="1"/>
  <c r="N44" i="13" a="1"/>
  <c r="N44" i="13" s="1"/>
  <c r="N27" i="13" a="1"/>
  <c r="N27" i="13" s="1"/>
  <c r="E32" i="15" s="1"/>
  <c r="N9" i="13" a="1"/>
  <c r="N9" i="13" s="1"/>
  <c r="E14" i="15" s="1"/>
  <c r="O46" i="13" a="1"/>
  <c r="O46" i="13" s="1"/>
  <c r="F51" i="15" s="1"/>
  <c r="O29" i="13" a="1"/>
  <c r="O29" i="13" s="1"/>
  <c r="F34" i="15" s="1"/>
  <c r="O12" i="13" a="1"/>
  <c r="O12" i="13" s="1"/>
  <c r="R49" i="13" a="1"/>
  <c r="R49" i="13" s="1"/>
  <c r="R32" i="13" a="1"/>
  <c r="R32" i="13" s="1"/>
  <c r="R15" i="13" a="1"/>
  <c r="R15" i="13" s="1"/>
  <c r="L23" i="13" a="1"/>
  <c r="L23" i="13" s="1"/>
  <c r="M26" i="13" a="1"/>
  <c r="M26" i="13" s="1"/>
  <c r="N29" i="13" a="1"/>
  <c r="N29" i="13" s="1"/>
  <c r="E34" i="15" s="1"/>
  <c r="O31" i="13" a="1"/>
  <c r="O31" i="13" s="1"/>
  <c r="F36" i="15" s="1"/>
  <c r="R34" i="13" a="1"/>
  <c r="R34" i="13" s="1"/>
  <c r="P47" i="13" a="1"/>
  <c r="P47" i="13" s="1"/>
  <c r="P31" i="13" a="1"/>
  <c r="P31" i="13" s="1"/>
  <c r="G36" i="15" s="1"/>
  <c r="P15" i="13" a="1"/>
  <c r="P15" i="13" s="1"/>
  <c r="Q53" i="13" a="1"/>
  <c r="Q53" i="13" s="1"/>
  <c r="H58" i="15" s="1"/>
  <c r="Q37" i="13" a="1"/>
  <c r="Q37" i="13" s="1"/>
  <c r="H42" i="15" s="1"/>
  <c r="Q21" i="13" a="1"/>
  <c r="Q21" i="13" s="1"/>
  <c r="H26" i="15" s="1"/>
  <c r="G41" i="22" a="1"/>
  <c r="G41" i="22" s="1"/>
  <c r="C44" i="23" s="1"/>
  <c r="G25" i="22" a="1"/>
  <c r="G25" i="22" s="1"/>
  <c r="G9" i="22" a="1"/>
  <c r="G9" i="22" s="1"/>
  <c r="H40" i="22" a="1"/>
  <c r="H40" i="22" s="1"/>
  <c r="H24" i="22" a="1"/>
  <c r="H24" i="22" s="1"/>
  <c r="L54" i="13" a="1"/>
  <c r="L54" i="13" s="1"/>
  <c r="L37" i="13" a="1"/>
  <c r="L37" i="13" s="1"/>
  <c r="L20" i="13" a="1"/>
  <c r="L20" i="13" s="1"/>
  <c r="C25" i="15" s="1"/>
  <c r="M57" i="13" a="1"/>
  <c r="M57" i="13" s="1"/>
  <c r="D62" i="15" s="1"/>
  <c r="M40" i="13" a="1"/>
  <c r="M40" i="13" s="1"/>
  <c r="M23" i="13" a="1"/>
  <c r="M23" i="13" s="1"/>
  <c r="N6" i="13" a="1"/>
  <c r="N6" i="13" s="1"/>
  <c r="E11" i="15" s="1"/>
  <c r="N43" i="13" a="1"/>
  <c r="N43" i="13" s="1"/>
  <c r="N25" i="13" a="1"/>
  <c r="N25" i="13" s="1"/>
  <c r="E30" i="15" s="1"/>
  <c r="N8" i="13" a="1"/>
  <c r="N8" i="13" s="1"/>
  <c r="E13" i="15" s="1"/>
  <c r="O45" i="13" a="1"/>
  <c r="O45" i="13" s="1"/>
  <c r="F50" i="15" s="1"/>
  <c r="O28" i="13" a="1"/>
  <c r="O28" i="13" s="1"/>
  <c r="F33" i="15" s="1"/>
  <c r="O11" i="13" a="1"/>
  <c r="O11" i="13" s="1"/>
  <c r="R48" i="13" a="1"/>
  <c r="R48" i="13" s="1"/>
  <c r="R31" i="13" a="1"/>
  <c r="R31" i="13" s="1"/>
  <c r="R14" i="13" a="1"/>
  <c r="R14" i="13" s="1"/>
  <c r="P45" i="13" a="1"/>
  <c r="P45" i="13" s="1"/>
  <c r="P29" i="13" a="1"/>
  <c r="P29" i="13" s="1"/>
  <c r="P13" i="13" a="1"/>
  <c r="P13" i="13" s="1"/>
  <c r="Q51" i="13" a="1"/>
  <c r="Q51" i="13" s="1"/>
  <c r="H56" i="15" s="1"/>
  <c r="Q35" i="13" a="1"/>
  <c r="Q35" i="13" s="1"/>
  <c r="Q19" i="13" a="1"/>
  <c r="Q19" i="13" s="1"/>
  <c r="G8" i="22" a="1"/>
  <c r="G8" i="22" s="1"/>
  <c r="C11" i="23" s="1"/>
  <c r="G39" i="22" a="1"/>
  <c r="G39" i="22" s="1"/>
  <c r="G23" i="22" a="1"/>
  <c r="G23" i="22" s="1"/>
  <c r="C26" i="23" s="1"/>
  <c r="H54" i="22" a="1"/>
  <c r="H54" i="22" s="1"/>
  <c r="H38" i="22" a="1"/>
  <c r="H38" i="22" s="1"/>
  <c r="D41" i="23" s="1"/>
  <c r="H22" i="22" a="1"/>
  <c r="H22" i="22" s="1"/>
  <c r="D25" i="23" s="1"/>
  <c r="L52" i="13" a="1"/>
  <c r="L52" i="13" s="1"/>
  <c r="L35" i="13" a="1"/>
  <c r="L35" i="13" s="1"/>
  <c r="L18" i="13" a="1"/>
  <c r="L18" i="13" s="1"/>
  <c r="M55" i="13" a="1"/>
  <c r="M55" i="13" s="1"/>
  <c r="M38" i="13" a="1"/>
  <c r="M38" i="13" s="1"/>
  <c r="M21" i="13" a="1"/>
  <c r="M21" i="13" s="1"/>
  <c r="N57" i="13" a="1"/>
  <c r="N57" i="13" s="1"/>
  <c r="E62" i="15" s="1"/>
  <c r="N40" i="13" a="1"/>
  <c r="N40" i="13" s="1"/>
  <c r="E45" i="15" s="1"/>
  <c r="N23" i="13" a="1"/>
  <c r="N23" i="13" s="1"/>
  <c r="O6" i="13" a="1"/>
  <c r="O6" i="13" s="1"/>
  <c r="O43" i="13" a="1"/>
  <c r="O43" i="13" s="1"/>
  <c r="F48" i="15" s="1"/>
  <c r="O26" i="13" a="1"/>
  <c r="O26" i="13" s="1"/>
  <c r="O9" i="13" a="1"/>
  <c r="O9" i="13" s="1"/>
  <c r="F14" i="15" s="1"/>
  <c r="R46" i="13" a="1"/>
  <c r="R46" i="13" s="1"/>
  <c r="I51" i="15" s="1"/>
  <c r="R29" i="13" a="1"/>
  <c r="R29" i="13" s="1"/>
  <c r="I34" i="15" s="1"/>
  <c r="R12" i="13" a="1"/>
  <c r="R12" i="13" s="1"/>
  <c r="I17" i="15" s="1"/>
  <c r="P6" i="13" a="1"/>
  <c r="P6" i="13" s="1"/>
  <c r="P44" i="13" a="1"/>
  <c r="P44" i="13" s="1"/>
  <c r="P28" i="13" a="1"/>
  <c r="P28" i="13" s="1"/>
  <c r="P12" i="13" a="1"/>
  <c r="P12" i="13" s="1"/>
  <c r="Q50" i="13" a="1"/>
  <c r="Q50" i="13" s="1"/>
  <c r="Q34" i="13" a="1"/>
  <c r="Q34" i="13" s="1"/>
  <c r="Q18" i="13" a="1"/>
  <c r="Q18" i="13" s="1"/>
  <c r="H23" i="15" s="1"/>
  <c r="G54" i="22" a="1"/>
  <c r="G54" i="22" s="1"/>
  <c r="C57" i="23" s="1"/>
  <c r="G38" i="22" a="1"/>
  <c r="G38" i="22" s="1"/>
  <c r="G22" i="22" a="1"/>
  <c r="G22" i="22" s="1"/>
  <c r="H53" i="22" a="1"/>
  <c r="H53" i="22" s="1"/>
  <c r="D56" i="23" s="1"/>
  <c r="H37" i="22" a="1"/>
  <c r="H37" i="22" s="1"/>
  <c r="H21" i="22" a="1"/>
  <c r="H21" i="22" s="1"/>
  <c r="D24" i="23" s="1"/>
  <c r="L51" i="13" a="1"/>
  <c r="L51" i="13" s="1"/>
  <c r="C56" i="15" s="1"/>
  <c r="L34" i="13" a="1"/>
  <c r="L34" i="13" s="1"/>
  <c r="C39" i="15" s="1"/>
  <c r="L17" i="13" a="1"/>
  <c r="L17" i="13" s="1"/>
  <c r="C22" i="15" s="1"/>
  <c r="M54" i="13" a="1"/>
  <c r="M54" i="13" s="1"/>
  <c r="M37" i="13" a="1"/>
  <c r="M37" i="13" s="1"/>
  <c r="M19" i="13" a="1"/>
  <c r="M19" i="13" s="1"/>
  <c r="N56" i="13" a="1"/>
  <c r="N56" i="13" s="1"/>
  <c r="N39" i="13" a="1"/>
  <c r="N39" i="13" s="1"/>
  <c r="N22" i="13" a="1"/>
  <c r="N22" i="13" s="1"/>
  <c r="O59" i="13" a="1"/>
  <c r="O59" i="13" s="1"/>
  <c r="O42" i="13" a="1"/>
  <c r="O42" i="13" s="1"/>
  <c r="F47" i="15" s="1"/>
  <c r="O25" i="13" a="1"/>
  <c r="O25" i="13" s="1"/>
  <c r="O8" i="13" a="1"/>
  <c r="O8" i="13" s="1"/>
  <c r="R45" i="13" a="1"/>
  <c r="R45" i="13" s="1"/>
  <c r="I50" i="15" s="1"/>
  <c r="R28" i="13" a="1"/>
  <c r="R28" i="13" s="1"/>
  <c r="R11" i="13" a="1"/>
  <c r="R11" i="13" s="1"/>
  <c r="I16" i="15" s="1"/>
  <c r="P59" i="13" a="1"/>
  <c r="P59" i="13" s="1"/>
  <c r="P43" i="13" a="1"/>
  <c r="P43" i="13" s="1"/>
  <c r="G48" i="15" s="1"/>
  <c r="P27" i="13" a="1"/>
  <c r="P27" i="13" s="1"/>
  <c r="G32" i="15" s="1"/>
  <c r="P11" i="13" a="1"/>
  <c r="P11" i="13" s="1"/>
  <c r="Q49" i="13" a="1"/>
  <c r="Q49" i="13" s="1"/>
  <c r="Q33" i="13" a="1"/>
  <c r="Q33" i="13" s="1"/>
  <c r="Q17" i="13" a="1"/>
  <c r="Q17" i="13" s="1"/>
  <c r="G53" i="22" a="1"/>
  <c r="G53" i="22" s="1"/>
  <c r="G37" i="22" a="1"/>
  <c r="G37" i="22" s="1"/>
  <c r="G21" i="22" a="1"/>
  <c r="G21" i="22" s="1"/>
  <c r="C24" i="23" s="1"/>
  <c r="H52" i="22" a="1"/>
  <c r="H52" i="22" s="1"/>
  <c r="D55" i="23" s="1"/>
  <c r="H36" i="22" a="1"/>
  <c r="H36" i="22" s="1"/>
  <c r="H20" i="22" a="1"/>
  <c r="H20" i="22" s="1"/>
  <c r="L50" i="13" a="1"/>
  <c r="L50" i="13" s="1"/>
  <c r="C55" i="15" s="1"/>
  <c r="L33" i="13" a="1"/>
  <c r="L33" i="13" s="1"/>
  <c r="L16" i="13" a="1"/>
  <c r="L16" i="13" s="1"/>
  <c r="C21" i="15" s="1"/>
  <c r="M53" i="13" a="1"/>
  <c r="M53" i="13" s="1"/>
  <c r="M35" i="13" a="1"/>
  <c r="M35" i="13" s="1"/>
  <c r="M18" i="13" a="1"/>
  <c r="M18" i="13" s="1"/>
  <c r="D23" i="15" s="1"/>
  <c r="N55" i="13" a="1"/>
  <c r="N55" i="13" s="1"/>
  <c r="N38" i="13" a="1"/>
  <c r="N38" i="13" s="1"/>
  <c r="N21" i="13" a="1"/>
  <c r="N21" i="13" s="1"/>
  <c r="O58" i="13" a="1"/>
  <c r="O58" i="13" s="1"/>
  <c r="O41" i="13" a="1"/>
  <c r="O41" i="13" s="1"/>
  <c r="O24" i="13" a="1"/>
  <c r="O24" i="13" s="1"/>
  <c r="O7" i="13" a="1"/>
  <c r="O7" i="13" s="1"/>
  <c r="F12" i="15" s="1"/>
  <c r="R44" i="13" a="1"/>
  <c r="R44" i="13" s="1"/>
  <c r="I49" i="15" s="1"/>
  <c r="R27" i="13" a="1"/>
  <c r="R27" i="13" s="1"/>
  <c r="R10" i="13" a="1"/>
  <c r="R10" i="13" s="1"/>
  <c r="P58" i="13" a="1"/>
  <c r="P58" i="13" s="1"/>
  <c r="P42" i="13" a="1"/>
  <c r="P42" i="13" s="1"/>
  <c r="P26" i="13" a="1"/>
  <c r="P26" i="13" s="1"/>
  <c r="G31" i="15" s="1"/>
  <c r="P10" i="13" a="1"/>
  <c r="P10" i="13" s="1"/>
  <c r="G15" i="15" s="1"/>
  <c r="Q48" i="13" a="1"/>
  <c r="Q48" i="13" s="1"/>
  <c r="H53" i="15" s="1"/>
  <c r="Q32" i="13" a="1"/>
  <c r="Q32" i="13" s="1"/>
  <c r="H37" i="15" s="1"/>
  <c r="Q16" i="13" a="1"/>
  <c r="Q16" i="13" s="1"/>
  <c r="G52" i="22" a="1"/>
  <c r="G52" i="22" s="1"/>
  <c r="G36" i="22" a="1"/>
  <c r="G36" i="22" s="1"/>
  <c r="G20" i="22" a="1"/>
  <c r="G20" i="22" s="1"/>
  <c r="H51" i="22" a="1"/>
  <c r="H51" i="22" s="1"/>
  <c r="H35" i="22" a="1"/>
  <c r="H35" i="22" s="1"/>
  <c r="H19" i="22" a="1"/>
  <c r="H19" i="22" s="1"/>
  <c r="D22" i="23" s="1"/>
  <c r="L49" i="13" a="1"/>
  <c r="L49" i="13" s="1"/>
  <c r="C54" i="15" s="1"/>
  <c r="L32" i="13" a="1"/>
  <c r="L32" i="13" s="1"/>
  <c r="L15" i="13" a="1"/>
  <c r="L15" i="13" s="1"/>
  <c r="M51" i="13" a="1"/>
  <c r="M51" i="13" s="1"/>
  <c r="M34" i="13" a="1"/>
  <c r="M34" i="13" s="1"/>
  <c r="M17" i="13" a="1"/>
  <c r="M17" i="13" s="1"/>
  <c r="D22" i="15" s="1"/>
  <c r="N54" i="13" a="1"/>
  <c r="N54" i="13" s="1"/>
  <c r="N37" i="13" a="1"/>
  <c r="N37" i="13" s="1"/>
  <c r="E42" i="15" s="1"/>
  <c r="N20" i="13" a="1"/>
  <c r="N20" i="13" s="1"/>
  <c r="E25" i="15" s="1"/>
  <c r="O57" i="13" a="1"/>
  <c r="O57" i="13" s="1"/>
  <c r="O40" i="13" a="1"/>
  <c r="O40" i="13" s="1"/>
  <c r="O23" i="13" a="1"/>
  <c r="O23" i="13" s="1"/>
  <c r="R6" i="13" a="1"/>
  <c r="R6" i="13" s="1"/>
  <c r="R43" i="13" a="1"/>
  <c r="R43" i="13" s="1"/>
  <c r="R26" i="13" a="1"/>
  <c r="R26" i="13" s="1"/>
  <c r="R9" i="13" a="1"/>
  <c r="R9" i="13" s="1"/>
  <c r="I14" i="15" s="1"/>
  <c r="P57" i="13" a="1"/>
  <c r="P57" i="13" s="1"/>
  <c r="G62" i="15" s="1"/>
  <c r="P41" i="13" a="1"/>
  <c r="P41" i="13" s="1"/>
  <c r="P25" i="13" a="1"/>
  <c r="P25" i="13" s="1"/>
  <c r="P9" i="13" a="1"/>
  <c r="P9" i="13" s="1"/>
  <c r="G14" i="15" s="1"/>
  <c r="Q47" i="13" a="1"/>
  <c r="Q47" i="13" s="1"/>
  <c r="Q31" i="13" a="1"/>
  <c r="Q31" i="13" s="1"/>
  <c r="H36" i="15" s="1"/>
  <c r="Q15" i="13" a="1"/>
  <c r="Q15" i="13" s="1"/>
  <c r="G51" i="22" a="1"/>
  <c r="G51" i="22" s="1"/>
  <c r="C54" i="23" s="1"/>
  <c r="G35" i="22" a="1"/>
  <c r="G35" i="22" s="1"/>
  <c r="C38" i="23" s="1"/>
  <c r="G19" i="22" a="1"/>
  <c r="G19" i="22" s="1"/>
  <c r="H50" i="22" a="1"/>
  <c r="H50" i="22" s="1"/>
  <c r="H34" i="22" a="1"/>
  <c r="H34" i="22" s="1"/>
  <c r="H18" i="22" a="1"/>
  <c r="H18" i="22" s="1"/>
  <c r="L48" i="13" a="1"/>
  <c r="L48" i="13" s="1"/>
  <c r="L31" i="13" a="1"/>
  <c r="L31" i="13" s="1"/>
  <c r="L13" i="13" a="1"/>
  <c r="L13" i="13" s="1"/>
  <c r="C18" i="15" s="1"/>
  <c r="M50" i="13" a="1"/>
  <c r="M50" i="13" s="1"/>
  <c r="D55" i="15" s="1"/>
  <c r="M33" i="13" a="1"/>
  <c r="M33" i="13" s="1"/>
  <c r="M16" i="13" a="1"/>
  <c r="M16" i="13" s="1"/>
  <c r="N53" i="13" a="1"/>
  <c r="N53" i="13" s="1"/>
  <c r="E58" i="15" s="1"/>
  <c r="N36" i="13" a="1"/>
  <c r="N36" i="13" s="1"/>
  <c r="N19" i="13" a="1"/>
  <c r="N19" i="13" s="1"/>
  <c r="E24" i="15" s="1"/>
  <c r="O56" i="13" a="1"/>
  <c r="O56" i="13" s="1"/>
  <c r="F61" i="15" s="1"/>
  <c r="O39" i="13" a="1"/>
  <c r="O39" i="13" s="1"/>
  <c r="F44" i="15" s="1"/>
  <c r="O22" i="13" a="1"/>
  <c r="O22" i="13" s="1"/>
  <c r="F27" i="15" s="1"/>
  <c r="R59" i="13" a="1"/>
  <c r="R59" i="13" s="1"/>
  <c r="R42" i="13" a="1"/>
  <c r="R42" i="13" s="1"/>
  <c r="R25" i="13" a="1"/>
  <c r="R25" i="13" s="1"/>
  <c r="R8" i="13" a="1"/>
  <c r="R8" i="13" s="1"/>
  <c r="P56" i="13" a="1"/>
  <c r="P56" i="13" s="1"/>
  <c r="P40" i="13" a="1"/>
  <c r="P40" i="13" s="1"/>
  <c r="P24" i="13" a="1"/>
  <c r="P24" i="13" s="1"/>
  <c r="G29" i="15" s="1"/>
  <c r="P8" i="13" a="1"/>
  <c r="P8" i="13" s="1"/>
  <c r="G13" i="15" s="1"/>
  <c r="Q46" i="13" a="1"/>
  <c r="Q46" i="13" s="1"/>
  <c r="Q30" i="13" a="1"/>
  <c r="Q30" i="13" s="1"/>
  <c r="Q14" i="13" a="1"/>
  <c r="Q14" i="13" s="1"/>
  <c r="H19" i="15" s="1"/>
  <c r="G50" i="22" a="1"/>
  <c r="G50" i="22" s="1"/>
  <c r="G34" i="22" a="1"/>
  <c r="G34" i="22" s="1"/>
  <c r="C37" i="23" s="1"/>
  <c r="G18" i="22" a="1"/>
  <c r="G18" i="22" s="1"/>
  <c r="C21" i="23" s="1"/>
  <c r="H49" i="22" a="1"/>
  <c r="H49" i="22" s="1"/>
  <c r="D52" i="23" s="1"/>
  <c r="H33" i="22" a="1"/>
  <c r="H33" i="22" s="1"/>
  <c r="D36" i="23" s="1"/>
  <c r="H17" i="22" a="1"/>
  <c r="H17" i="22" s="1"/>
  <c r="L47" i="13" a="1"/>
  <c r="L47" i="13" s="1"/>
  <c r="L29" i="13" a="1"/>
  <c r="L29" i="13" s="1"/>
  <c r="L12" i="13" a="1"/>
  <c r="L12" i="13" s="1"/>
  <c r="M49" i="13" a="1"/>
  <c r="M49" i="13" s="1"/>
  <c r="M32" i="13" a="1"/>
  <c r="M32" i="13" s="1"/>
  <c r="M15" i="13" a="1"/>
  <c r="M15" i="13" s="1"/>
  <c r="D20" i="15" s="1"/>
  <c r="N52" i="13" a="1"/>
  <c r="N52" i="13" s="1"/>
  <c r="E57" i="15" s="1"/>
  <c r="N35" i="13" a="1"/>
  <c r="N35" i="13" s="1"/>
  <c r="N18" i="13" a="1"/>
  <c r="N18" i="13" s="1"/>
  <c r="O55" i="13" a="1"/>
  <c r="O55" i="13" s="1"/>
  <c r="F60" i="15" s="1"/>
  <c r="O38" i="13" a="1"/>
  <c r="O38" i="13" s="1"/>
  <c r="O21" i="13" a="1"/>
  <c r="O21" i="13" s="1"/>
  <c r="F26" i="15" s="1"/>
  <c r="R58" i="13" a="1"/>
  <c r="R58" i="13" s="1"/>
  <c r="I63" i="15" s="1"/>
  <c r="R41" i="13" a="1"/>
  <c r="R41" i="13" s="1"/>
  <c r="I46" i="15" s="1"/>
  <c r="R24" i="13" a="1"/>
  <c r="R24" i="13" s="1"/>
  <c r="I29" i="15" s="1"/>
  <c r="R7" i="13" a="1"/>
  <c r="R7" i="13" s="1"/>
  <c r="P55" i="13" a="1"/>
  <c r="P55" i="13" s="1"/>
  <c r="P39" i="13" a="1"/>
  <c r="P39" i="13" s="1"/>
  <c r="P23" i="13" a="1"/>
  <c r="P23" i="13" s="1"/>
  <c r="P7" i="13" a="1"/>
  <c r="P7" i="13" s="1"/>
  <c r="Q45" i="13" a="1"/>
  <c r="Q45" i="13" s="1"/>
  <c r="Q29" i="13" a="1"/>
  <c r="Q29" i="13" s="1"/>
  <c r="H34" i="15" s="1"/>
  <c r="Q13" i="13" a="1"/>
  <c r="Q13" i="13" s="1"/>
  <c r="H18" i="15" s="1"/>
  <c r="G49" i="22" a="1"/>
  <c r="G49" i="22" s="1"/>
  <c r="G33" i="22" a="1"/>
  <c r="G33" i="22" s="1"/>
  <c r="G17" i="22" a="1"/>
  <c r="G17" i="22" s="1"/>
  <c r="H48" i="22" a="1"/>
  <c r="H48" i="22" s="1"/>
  <c r="H32" i="22" a="1"/>
  <c r="H32" i="22" s="1"/>
  <c r="D35" i="23" s="1"/>
  <c r="H16" i="22" a="1"/>
  <c r="H16" i="22" s="1"/>
  <c r="L45" i="13" a="1"/>
  <c r="L45" i="13" s="1"/>
  <c r="C50" i="15" s="1"/>
  <c r="L28" i="13" a="1"/>
  <c r="L28" i="13" s="1"/>
  <c r="C33" i="15" s="1"/>
  <c r="L11" i="13" a="1"/>
  <c r="L11" i="13" s="1"/>
  <c r="M48" i="13" a="1"/>
  <c r="M48" i="13" s="1"/>
  <c r="M31" i="13" a="1"/>
  <c r="M31" i="13" s="1"/>
  <c r="M14" i="13" a="1"/>
  <c r="M14" i="13" s="1"/>
  <c r="N51" i="13" a="1"/>
  <c r="N51" i="13" s="1"/>
  <c r="N34" i="13" a="1"/>
  <c r="N34" i="13" s="1"/>
  <c r="N17" i="13" a="1"/>
  <c r="N17" i="13" s="1"/>
  <c r="E22" i="15" s="1"/>
  <c r="O54" i="13" a="1"/>
  <c r="O54" i="13" s="1"/>
  <c r="F59" i="15" s="1"/>
  <c r="O37" i="13" a="1"/>
  <c r="O37" i="13" s="1"/>
  <c r="O20" i="13" a="1"/>
  <c r="O20" i="13" s="1"/>
  <c r="R57" i="13" a="1"/>
  <c r="R57" i="13" s="1"/>
  <c r="R40" i="13" a="1"/>
  <c r="R40" i="13" s="1"/>
  <c r="R23" i="13" a="1"/>
  <c r="R23" i="13" s="1"/>
  <c r="I28" i="15" s="1"/>
  <c r="P54" i="13" a="1"/>
  <c r="P54" i="13" s="1"/>
  <c r="G59" i="15" s="1"/>
  <c r="P38" i="13" a="1"/>
  <c r="P38" i="13" s="1"/>
  <c r="G43" i="15" s="1"/>
  <c r="P22" i="13" a="1"/>
  <c r="P22" i="13" s="1"/>
  <c r="G27" i="15" s="1"/>
  <c r="Q6" i="13" a="1"/>
  <c r="Q6" i="13" s="1"/>
  <c r="Q44" i="13" a="1"/>
  <c r="Q44" i="13" s="1"/>
  <c r="Q28" i="13" a="1"/>
  <c r="Q28" i="13" s="1"/>
  <c r="Q12" i="13" a="1"/>
  <c r="Q12" i="13" s="1"/>
  <c r="G48" i="22" a="1"/>
  <c r="G48" i="22" s="1"/>
  <c r="G32" i="22" a="1"/>
  <c r="G32" i="22" s="1"/>
  <c r="G16" i="22" a="1"/>
  <c r="G16" i="22" s="1"/>
  <c r="C19" i="23" s="1"/>
  <c r="H47" i="22" a="1"/>
  <c r="H47" i="22" s="1"/>
  <c r="H31" i="22" a="1"/>
  <c r="H31" i="22" s="1"/>
  <c r="H15" i="22" a="1"/>
  <c r="H15" i="22" s="1"/>
  <c r="L44" i="13" a="1"/>
  <c r="L44" i="13" s="1"/>
  <c r="L27" i="13" a="1"/>
  <c r="L27" i="13" s="1"/>
  <c r="L10" i="13" a="1"/>
  <c r="L10" i="13" s="1"/>
  <c r="C15" i="15" s="1"/>
  <c r="M47" i="13" a="1"/>
  <c r="M47" i="13" s="1"/>
  <c r="D52" i="15" s="1"/>
  <c r="M30" i="13" a="1"/>
  <c r="M30" i="13" s="1"/>
  <c r="D35" i="15" s="1"/>
  <c r="M13" i="13" a="1"/>
  <c r="M13" i="13" s="1"/>
  <c r="D18" i="15" s="1"/>
  <c r="N50" i="13" a="1"/>
  <c r="N50" i="13" s="1"/>
  <c r="N33" i="13" a="1"/>
  <c r="N33" i="13" s="1"/>
  <c r="N16" i="13" a="1"/>
  <c r="N16" i="13" s="1"/>
  <c r="O53" i="13" a="1"/>
  <c r="O53" i="13" s="1"/>
  <c r="O36" i="13" a="1"/>
  <c r="O36" i="13" s="1"/>
  <c r="O19" i="13" a="1"/>
  <c r="O19" i="13" s="1"/>
  <c r="R56" i="13" a="1"/>
  <c r="R56" i="13" s="1"/>
  <c r="R39" i="13" a="1"/>
  <c r="R39" i="13" s="1"/>
  <c r="R21" i="13" a="1"/>
  <c r="R21" i="13" s="1"/>
  <c r="P53" i="13" a="1"/>
  <c r="P53" i="13" s="1"/>
  <c r="P37" i="13" a="1"/>
  <c r="P37" i="13" s="1"/>
  <c r="G42" i="15" s="1"/>
  <c r="P21" i="13" a="1"/>
  <c r="P21" i="13" s="1"/>
  <c r="Q59" i="13" a="1"/>
  <c r="Q59" i="13" s="1"/>
  <c r="Q43" i="13" a="1"/>
  <c r="Q43" i="13" s="1"/>
  <c r="H48" i="15" s="1"/>
  <c r="Q27" i="13" a="1"/>
  <c r="Q27" i="13" s="1"/>
  <c r="H32" i="15" s="1"/>
  <c r="Q11" i="13" a="1"/>
  <c r="Q11" i="13" s="1"/>
  <c r="H16" i="15" s="1"/>
  <c r="G47" i="22" a="1"/>
  <c r="G47" i="22" s="1"/>
  <c r="G31" i="22" a="1"/>
  <c r="G31" i="22" s="1"/>
  <c r="G15" i="22" a="1"/>
  <c r="G15" i="22" s="1"/>
  <c r="H46" i="22" a="1"/>
  <c r="H46" i="22" s="1"/>
  <c r="H30" i="22" a="1"/>
  <c r="H30" i="22" s="1"/>
  <c r="L6" i="13" a="1"/>
  <c r="L6" i="13" s="1"/>
  <c r="L43" i="13" a="1"/>
  <c r="L43" i="13" s="1"/>
  <c r="C48" i="15" s="1"/>
  <c r="L26" i="13" a="1"/>
  <c r="L26" i="13" s="1"/>
  <c r="C31" i="15" s="1"/>
  <c r="L9" i="13" a="1"/>
  <c r="L9" i="13" s="1"/>
  <c r="M46" i="13" a="1"/>
  <c r="M46" i="13" s="1"/>
  <c r="M29" i="13" a="1"/>
  <c r="M29" i="13" s="1"/>
  <c r="D34" i="15" s="1"/>
  <c r="M12" i="13" a="1"/>
  <c r="M12" i="13" s="1"/>
  <c r="N49" i="13" a="1"/>
  <c r="N49" i="13" s="1"/>
  <c r="E54" i="15" s="1"/>
  <c r="N32" i="13" a="1"/>
  <c r="N32" i="13" s="1"/>
  <c r="E37" i="15" s="1"/>
  <c r="N15" i="13" a="1"/>
  <c r="N15" i="13" s="1"/>
  <c r="E20" i="15" s="1"/>
  <c r="O52" i="13" a="1"/>
  <c r="O52" i="13" s="1"/>
  <c r="F57" i="15" s="1"/>
  <c r="O35" i="13" a="1"/>
  <c r="O35" i="13" s="1"/>
  <c r="O18" i="13" a="1"/>
  <c r="O18" i="13" s="1"/>
  <c r="R55" i="13" a="1"/>
  <c r="R55" i="13" s="1"/>
  <c r="R37" i="13" a="1"/>
  <c r="R37" i="13" s="1"/>
  <c r="R22" i="13" a="1"/>
  <c r="R22" i="13" s="1"/>
  <c r="M22" i="10" a="1"/>
  <c r="M22" i="10" s="1"/>
  <c r="L19" i="10" a="1"/>
  <c r="L19" i="10" s="1"/>
  <c r="D24" i="11" s="1"/>
  <c r="K14" i="10" a="1"/>
  <c r="K14" i="10" s="1"/>
  <c r="C19" i="11" s="1"/>
  <c r="N11" i="10" a="1"/>
  <c r="N11" i="10" s="1"/>
  <c r="O9" i="10" a="1"/>
  <c r="O9" i="10" s="1"/>
  <c r="K7" i="12" a="1"/>
  <c r="K7" i="12" s="1"/>
  <c r="E11" i="14" s="1"/>
  <c r="I7" i="12" a="1"/>
  <c r="I7" i="12" s="1"/>
  <c r="K14" i="12" a="1"/>
  <c r="K14" i="12" s="1"/>
  <c r="E18" i="14" s="1"/>
  <c r="I14" i="12" a="1"/>
  <c r="I14" i="12" s="1"/>
  <c r="C18" i="14" s="1"/>
  <c r="K13" i="12" a="1"/>
  <c r="K13" i="12" s="1"/>
  <c r="E17" i="14" s="1"/>
  <c r="L9" i="12" a="1"/>
  <c r="L9" i="12" s="1"/>
  <c r="F13" i="14" s="1"/>
  <c r="I12" i="12" a="1"/>
  <c r="I12" i="12" s="1"/>
  <c r="K11" i="12" a="1"/>
  <c r="K11" i="12" s="1"/>
  <c r="I11" i="12" a="1"/>
  <c r="I11" i="12" s="1"/>
  <c r="K10" i="12" a="1"/>
  <c r="K10" i="12" s="1"/>
  <c r="E14" i="14" s="1"/>
  <c r="I10" i="12" a="1"/>
  <c r="I10" i="12" s="1"/>
  <c r="K9" i="12" a="1"/>
  <c r="K9" i="12" s="1"/>
  <c r="I9" i="12" a="1"/>
  <c r="I9" i="12" s="1"/>
  <c r="C13" i="14" s="1"/>
  <c r="K8" i="12" a="1"/>
  <c r="K8" i="12" s="1"/>
  <c r="E12" i="14" s="1"/>
  <c r="I8" i="12" a="1"/>
  <c r="I8" i="12" s="1"/>
  <c r="L7" i="12" a="1"/>
  <c r="L7" i="12" s="1"/>
  <c r="F11" i="14" s="1"/>
  <c r="J7" i="12" a="1"/>
  <c r="J7" i="12" s="1"/>
  <c r="D11" i="14" s="1"/>
  <c r="L14" i="12" a="1"/>
  <c r="L14" i="12" s="1"/>
  <c r="J14" i="12" a="1"/>
  <c r="J14" i="12" s="1"/>
  <c r="D18" i="14" s="1"/>
  <c r="L13" i="12" a="1"/>
  <c r="L13" i="12" s="1"/>
  <c r="F17" i="14" s="1"/>
  <c r="J13" i="12" a="1"/>
  <c r="J13" i="12" s="1"/>
  <c r="D17" i="14" s="1"/>
  <c r="L12" i="12" a="1"/>
  <c r="L12" i="12" s="1"/>
  <c r="F16" i="14" s="1"/>
  <c r="J12" i="12" a="1"/>
  <c r="J12" i="12" s="1"/>
  <c r="L11" i="12" a="1"/>
  <c r="L11" i="12" s="1"/>
  <c r="J11" i="12" a="1"/>
  <c r="J11" i="12" s="1"/>
  <c r="L10" i="12" a="1"/>
  <c r="L10" i="12" s="1"/>
  <c r="J10" i="12" a="1"/>
  <c r="J10" i="12" s="1"/>
  <c r="L8" i="12" a="1"/>
  <c r="L8" i="12" s="1"/>
  <c r="K13" i="10" a="1"/>
  <c r="K13" i="10" s="1"/>
  <c r="C18" i="11" s="1"/>
  <c r="L66" i="7" a="1"/>
  <c r="L66" i="7" s="1"/>
  <c r="L50" i="7" a="1"/>
  <c r="L50" i="7" s="1"/>
  <c r="L34" i="7" a="1"/>
  <c r="L34" i="7" s="1"/>
  <c r="L18" i="7" a="1"/>
  <c r="L18" i="7" s="1"/>
  <c r="M71" i="7" a="1"/>
  <c r="M71" i="7" s="1"/>
  <c r="M55" i="7" a="1"/>
  <c r="M55" i="7" s="1"/>
  <c r="M39" i="7" a="1"/>
  <c r="M39" i="7" s="1"/>
  <c r="M23" i="7" a="1"/>
  <c r="M23" i="7" s="1"/>
  <c r="N7" i="7" a="1"/>
  <c r="N7" i="7" s="1"/>
  <c r="N60" i="7" a="1"/>
  <c r="N60" i="7" s="1"/>
  <c r="N44" i="7" a="1"/>
  <c r="N44" i="7" s="1"/>
  <c r="N28" i="7" a="1"/>
  <c r="N28" i="7" s="1"/>
  <c r="N12" i="7" a="1"/>
  <c r="N12" i="7" s="1"/>
  <c r="O65" i="7" a="1"/>
  <c r="O65" i="7" s="1"/>
  <c r="O49" i="7" a="1"/>
  <c r="O49" i="7" s="1"/>
  <c r="O33" i="7" a="1"/>
  <c r="O33" i="7" s="1"/>
  <c r="O17" i="7" a="1"/>
  <c r="O17" i="7" s="1"/>
  <c r="P70" i="7" a="1"/>
  <c r="P70" i="7" s="1"/>
  <c r="P54" i="7" a="1"/>
  <c r="P54" i="7" s="1"/>
  <c r="P38" i="7" a="1"/>
  <c r="P38" i="7" s="1"/>
  <c r="P22" i="7" a="1"/>
  <c r="P22" i="7" s="1"/>
  <c r="Q75" i="7" a="1"/>
  <c r="Q75" i="7" s="1"/>
  <c r="Q59" i="7" a="1"/>
  <c r="Q59" i="7" s="1"/>
  <c r="Q43" i="7" a="1"/>
  <c r="Q43" i="7" s="1"/>
  <c r="Q27" i="7" a="1"/>
  <c r="Q27" i="7" s="1"/>
  <c r="Q11" i="7" a="1"/>
  <c r="Q11" i="7" s="1"/>
  <c r="O15" i="16" a="1"/>
  <c r="O15" i="16" s="1"/>
  <c r="P36" i="16" a="1"/>
  <c r="P36" i="16" s="1"/>
  <c r="L75" i="7" a="1"/>
  <c r="L75" i="7" s="1"/>
  <c r="L59" i="7" a="1"/>
  <c r="L59" i="7" s="1"/>
  <c r="L43" i="7" a="1"/>
  <c r="L43" i="7" s="1"/>
  <c r="L27" i="7" a="1"/>
  <c r="L27" i="7" s="1"/>
  <c r="L11" i="7" a="1"/>
  <c r="L11" i="7" s="1"/>
  <c r="M64" i="7" a="1"/>
  <c r="M64" i="7" s="1"/>
  <c r="M48" i="7" a="1"/>
  <c r="M48" i="7" s="1"/>
  <c r="M32" i="7" a="1"/>
  <c r="M32" i="7" s="1"/>
  <c r="M16" i="7" a="1"/>
  <c r="M16" i="7" s="1"/>
  <c r="N69" i="7" a="1"/>
  <c r="N69" i="7" s="1"/>
  <c r="N53" i="7" a="1"/>
  <c r="N53" i="7" s="1"/>
  <c r="N37" i="7" a="1"/>
  <c r="N37" i="7" s="1"/>
  <c r="N21" i="7" a="1"/>
  <c r="N21" i="7" s="1"/>
  <c r="O74" i="7" a="1"/>
  <c r="O74" i="7" s="1"/>
  <c r="O58" i="7" a="1"/>
  <c r="O58" i="7" s="1"/>
  <c r="O42" i="7" a="1"/>
  <c r="O42" i="7" s="1"/>
  <c r="O26" i="7" a="1"/>
  <c r="O26" i="7" s="1"/>
  <c r="O10" i="7" a="1"/>
  <c r="O10" i="7" s="1"/>
  <c r="P63" i="7" a="1"/>
  <c r="P63" i="7" s="1"/>
  <c r="P47" i="7" a="1"/>
  <c r="P47" i="7" s="1"/>
  <c r="P31" i="7" a="1"/>
  <c r="P31" i="7" s="1"/>
  <c r="P15" i="7" a="1"/>
  <c r="P15" i="7" s="1"/>
  <c r="Q68" i="7" a="1"/>
  <c r="Q68" i="7" s="1"/>
  <c r="Q52" i="7" a="1"/>
  <c r="Q52" i="7" s="1"/>
  <c r="Q36" i="7" a="1"/>
  <c r="Q36" i="7" s="1"/>
  <c r="Q20" i="7" a="1"/>
  <c r="Q20" i="7" s="1"/>
  <c r="O61" i="16" a="1"/>
  <c r="O61" i="16" s="1"/>
  <c r="F65" i="17" s="1"/>
  <c r="O38" i="16" a="1"/>
  <c r="O38" i="16" s="1"/>
  <c r="F42" i="17" s="1"/>
  <c r="O10" i="16" a="1"/>
  <c r="O10" i="16" s="1"/>
  <c r="F14" i="17" s="1"/>
  <c r="P19" i="16" a="1"/>
  <c r="P19" i="16" s="1"/>
  <c r="M15" i="7" a="1"/>
  <c r="M15" i="7" s="1"/>
  <c r="N68" i="7" a="1"/>
  <c r="N68" i="7" s="1"/>
  <c r="N52" i="7" a="1"/>
  <c r="N52" i="7" s="1"/>
  <c r="N36" i="7" a="1"/>
  <c r="N36" i="7" s="1"/>
  <c r="N20" i="7" a="1"/>
  <c r="N20" i="7" s="1"/>
  <c r="O73" i="7" a="1"/>
  <c r="O73" i="7" s="1"/>
  <c r="O57" i="7" a="1"/>
  <c r="O57" i="7" s="1"/>
  <c r="O41" i="7" a="1"/>
  <c r="O41" i="7" s="1"/>
  <c r="O25" i="7" a="1"/>
  <c r="O25" i="7" s="1"/>
  <c r="O9" i="7" a="1"/>
  <c r="O9" i="7" s="1"/>
  <c r="P62" i="7" a="1"/>
  <c r="P62" i="7" s="1"/>
  <c r="P46" i="7" a="1"/>
  <c r="P46" i="7" s="1"/>
  <c r="P30" i="7" a="1"/>
  <c r="P30" i="7" s="1"/>
  <c r="P14" i="7" a="1"/>
  <c r="P14" i="7" s="1"/>
  <c r="Q67" i="7" a="1"/>
  <c r="Q67" i="7" s="1"/>
  <c r="Q51" i="7" a="1"/>
  <c r="Q51" i="7" s="1"/>
  <c r="Q35" i="7" a="1"/>
  <c r="Q35" i="7" s="1"/>
  <c r="O60" i="16" a="1"/>
  <c r="O60" i="16" s="1"/>
  <c r="O37" i="16" a="1"/>
  <c r="O37" i="16" s="1"/>
  <c r="F41" i="17" s="1"/>
  <c r="P75" i="16" a="1"/>
  <c r="P75" i="16" s="1"/>
  <c r="P17" i="16" a="1"/>
  <c r="P17" i="16" s="1"/>
  <c r="O36" i="16" a="1"/>
  <c r="O36" i="16" s="1"/>
  <c r="F40" i="17" s="1"/>
  <c r="P71" i="16" a="1"/>
  <c r="P71" i="16" s="1"/>
  <c r="G75" i="17" s="1"/>
  <c r="Q54" i="16" a="1"/>
  <c r="Q54" i="16" s="1"/>
  <c r="H58" i="17" s="1"/>
  <c r="R23" i="16" a="1"/>
  <c r="R23" i="16" s="1"/>
  <c r="I27" i="17" s="1"/>
  <c r="O55" i="16" a="1"/>
  <c r="O55" i="16" s="1"/>
  <c r="F59" i="17" s="1"/>
  <c r="O31" i="16" a="1"/>
  <c r="O31" i="16" s="1"/>
  <c r="F35" i="17" s="1"/>
  <c r="P68" i="16" a="1"/>
  <c r="P68" i="16" s="1"/>
  <c r="G72" i="17" s="1"/>
  <c r="Q44" i="16" a="1"/>
  <c r="Q44" i="16" s="1"/>
  <c r="H48" i="17" s="1"/>
  <c r="O30" i="16" a="1"/>
  <c r="O30" i="16" s="1"/>
  <c r="F34" i="17" s="1"/>
  <c r="P66" i="16" a="1"/>
  <c r="P66" i="16" s="1"/>
  <c r="G70" i="17" s="1"/>
  <c r="Q43" i="16" a="1"/>
  <c r="Q43" i="16" s="1"/>
  <c r="O7" i="16" a="1"/>
  <c r="O7" i="16" s="1"/>
  <c r="F11" i="17" s="1"/>
  <c r="O53" i="16" a="1"/>
  <c r="O53" i="16" s="1"/>
  <c r="O29" i="16" a="1"/>
  <c r="O29" i="16" s="1"/>
  <c r="F33" i="17" s="1"/>
  <c r="P62" i="16" a="1"/>
  <c r="P62" i="16" s="1"/>
  <c r="M21" i="10" a="1"/>
  <c r="M21" i="10" s="1"/>
  <c r="L17" i="10" a="1"/>
  <c r="L17" i="10" s="1"/>
  <c r="K12" i="10" a="1"/>
  <c r="K12" i="10" s="1"/>
  <c r="C17" i="11" s="1"/>
  <c r="N10" i="10" a="1"/>
  <c r="N10" i="10" s="1"/>
  <c r="F15" i="11" s="1"/>
  <c r="O8" i="10" a="1"/>
  <c r="O8" i="10" s="1"/>
  <c r="K25" i="10" a="1"/>
  <c r="K25" i="10" s="1"/>
  <c r="I17" i="11" s="1"/>
  <c r="M20" i="10" a="1"/>
  <c r="M20" i="10" s="1"/>
  <c r="L16" i="10" a="1"/>
  <c r="L16" i="10" s="1"/>
  <c r="D21" i="11" s="1"/>
  <c r="K11" i="10" a="1"/>
  <c r="K11" i="10" s="1"/>
  <c r="C16" i="11" s="1"/>
  <c r="N9" i="10" a="1"/>
  <c r="N9" i="10" s="1"/>
  <c r="F14" i="11" s="1"/>
  <c r="O7" i="10" a="1"/>
  <c r="O7" i="10" s="1"/>
  <c r="G12" i="11" s="1"/>
  <c r="M18" i="10" a="1"/>
  <c r="M18" i="10" s="1"/>
  <c r="L15" i="10" a="1"/>
  <c r="L15" i="10" s="1"/>
  <c r="K10" i="10" a="1"/>
  <c r="K10" i="10" s="1"/>
  <c r="N8" i="10" a="1"/>
  <c r="N8" i="10" s="1"/>
  <c r="F13" i="11" s="1"/>
  <c r="P6" i="10" a="1"/>
  <c r="P6" i="10" s="1"/>
  <c r="H11" i="11" s="1"/>
  <c r="M17" i="10" a="1"/>
  <c r="M17" i="10" s="1"/>
  <c r="L14" i="10" a="1"/>
  <c r="L14" i="10" s="1"/>
  <c r="D19" i="11" s="1"/>
  <c r="K9" i="10" a="1"/>
  <c r="K9" i="10" s="1"/>
  <c r="C14" i="11" s="1"/>
  <c r="N7" i="10" a="1"/>
  <c r="N7" i="10" s="1"/>
  <c r="F12" i="11" s="1"/>
  <c r="P21" i="10" a="1"/>
  <c r="P21" i="10" s="1"/>
  <c r="H26" i="11" s="1"/>
  <c r="M16" i="10" a="1"/>
  <c r="M16" i="10" s="1"/>
  <c r="E21" i="11" s="1"/>
  <c r="L12" i="10" a="1"/>
  <c r="L12" i="10" s="1"/>
  <c r="K8" i="10" a="1"/>
  <c r="K8" i="10" s="1"/>
  <c r="C13" i="11" s="1"/>
  <c r="O6" i="10" a="1"/>
  <c r="O6" i="10" s="1"/>
  <c r="G11" i="11" s="1"/>
  <c r="P20" i="10" a="1"/>
  <c r="P20" i="10" s="1"/>
  <c r="H25" i="11" s="1"/>
  <c r="M15" i="10" a="1"/>
  <c r="M15" i="10" s="1"/>
  <c r="E20" i="11" s="1"/>
  <c r="L11" i="10" a="1"/>
  <c r="L11" i="10" s="1"/>
  <c r="K7" i="10" a="1"/>
  <c r="K7" i="10" s="1"/>
  <c r="C12" i="11" s="1"/>
  <c r="O21" i="10" a="1"/>
  <c r="O21" i="10" s="1"/>
  <c r="P19" i="10" a="1"/>
  <c r="P19" i="10" s="1"/>
  <c r="H24" i="11" s="1"/>
  <c r="M14" i="10" a="1"/>
  <c r="M14" i="10" s="1"/>
  <c r="E19" i="11" s="1"/>
  <c r="L10" i="10" a="1"/>
  <c r="L10" i="10" s="1"/>
  <c r="N6" i="10" a="1"/>
  <c r="N6" i="10" s="1"/>
  <c r="F11" i="11" s="1"/>
  <c r="O20" i="10" a="1"/>
  <c r="O20" i="10" s="1"/>
  <c r="G25" i="11" s="1"/>
  <c r="P18" i="10" a="1"/>
  <c r="P18" i="10" s="1"/>
  <c r="M12" i="10" a="1"/>
  <c r="M12" i="10" s="1"/>
  <c r="E17" i="11" s="1"/>
  <c r="L9" i="10" a="1"/>
  <c r="L9" i="10" s="1"/>
  <c r="D14" i="11" s="1"/>
  <c r="N21" i="10" a="1"/>
  <c r="N21" i="10" s="1"/>
  <c r="O19" i="10" a="1"/>
  <c r="O19" i="10" s="1"/>
  <c r="G24" i="11" s="1"/>
  <c r="P17" i="10" a="1"/>
  <c r="P17" i="10" s="1"/>
  <c r="M11" i="10" a="1"/>
  <c r="M11" i="10" s="1"/>
  <c r="E16" i="11" s="1"/>
  <c r="L8" i="10" a="1"/>
  <c r="L8" i="10" s="1"/>
  <c r="D13" i="11" s="1"/>
  <c r="N20" i="10" a="1"/>
  <c r="N20" i="10" s="1"/>
  <c r="O18" i="10" a="1"/>
  <c r="O18" i="10" s="1"/>
  <c r="G23" i="11" s="1"/>
  <c r="P15" i="10" a="1"/>
  <c r="P15" i="10" s="1"/>
  <c r="H20" i="11" s="1"/>
  <c r="M10" i="10" a="1"/>
  <c r="M10" i="10" s="1"/>
  <c r="E15" i="11" s="1"/>
  <c r="K21" i="10" a="1"/>
  <c r="K21" i="10" s="1"/>
  <c r="C26" i="11" s="1"/>
  <c r="N19" i="10" a="1"/>
  <c r="N19" i="10" s="1"/>
  <c r="O17" i="10" a="1"/>
  <c r="O17" i="10" s="1"/>
  <c r="G22" i="11" s="1"/>
  <c r="P14" i="10" a="1"/>
  <c r="P14" i="10" s="1"/>
  <c r="H19" i="11" s="1"/>
  <c r="M9" i="10" a="1"/>
  <c r="M9" i="10" s="1"/>
  <c r="E14" i="11" s="1"/>
  <c r="K20" i="10" a="1"/>
  <c r="K20" i="10" s="1"/>
  <c r="C25" i="11" s="1"/>
  <c r="N18" i="10" a="1"/>
  <c r="N18" i="10" s="1"/>
  <c r="F23" i="11" s="1"/>
  <c r="O15" i="10" a="1"/>
  <c r="O15" i="10" s="1"/>
  <c r="G20" i="11" s="1"/>
  <c r="P12" i="10" a="1"/>
  <c r="P12" i="10" s="1"/>
  <c r="H17" i="11" s="1"/>
  <c r="M7" i="10" a="1"/>
  <c r="M7" i="10" s="1"/>
  <c r="K19" i="10" a="1"/>
  <c r="K19" i="10" s="1"/>
  <c r="C24" i="11" s="1"/>
  <c r="N17" i="10" a="1"/>
  <c r="N17" i="10" s="1"/>
  <c r="F22" i="11" s="1"/>
  <c r="O14" i="10" a="1"/>
  <c r="O14" i="10" s="1"/>
  <c r="P11" i="10" a="1"/>
  <c r="P11" i="10" s="1"/>
  <c r="H16" i="11" s="1"/>
  <c r="L22" i="10" a="1"/>
  <c r="L22" i="10" s="1"/>
  <c r="K18" i="10" a="1"/>
  <c r="K18" i="10" s="1"/>
  <c r="C23" i="11" s="1"/>
  <c r="N15" i="10" a="1"/>
  <c r="N15" i="10" s="1"/>
  <c r="F20" i="11" s="1"/>
  <c r="O12" i="10" a="1"/>
  <c r="O12" i="10" s="1"/>
  <c r="P10" i="10" a="1"/>
  <c r="P10" i="10" s="1"/>
  <c r="H15" i="11" s="1"/>
  <c r="P31" i="16" a="1"/>
  <c r="P31" i="16" s="1"/>
  <c r="G35" i="17" s="1"/>
  <c r="R74" i="16" a="1"/>
  <c r="R74" i="16" s="1"/>
  <c r="I78" i="17" s="1"/>
  <c r="K6" i="10" a="1"/>
  <c r="K6" i="10" s="1"/>
  <c r="C11" i="11" s="1"/>
  <c r="L21" i="10" a="1"/>
  <c r="L21" i="10" s="1"/>
  <c r="D26" i="11" s="1"/>
  <c r="K17" i="10" a="1"/>
  <c r="K17" i="10" s="1"/>
  <c r="N14" i="10" a="1"/>
  <c r="N14" i="10" s="1"/>
  <c r="F19" i="11" s="1"/>
  <c r="O11" i="10" a="1"/>
  <c r="O11" i="10" s="1"/>
  <c r="G16" i="11" s="1"/>
  <c r="P9" i="10" a="1"/>
  <c r="P9" i="10" s="1"/>
  <c r="H14" i="11" s="1"/>
  <c r="P30" i="16" a="1"/>
  <c r="P30" i="16" s="1"/>
  <c r="G34" i="17" s="1"/>
  <c r="R70" i="16" a="1"/>
  <c r="R70" i="16" s="1"/>
  <c r="M6" i="10" a="1"/>
  <c r="M6" i="10" s="1"/>
  <c r="E11" i="11" s="1"/>
  <c r="L20" i="10" a="1"/>
  <c r="L20" i="10" s="1"/>
  <c r="D25" i="11" s="1"/>
  <c r="K15" i="10" a="1"/>
  <c r="K15" i="10" s="1"/>
  <c r="C20" i="11" s="1"/>
  <c r="N12" i="10" a="1"/>
  <c r="N12" i="10" s="1"/>
  <c r="F17" i="11" s="1"/>
  <c r="O10" i="10" a="1"/>
  <c r="O10" i="10" s="1"/>
  <c r="P8" i="10" a="1"/>
  <c r="P8" i="10" s="1"/>
  <c r="H13" i="11" s="1"/>
  <c r="P23" i="16" a="1"/>
  <c r="P23" i="16" s="1"/>
  <c r="G27" i="17" s="1"/>
  <c r="R59" i="16" a="1"/>
  <c r="R59" i="16" s="1"/>
  <c r="I63" i="17" s="1"/>
  <c r="O23" i="16" a="1"/>
  <c r="O23" i="16" s="1"/>
  <c r="F27" i="17" s="1"/>
  <c r="P60" i="16" a="1"/>
  <c r="P60" i="16" s="1"/>
  <c r="G64" i="17" s="1"/>
  <c r="P16" i="16" a="1"/>
  <c r="P16" i="16" s="1"/>
  <c r="G20" i="17" s="1"/>
  <c r="R54" i="16" a="1"/>
  <c r="R54" i="16" s="1"/>
  <c r="I58" i="17" s="1"/>
  <c r="N17" i="16" a="1"/>
  <c r="N17" i="16" s="1"/>
  <c r="E21" i="17" s="1"/>
  <c r="O64" i="16" a="1"/>
  <c r="O64" i="16" s="1"/>
  <c r="F68" i="17" s="1"/>
  <c r="O43" i="16" a="1"/>
  <c r="O43" i="16" s="1"/>
  <c r="F47" i="17" s="1"/>
  <c r="O22" i="16" a="1"/>
  <c r="O22" i="16" s="1"/>
  <c r="P59" i="16" a="1"/>
  <c r="P59" i="16" s="1"/>
  <c r="Q63" i="16" a="1"/>
  <c r="Q63" i="16" s="1"/>
  <c r="H67" i="17" s="1"/>
  <c r="R35" i="16" a="1"/>
  <c r="R35" i="16" s="1"/>
  <c r="I39" i="17" s="1"/>
  <c r="J9" i="12" a="1"/>
  <c r="J9" i="12" s="1"/>
  <c r="D13" i="14" s="1"/>
  <c r="L46" i="13" a="1"/>
  <c r="L46" i="13" s="1"/>
  <c r="L30" i="13" a="1"/>
  <c r="L30" i="13" s="1"/>
  <c r="L14" i="13" a="1"/>
  <c r="L14" i="13" s="1"/>
  <c r="C19" i="15" s="1"/>
  <c r="M52" i="13" a="1"/>
  <c r="M52" i="13" s="1"/>
  <c r="D57" i="15" s="1"/>
  <c r="M36" i="13" a="1"/>
  <c r="M36" i="13" s="1"/>
  <c r="D41" i="15" s="1"/>
  <c r="M20" i="13" a="1"/>
  <c r="M20" i="13" s="1"/>
  <c r="D25" i="15" s="1"/>
  <c r="N58" i="13" a="1"/>
  <c r="N58" i="13" s="1"/>
  <c r="N42" i="13" a="1"/>
  <c r="N42" i="13" s="1"/>
  <c r="E47" i="15" s="1"/>
  <c r="N26" i="13" a="1"/>
  <c r="N26" i="13" s="1"/>
  <c r="E31" i="15" s="1"/>
  <c r="N10" i="13" a="1"/>
  <c r="N10" i="13" s="1"/>
  <c r="E15" i="15" s="1"/>
  <c r="O48" i="13" a="1"/>
  <c r="O48" i="13" s="1"/>
  <c r="F53" i="15" s="1"/>
  <c r="O32" i="13" a="1"/>
  <c r="O32" i="13" s="1"/>
  <c r="O16" i="13" a="1"/>
  <c r="O16" i="13" s="1"/>
  <c r="F21" i="15" s="1"/>
  <c r="R54" i="13" a="1"/>
  <c r="R54" i="13" s="1"/>
  <c r="I59" i="15" s="1"/>
  <c r="R38" i="13" a="1"/>
  <c r="R38" i="13" s="1"/>
  <c r="I43" i="15" s="1"/>
  <c r="L7" i="16" a="1"/>
  <c r="L7" i="16" s="1"/>
  <c r="C11" i="17" s="1"/>
  <c r="L60" i="16" a="1"/>
  <c r="L60" i="16" s="1"/>
  <c r="L44" i="16" a="1"/>
  <c r="L44" i="16" s="1"/>
  <c r="C48" i="17" s="1"/>
  <c r="L28" i="16" a="1"/>
  <c r="L28" i="16" s="1"/>
  <c r="C32" i="17" s="1"/>
  <c r="L12" i="16" a="1"/>
  <c r="L12" i="16" s="1"/>
  <c r="C16" i="17" s="1"/>
  <c r="M65" i="16" a="1"/>
  <c r="M65" i="16" s="1"/>
  <c r="D69" i="17" s="1"/>
  <c r="M49" i="16" a="1"/>
  <c r="M49" i="16" s="1"/>
  <c r="D53" i="17" s="1"/>
  <c r="M28" i="16" a="1"/>
  <c r="M28" i="16" s="1"/>
  <c r="M8" i="16" a="1"/>
  <c r="M8" i="16" s="1"/>
  <c r="D12" i="17" s="1"/>
  <c r="N57" i="16" a="1"/>
  <c r="N57" i="16" s="1"/>
  <c r="N37" i="16" a="1"/>
  <c r="N37" i="16" s="1"/>
  <c r="E41" i="17" s="1"/>
  <c r="N14" i="16" a="1"/>
  <c r="N14" i="16" s="1"/>
  <c r="E18" i="17" s="1"/>
  <c r="O63" i="16" a="1"/>
  <c r="O63" i="16" s="1"/>
  <c r="O42" i="16" a="1"/>
  <c r="O42" i="16" s="1"/>
  <c r="F46" i="17" s="1"/>
  <c r="O21" i="16" a="1"/>
  <c r="O21" i="16" s="1"/>
  <c r="F25" i="17" s="1"/>
  <c r="P51" i="16" a="1"/>
  <c r="P51" i="16" s="1"/>
  <c r="G55" i="17" s="1"/>
  <c r="Q62" i="16" a="1"/>
  <c r="Q62" i="16" s="1"/>
  <c r="H66" i="17" s="1"/>
  <c r="R34" i="16" a="1"/>
  <c r="R34" i="16" s="1"/>
  <c r="I38" i="17" s="1"/>
  <c r="P67" i="16" a="1"/>
  <c r="P67" i="16" s="1"/>
  <c r="G71" i="17" s="1"/>
  <c r="P44" i="16" a="1"/>
  <c r="P44" i="16" s="1"/>
  <c r="G48" i="17" s="1"/>
  <c r="P12" i="16" a="1"/>
  <c r="P12" i="16" s="1"/>
  <c r="G16" i="17" s="1"/>
  <c r="Q32" i="16" a="1"/>
  <c r="Q32" i="16" s="1"/>
  <c r="H36" i="17" s="1"/>
  <c r="R53" i="16" a="1"/>
  <c r="R53" i="16" s="1"/>
  <c r="I57" i="17" s="1"/>
  <c r="P43" i="16" a="1"/>
  <c r="P43" i="16" s="1"/>
  <c r="P10" i="16" a="1"/>
  <c r="P10" i="16" s="1"/>
  <c r="G14" i="17" s="1"/>
  <c r="Q30" i="16" a="1"/>
  <c r="Q30" i="16" s="1"/>
  <c r="H34" i="17" s="1"/>
  <c r="R52" i="16" a="1"/>
  <c r="R52" i="16" s="1"/>
  <c r="I56" i="17" s="1"/>
  <c r="O18" i="16" a="1"/>
  <c r="O18" i="16" s="1"/>
  <c r="F22" i="17" s="1"/>
  <c r="P65" i="16" a="1"/>
  <c r="P65" i="16" s="1"/>
  <c r="P39" i="16" a="1"/>
  <c r="P39" i="16" s="1"/>
  <c r="P9" i="16" a="1"/>
  <c r="P9" i="16" s="1"/>
  <c r="G13" i="17" s="1"/>
  <c r="Q29" i="16" a="1"/>
  <c r="Q29" i="16" s="1"/>
  <c r="H33" i="17" s="1"/>
  <c r="R49" i="16" a="1"/>
  <c r="R49" i="16" s="1"/>
  <c r="I53" i="17" s="1"/>
  <c r="M8" i="10" a="1"/>
  <c r="M8" i="10" s="1"/>
  <c r="E13" i="11" s="1"/>
  <c r="K22" i="10" a="1"/>
  <c r="K22" i="10" s="1"/>
  <c r="C27" i="11" s="1"/>
  <c r="N22" i="10" a="1"/>
  <c r="N22" i="10" s="1"/>
  <c r="F27" i="11" s="1"/>
  <c r="O22" i="10" a="1"/>
  <c r="O22" i="10" s="1"/>
  <c r="G27" i="11" s="1"/>
  <c r="P22" i="10" a="1"/>
  <c r="P22" i="10" s="1"/>
  <c r="H27" i="11" s="1"/>
  <c r="K26" i="10" a="1"/>
  <c r="K26" i="10" s="1"/>
  <c r="I23" i="11" s="1"/>
  <c r="M47" i="16" a="1"/>
  <c r="M47" i="16" s="1"/>
  <c r="M31" i="16" a="1"/>
  <c r="M31" i="16" s="1"/>
  <c r="D35" i="17" s="1"/>
  <c r="M15" i="16" a="1"/>
  <c r="M15" i="16" s="1"/>
  <c r="D19" i="17" s="1"/>
  <c r="N68" i="16" a="1"/>
  <c r="N68" i="16" s="1"/>
  <c r="E72" i="17" s="1"/>
  <c r="N50" i="16" a="1"/>
  <c r="N50" i="16" s="1"/>
  <c r="E54" i="17" s="1"/>
  <c r="N33" i="16" a="1"/>
  <c r="N33" i="16" s="1"/>
  <c r="N16" i="16" a="1"/>
  <c r="N16" i="16" s="1"/>
  <c r="E20" i="17" s="1"/>
  <c r="O68" i="16" a="1"/>
  <c r="O68" i="16" s="1"/>
  <c r="F72" i="17" s="1"/>
  <c r="O51" i="16" a="1"/>
  <c r="O51" i="16" s="1"/>
  <c r="F55" i="17" s="1"/>
  <c r="O34" i="16" a="1"/>
  <c r="O34" i="16" s="1"/>
  <c r="F38" i="17" s="1"/>
  <c r="O17" i="16" a="1"/>
  <c r="O17" i="16" s="1"/>
  <c r="F21" i="17" s="1"/>
  <c r="P64" i="16" a="1"/>
  <c r="P64" i="16" s="1"/>
  <c r="G68" i="17" s="1"/>
  <c r="P38" i="16" a="1"/>
  <c r="P38" i="16" s="1"/>
  <c r="G42" i="17" s="1"/>
  <c r="Q65" i="16" a="1"/>
  <c r="Q65" i="16" s="1"/>
  <c r="H69" i="17" s="1"/>
  <c r="Q27" i="16" a="1"/>
  <c r="Q27" i="16" s="1"/>
  <c r="H31" i="17" s="1"/>
  <c r="R43" i="16" a="1"/>
  <c r="R43" i="16" s="1"/>
  <c r="I47" i="17" s="1"/>
  <c r="M46" i="16" a="1"/>
  <c r="M46" i="16" s="1"/>
  <c r="D50" i="17" s="1"/>
  <c r="M30" i="16" a="1"/>
  <c r="M30" i="16" s="1"/>
  <c r="D34" i="17" s="1"/>
  <c r="M14" i="16" a="1"/>
  <c r="M14" i="16" s="1"/>
  <c r="D18" i="17" s="1"/>
  <c r="N66" i="16" a="1"/>
  <c r="N66" i="16" s="1"/>
  <c r="E70" i="17" s="1"/>
  <c r="N49" i="16" a="1"/>
  <c r="N49" i="16" s="1"/>
  <c r="E53" i="17" s="1"/>
  <c r="N32" i="16" a="1"/>
  <c r="N32" i="16" s="1"/>
  <c r="N15" i="16" a="1"/>
  <c r="N15" i="16" s="1"/>
  <c r="E19" i="17" s="1"/>
  <c r="O67" i="16" a="1"/>
  <c r="O67" i="16" s="1"/>
  <c r="F71" i="17" s="1"/>
  <c r="O50" i="16" a="1"/>
  <c r="O50" i="16" s="1"/>
  <c r="F54" i="17" s="1"/>
  <c r="O33" i="16" a="1"/>
  <c r="O33" i="16" s="1"/>
  <c r="F37" i="17" s="1"/>
  <c r="O16" i="16" a="1"/>
  <c r="O16" i="16" s="1"/>
  <c r="F20" i="17" s="1"/>
  <c r="P63" i="16" a="1"/>
  <c r="P63" i="16" s="1"/>
  <c r="G67" i="17" s="1"/>
  <c r="P37" i="16" a="1"/>
  <c r="P37" i="16" s="1"/>
  <c r="G41" i="17" s="1"/>
  <c r="Q64" i="16" a="1"/>
  <c r="Q64" i="16" s="1"/>
  <c r="H68" i="17" s="1"/>
  <c r="Q26" i="16" a="1"/>
  <c r="Q26" i="16" s="1"/>
  <c r="H30" i="17" s="1"/>
  <c r="R42" i="16" a="1"/>
  <c r="R42" i="16" s="1"/>
  <c r="I46" i="17" s="1"/>
  <c r="Q61" i="16" a="1"/>
  <c r="Q61" i="16" s="1"/>
  <c r="H65" i="17" s="1"/>
  <c r="Q14" i="16" a="1"/>
  <c r="Q14" i="16" s="1"/>
  <c r="H18" i="17" s="1"/>
  <c r="R33" i="16" a="1"/>
  <c r="R33" i="16" s="1"/>
  <c r="I37" i="17" s="1"/>
  <c r="O12" i="16" a="1"/>
  <c r="O12" i="16" s="1"/>
  <c r="F16" i="17" s="1"/>
  <c r="P55" i="16" a="1"/>
  <c r="P55" i="16" s="1"/>
  <c r="G59" i="17" s="1"/>
  <c r="P28" i="16" a="1"/>
  <c r="P28" i="16" s="1"/>
  <c r="G32" i="17" s="1"/>
  <c r="Q60" i="16" a="1"/>
  <c r="Q60" i="16" s="1"/>
  <c r="H64" i="17" s="1"/>
  <c r="Q13" i="16" a="1"/>
  <c r="Q13" i="16" s="1"/>
  <c r="H17" i="17" s="1"/>
  <c r="R32" i="16" a="1"/>
  <c r="R32" i="16" s="1"/>
  <c r="I36" i="17" s="1"/>
  <c r="M19" i="10" a="1"/>
  <c r="M19" i="10" s="1"/>
  <c r="E24" i="11" s="1"/>
  <c r="L18" i="10" a="1"/>
  <c r="L18" i="10" s="1"/>
  <c r="D23" i="11" s="1"/>
  <c r="K16" i="10" a="1"/>
  <c r="K16" i="10" s="1"/>
  <c r="C21" i="11" s="1"/>
  <c r="N16" i="10" a="1"/>
  <c r="N16" i="10" s="1"/>
  <c r="O16" i="10" a="1"/>
  <c r="O16" i="10" s="1"/>
  <c r="G21" i="11" s="1"/>
  <c r="P16" i="10" a="1"/>
  <c r="P16" i="10" s="1"/>
  <c r="H21" i="11" s="1"/>
  <c r="M41" i="16" a="1"/>
  <c r="M41" i="16" s="1"/>
  <c r="D45" i="17" s="1"/>
  <c r="M25" i="16" a="1"/>
  <c r="M25" i="16" s="1"/>
  <c r="D29" i="17" s="1"/>
  <c r="M9" i="16" a="1"/>
  <c r="M9" i="16" s="1"/>
  <c r="D13" i="17" s="1"/>
  <c r="N61" i="16" a="1"/>
  <c r="N61" i="16" s="1"/>
  <c r="E65" i="17" s="1"/>
  <c r="N44" i="16" a="1"/>
  <c r="N44" i="16" s="1"/>
  <c r="E48" i="17" s="1"/>
  <c r="N27" i="16" a="1"/>
  <c r="N27" i="16" s="1"/>
  <c r="E31" i="17" s="1"/>
  <c r="N10" i="16" a="1"/>
  <c r="N10" i="16" s="1"/>
  <c r="E14" i="17" s="1"/>
  <c r="O62" i="16" a="1"/>
  <c r="O62" i="16" s="1"/>
  <c r="F66" i="17" s="1"/>
  <c r="O45" i="16" a="1"/>
  <c r="O45" i="16" s="1"/>
  <c r="F49" i="17" s="1"/>
  <c r="O28" i="16" a="1"/>
  <c r="O28" i="16" s="1"/>
  <c r="F32" i="17" s="1"/>
  <c r="O11" i="16" a="1"/>
  <c r="O11" i="16" s="1"/>
  <c r="F15" i="17" s="1"/>
  <c r="P52" i="16" a="1"/>
  <c r="P52" i="16" s="1"/>
  <c r="G56" i="17" s="1"/>
  <c r="P27" i="16" a="1"/>
  <c r="P27" i="16" s="1"/>
  <c r="Q58" i="16" a="1"/>
  <c r="Q58" i="16" s="1"/>
  <c r="H62" i="17" s="1"/>
  <c r="Q12" i="16" a="1"/>
  <c r="Q12" i="16" s="1"/>
  <c r="H16" i="17" s="1"/>
  <c r="R31" i="16" a="1"/>
  <c r="R31" i="16" s="1"/>
  <c r="I35" i="17" s="1"/>
  <c r="P35" i="16" a="1"/>
  <c r="P35" i="16" s="1"/>
  <c r="G39" i="17" s="1"/>
  <c r="Q7" i="16" a="1"/>
  <c r="Q7" i="16" s="1"/>
  <c r="H11" i="17" s="1"/>
  <c r="Q38" i="16" a="1"/>
  <c r="Q38" i="16" s="1"/>
  <c r="H42" i="17" s="1"/>
  <c r="R68" i="16" a="1"/>
  <c r="R68" i="16" s="1"/>
  <c r="I72" i="17" s="1"/>
  <c r="R27" i="16" a="1"/>
  <c r="R27" i="16" s="1"/>
  <c r="I31" i="17" s="1"/>
  <c r="O9" i="16" a="1"/>
  <c r="O9" i="16" s="1"/>
  <c r="F13" i="17" s="1"/>
  <c r="P54" i="16" a="1"/>
  <c r="P54" i="16" s="1"/>
  <c r="G58" i="17" s="1"/>
  <c r="P34" i="16" a="1"/>
  <c r="P34" i="16" s="1"/>
  <c r="G38" i="17" s="1"/>
  <c r="Q75" i="16" a="1"/>
  <c r="Q75" i="16" s="1"/>
  <c r="H79" i="17" s="1"/>
  <c r="Q37" i="16" a="1"/>
  <c r="Q37" i="16" s="1"/>
  <c r="H41" i="17" s="1"/>
  <c r="R67" i="16" a="1"/>
  <c r="R67" i="16" s="1"/>
  <c r="I71" i="17" s="1"/>
  <c r="R18" i="16" a="1"/>
  <c r="R18" i="16" s="1"/>
  <c r="I22" i="17" s="1"/>
  <c r="N67" i="16" a="1"/>
  <c r="N67" i="16" s="1"/>
  <c r="E71" i="17" s="1"/>
  <c r="N51" i="16" a="1"/>
  <c r="N51" i="16" s="1"/>
  <c r="E55" i="17" s="1"/>
  <c r="N35" i="16" a="1"/>
  <c r="N35" i="16" s="1"/>
  <c r="E39" i="17" s="1"/>
  <c r="N19" i="16" a="1"/>
  <c r="N19" i="16" s="1"/>
  <c r="E23" i="17" s="1"/>
  <c r="O72" i="16" a="1"/>
  <c r="O72" i="16" s="1"/>
  <c r="F76" i="17" s="1"/>
  <c r="O56" i="16" a="1"/>
  <c r="O56" i="16" s="1"/>
  <c r="F60" i="17" s="1"/>
  <c r="O40" i="16" a="1"/>
  <c r="O40" i="16" s="1"/>
  <c r="F44" i="17" s="1"/>
  <c r="O24" i="16" a="1"/>
  <c r="O24" i="16" s="1"/>
  <c r="F28" i="17" s="1"/>
  <c r="P7" i="16" a="1"/>
  <c r="P7" i="16" s="1"/>
  <c r="G11" i="17" s="1"/>
  <c r="P53" i="16" a="1"/>
  <c r="P53" i="16" s="1"/>
  <c r="G57" i="17" s="1"/>
  <c r="P33" i="16" a="1"/>
  <c r="P33" i="16" s="1"/>
  <c r="G37" i="17" s="1"/>
  <c r="Q69" i="16" a="1"/>
  <c r="Q69" i="16" s="1"/>
  <c r="H73" i="17" s="1"/>
  <c r="Q33" i="16" a="1"/>
  <c r="Q33" i="16" s="1"/>
  <c r="H37" i="17" s="1"/>
  <c r="R63" i="16" a="1"/>
  <c r="R63" i="16" s="1"/>
  <c r="I67" i="17" s="1"/>
  <c r="R17" i="16" a="1"/>
  <c r="R17" i="16" s="1"/>
  <c r="I21" i="17" s="1"/>
  <c r="Q10" i="16" a="1"/>
  <c r="Q10" i="16" s="1"/>
  <c r="H14" i="17" s="1"/>
  <c r="R51" i="16" a="1"/>
  <c r="R51" i="16" s="1"/>
  <c r="I55" i="17" s="1"/>
  <c r="R26" i="16" a="1"/>
  <c r="R26" i="16" s="1"/>
  <c r="I30" i="17" s="1"/>
  <c r="P32" i="16" a="1"/>
  <c r="P32" i="16" s="1"/>
  <c r="G36" i="17" s="1"/>
  <c r="P11" i="16" a="1"/>
  <c r="P11" i="16" s="1"/>
  <c r="G15" i="17" s="1"/>
  <c r="Q59" i="16" a="1"/>
  <c r="Q59" i="16" s="1"/>
  <c r="H63" i="17" s="1"/>
  <c r="Q31" i="16" a="1"/>
  <c r="Q31" i="16" s="1"/>
  <c r="H35" i="17" s="1"/>
  <c r="R75" i="16" a="1"/>
  <c r="R75" i="16" s="1"/>
  <c r="I79" i="17" s="1"/>
  <c r="R50" i="16" a="1"/>
  <c r="R50" i="16" s="1"/>
  <c r="I54" i="17" s="1"/>
  <c r="R22" i="16" a="1"/>
  <c r="R22" i="16" s="1"/>
  <c r="I26" i="17" s="1"/>
  <c r="R21" i="16" a="1"/>
  <c r="R21" i="16" s="1"/>
  <c r="I25" i="17" s="1"/>
  <c r="K13" i="1" a="1"/>
  <c r="K13" i="1" s="1"/>
  <c r="R48" i="16" a="1"/>
  <c r="R48" i="16" s="1"/>
  <c r="I52" i="17" s="1"/>
  <c r="R20" i="16" a="1"/>
  <c r="R20" i="16" s="1"/>
  <c r="I24" i="17" s="1"/>
  <c r="O8" i="16" a="1"/>
  <c r="O8" i="16" s="1"/>
  <c r="F12" i="17" s="1"/>
  <c r="P61" i="16" a="1"/>
  <c r="P61" i="16" s="1"/>
  <c r="G65" i="17" s="1"/>
  <c r="P45" i="16" a="1"/>
  <c r="P45" i="16" s="1"/>
  <c r="G49" i="17" s="1"/>
  <c r="P29" i="16" a="1"/>
  <c r="P29" i="16" s="1"/>
  <c r="P8" i="16" a="1"/>
  <c r="P8" i="16" s="1"/>
  <c r="G12" i="17" s="1"/>
  <c r="Q53" i="16" a="1"/>
  <c r="Q53" i="16" s="1"/>
  <c r="H57" i="17" s="1"/>
  <c r="Q28" i="16" a="1"/>
  <c r="Q28" i="16" s="1"/>
  <c r="H32" i="17" s="1"/>
  <c r="R69" i="16" a="1"/>
  <c r="R69" i="16" s="1"/>
  <c r="I73" i="17" s="1"/>
  <c r="R47" i="16" a="1"/>
  <c r="R47" i="16" s="1"/>
  <c r="I51" i="17" s="1"/>
  <c r="R19" i="16" a="1"/>
  <c r="R19" i="16" s="1"/>
  <c r="I23" i="17" s="1"/>
  <c r="P74" i="16" a="1"/>
  <c r="P74" i="16" s="1"/>
  <c r="G78" i="17" s="1"/>
  <c r="P58" i="16" a="1"/>
  <c r="P58" i="16" s="1"/>
  <c r="G62" i="17" s="1"/>
  <c r="P42" i="16" a="1"/>
  <c r="P42" i="16" s="1"/>
  <c r="G46" i="17" s="1"/>
  <c r="P26" i="16" a="1"/>
  <c r="P26" i="16" s="1"/>
  <c r="Q74" i="16" a="1"/>
  <c r="Q74" i="16" s="1"/>
  <c r="H78" i="17" s="1"/>
  <c r="Q47" i="16" a="1"/>
  <c r="Q47" i="16" s="1"/>
  <c r="H51" i="17" s="1"/>
  <c r="Q22" i="16" a="1"/>
  <c r="Q22" i="16" s="1"/>
  <c r="R66" i="16" a="1"/>
  <c r="R66" i="16" s="1"/>
  <c r="I70" i="17" s="1"/>
  <c r="R38" i="16" a="1"/>
  <c r="R38" i="16" s="1"/>
  <c r="I42" i="17" s="1"/>
  <c r="R16" i="16" a="1"/>
  <c r="R16" i="16" s="1"/>
  <c r="I20" i="17" s="1"/>
  <c r="P73" i="16" a="1"/>
  <c r="P73" i="16" s="1"/>
  <c r="G77" i="17" s="1"/>
  <c r="P57" i="16" a="1"/>
  <c r="P57" i="16" s="1"/>
  <c r="G61" i="17" s="1"/>
  <c r="P41" i="16" a="1"/>
  <c r="P41" i="16" s="1"/>
  <c r="G45" i="17" s="1"/>
  <c r="P25" i="16" a="1"/>
  <c r="P25" i="16" s="1"/>
  <c r="Q72" i="16" a="1"/>
  <c r="Q72" i="16" s="1"/>
  <c r="H76" i="17" s="1"/>
  <c r="Q46" i="16" a="1"/>
  <c r="Q46" i="16" s="1"/>
  <c r="H50" i="17" s="1"/>
  <c r="Q21" i="16" a="1"/>
  <c r="Q21" i="16" s="1"/>
  <c r="H25" i="17" s="1"/>
  <c r="R65" i="16" a="1"/>
  <c r="R65" i="16" s="1"/>
  <c r="I69" i="17" s="1"/>
  <c r="R37" i="16" a="1"/>
  <c r="R37" i="16" s="1"/>
  <c r="I41" i="17" s="1"/>
  <c r="R10" i="16" a="1"/>
  <c r="R10" i="16" s="1"/>
  <c r="I14" i="17" s="1"/>
  <c r="P72" i="16" a="1"/>
  <c r="P72" i="16" s="1"/>
  <c r="G76" i="17" s="1"/>
  <c r="P56" i="16" a="1"/>
  <c r="P56" i="16" s="1"/>
  <c r="G60" i="17" s="1"/>
  <c r="P40" i="16" a="1"/>
  <c r="P40" i="16" s="1"/>
  <c r="G44" i="17" s="1"/>
  <c r="P24" i="16" a="1"/>
  <c r="P24" i="16" s="1"/>
  <c r="G28" i="17" s="1"/>
  <c r="Q70" i="16" a="1"/>
  <c r="Q70" i="16" s="1"/>
  <c r="H74" i="17" s="1"/>
  <c r="Q45" i="16" a="1"/>
  <c r="Q45" i="16" s="1"/>
  <c r="Q17" i="16" a="1"/>
  <c r="Q17" i="16" s="1"/>
  <c r="H21" i="17" s="1"/>
  <c r="R64" i="16" a="1"/>
  <c r="R64" i="16" s="1"/>
  <c r="I68" i="17" s="1"/>
  <c r="R36" i="16" a="1"/>
  <c r="R36" i="16" s="1"/>
  <c r="I40" i="17" s="1"/>
  <c r="R15" i="16" a="1"/>
  <c r="R15" i="16" s="1"/>
  <c r="I19" i="17" s="1"/>
  <c r="P20" i="16" a="1"/>
  <c r="P20" i="16" s="1"/>
  <c r="G24" i="17" s="1"/>
  <c r="Q73" i="16" a="1"/>
  <c r="Q73" i="16" s="1"/>
  <c r="H77" i="17" s="1"/>
  <c r="Q57" i="16" a="1"/>
  <c r="Q57" i="16" s="1"/>
  <c r="H61" i="17" s="1"/>
  <c r="Q41" i="16" a="1"/>
  <c r="Q41" i="16" s="1"/>
  <c r="H45" i="17" s="1"/>
  <c r="Q25" i="16" a="1"/>
  <c r="Q25" i="16" s="1"/>
  <c r="H29" i="17" s="1"/>
  <c r="Q9" i="16" a="1"/>
  <c r="Q9" i="16" s="1"/>
  <c r="H13" i="17" s="1"/>
  <c r="R62" i="16" a="1"/>
  <c r="R62" i="16" s="1"/>
  <c r="I66" i="17" s="1"/>
  <c r="R46" i="16" a="1"/>
  <c r="R46" i="16" s="1"/>
  <c r="I50" i="17" s="1"/>
  <c r="R30" i="16" a="1"/>
  <c r="R30" i="16" s="1"/>
  <c r="I34" i="17" s="1"/>
  <c r="R14" i="16" a="1"/>
  <c r="R14" i="16" s="1"/>
  <c r="I18" i="17" s="1"/>
  <c r="Q56" i="16" a="1"/>
  <c r="Q56" i="16" s="1"/>
  <c r="H60" i="17" s="1"/>
  <c r="Q40" i="16" a="1"/>
  <c r="Q40" i="16" s="1"/>
  <c r="H44" i="17" s="1"/>
  <c r="Q24" i="16" a="1"/>
  <c r="Q24" i="16" s="1"/>
  <c r="H28" i="17" s="1"/>
  <c r="Q8" i="16" a="1"/>
  <c r="Q8" i="16" s="1"/>
  <c r="H12" i="17" s="1"/>
  <c r="R61" i="16" a="1"/>
  <c r="R61" i="16" s="1"/>
  <c r="I65" i="17" s="1"/>
  <c r="R45" i="16" a="1"/>
  <c r="R45" i="16" s="1"/>
  <c r="I49" i="17" s="1"/>
  <c r="R29" i="16" a="1"/>
  <c r="R29" i="16" s="1"/>
  <c r="I33" i="17" s="1"/>
  <c r="R13" i="16" a="1"/>
  <c r="R13" i="16" s="1"/>
  <c r="I17" i="17" s="1"/>
  <c r="P18" i="16" a="1"/>
  <c r="P18" i="16" s="1"/>
  <c r="G22" i="17" s="1"/>
  <c r="Q71" i="16" a="1"/>
  <c r="Q71" i="16" s="1"/>
  <c r="H75" i="17" s="1"/>
  <c r="Q55" i="16" a="1"/>
  <c r="Q55" i="16" s="1"/>
  <c r="H59" i="17" s="1"/>
  <c r="Q39" i="16" a="1"/>
  <c r="Q39" i="16" s="1"/>
  <c r="H43" i="17" s="1"/>
  <c r="Q23" i="16" a="1"/>
  <c r="Q23" i="16" s="1"/>
  <c r="H27" i="17" s="1"/>
  <c r="R7" i="16" a="1"/>
  <c r="R7" i="16" s="1"/>
  <c r="I11" i="17" s="1"/>
  <c r="R60" i="16" a="1"/>
  <c r="R60" i="16" s="1"/>
  <c r="I64" i="17" s="1"/>
  <c r="R44" i="16" a="1"/>
  <c r="R44" i="16" s="1"/>
  <c r="I48" i="17" s="1"/>
  <c r="R28" i="16" a="1"/>
  <c r="R28" i="16" s="1"/>
  <c r="I32" i="17" s="1"/>
  <c r="R12" i="16" a="1"/>
  <c r="R12" i="16" s="1"/>
  <c r="I16" i="17" s="1"/>
  <c r="R11" i="16" a="1"/>
  <c r="R11" i="16" s="1"/>
  <c r="I15" i="17" s="1"/>
  <c r="P15" i="16" a="1"/>
  <c r="P15" i="16" s="1"/>
  <c r="G19" i="17" s="1"/>
  <c r="Q68" i="16" a="1"/>
  <c r="Q68" i="16" s="1"/>
  <c r="H72" i="17" s="1"/>
  <c r="Q52" i="16" a="1"/>
  <c r="Q52" i="16" s="1"/>
  <c r="H56" i="17" s="1"/>
  <c r="Q36" i="16" a="1"/>
  <c r="Q36" i="16" s="1"/>
  <c r="H40" i="17" s="1"/>
  <c r="Q20" i="16" a="1"/>
  <c r="Q20" i="16" s="1"/>
  <c r="H24" i="17" s="1"/>
  <c r="R73" i="16" a="1"/>
  <c r="R73" i="16" s="1"/>
  <c r="I77" i="17" s="1"/>
  <c r="R57" i="16" a="1"/>
  <c r="R57" i="16" s="1"/>
  <c r="I61" i="17" s="1"/>
  <c r="R41" i="16" a="1"/>
  <c r="R41" i="16" s="1"/>
  <c r="I45" i="17" s="1"/>
  <c r="R25" i="16" a="1"/>
  <c r="R25" i="16" s="1"/>
  <c r="I29" i="17" s="1"/>
  <c r="R9" i="16" a="1"/>
  <c r="R9" i="16" s="1"/>
  <c r="P14" i="16" a="1"/>
  <c r="P14" i="16" s="1"/>
  <c r="G18" i="17" s="1"/>
  <c r="Q67" i="16" a="1"/>
  <c r="Q67" i="16" s="1"/>
  <c r="H71" i="17" s="1"/>
  <c r="Q51" i="16" a="1"/>
  <c r="Q51" i="16" s="1"/>
  <c r="H55" i="17" s="1"/>
  <c r="Q35" i="16" a="1"/>
  <c r="Q35" i="16" s="1"/>
  <c r="H39" i="17" s="1"/>
  <c r="Q19" i="16" a="1"/>
  <c r="Q19" i="16" s="1"/>
  <c r="H23" i="17" s="1"/>
  <c r="R72" i="16" a="1"/>
  <c r="R72" i="16" s="1"/>
  <c r="I76" i="17" s="1"/>
  <c r="R56" i="16" a="1"/>
  <c r="R56" i="16" s="1"/>
  <c r="I60" i="17" s="1"/>
  <c r="R40" i="16" a="1"/>
  <c r="R40" i="16" s="1"/>
  <c r="I44" i="17" s="1"/>
  <c r="R24" i="16" a="1"/>
  <c r="R24" i="16" s="1"/>
  <c r="I28" i="17" s="1"/>
  <c r="R8" i="16" a="1"/>
  <c r="R8" i="16" s="1"/>
  <c r="I12" i="17" s="1"/>
  <c r="P13" i="16" a="1"/>
  <c r="P13" i="16" s="1"/>
  <c r="G17" i="17" s="1"/>
  <c r="Q66" i="16" a="1"/>
  <c r="Q66" i="16" s="1"/>
  <c r="H70" i="17" s="1"/>
  <c r="Q50" i="16" a="1"/>
  <c r="Q50" i="16" s="1"/>
  <c r="H54" i="17" s="1"/>
  <c r="Q34" i="16" a="1"/>
  <c r="Q34" i="16" s="1"/>
  <c r="H38" i="17" s="1"/>
  <c r="Q18" i="16" a="1"/>
  <c r="Q18" i="16" s="1"/>
  <c r="H22" i="17" s="1"/>
  <c r="R71" i="16" a="1"/>
  <c r="R71" i="16" s="1"/>
  <c r="I75" i="17" s="1"/>
  <c r="R55" i="16" a="1"/>
  <c r="R55" i="16" s="1"/>
  <c r="I59" i="17" s="1"/>
  <c r="R39" i="16" a="1"/>
  <c r="R39" i="16" s="1"/>
  <c r="I43" i="17" s="1"/>
  <c r="H59" i="1" a="1"/>
  <c r="H59" i="1" s="1"/>
  <c r="H43" i="1" a="1"/>
  <c r="H43" i="1" s="1"/>
  <c r="H27" i="1" a="1"/>
  <c r="H27" i="1" s="1"/>
  <c r="H11" i="1" a="1"/>
  <c r="H11" i="1" s="1"/>
  <c r="I48" i="1" a="1"/>
  <c r="I48" i="1" s="1"/>
  <c r="I32" i="1" a="1"/>
  <c r="I32" i="1" s="1"/>
  <c r="I16" i="1" a="1"/>
  <c r="I16" i="1" s="1"/>
  <c r="J53" i="1" a="1"/>
  <c r="J53" i="1" s="1"/>
  <c r="J37" i="1" a="1"/>
  <c r="J37" i="1" s="1"/>
  <c r="J21" i="1" a="1"/>
  <c r="J21" i="1" s="1"/>
  <c r="K58" i="1" a="1"/>
  <c r="K58" i="1" s="1"/>
  <c r="K42" i="1" a="1"/>
  <c r="K42" i="1" s="1"/>
  <c r="K26" i="1" a="1"/>
  <c r="K26" i="1" s="1"/>
  <c r="K10" i="1" a="1"/>
  <c r="K10" i="1" s="1"/>
  <c r="H7" i="1" a="1"/>
  <c r="H7" i="1" s="1"/>
  <c r="H44" i="1" a="1"/>
  <c r="H44" i="1" s="1"/>
  <c r="I17" i="1" a="1"/>
  <c r="I17" i="1" s="1"/>
  <c r="K43" i="1" a="1"/>
  <c r="K43" i="1" s="1"/>
  <c r="H10" i="1" a="1"/>
  <c r="H10" i="1" s="1"/>
  <c r="K41" i="1" a="1"/>
  <c r="K41" i="1" s="1"/>
  <c r="I7" i="1" a="1"/>
  <c r="I7" i="1" s="1"/>
  <c r="J7" i="1" a="1"/>
  <c r="J7" i="1" s="1"/>
  <c r="H26" i="1" a="1"/>
  <c r="H26" i="1" s="1"/>
  <c r="J36" i="1" a="1"/>
  <c r="J36" i="1" s="1"/>
  <c r="K9" i="1" a="1"/>
  <c r="K9" i="1" s="1"/>
  <c r="I46" i="1" a="1"/>
  <c r="I46" i="1" s="1"/>
  <c r="J35" i="1" a="1"/>
  <c r="J35" i="1" s="1"/>
  <c r="J19" i="1" a="1"/>
  <c r="J19" i="1" s="1"/>
  <c r="K24" i="1" a="1"/>
  <c r="K24" i="1" s="1"/>
  <c r="H40" i="1" a="1"/>
  <c r="H40" i="1" s="1"/>
  <c r="I13" i="1" a="1"/>
  <c r="I13" i="1" s="1"/>
  <c r="K39" i="1" a="1"/>
  <c r="K39" i="1" s="1"/>
  <c r="K7" i="1" a="1"/>
  <c r="K7" i="1" s="1"/>
  <c r="H58" i="1" a="1"/>
  <c r="H58" i="1" s="1"/>
  <c r="I31" i="1" a="1"/>
  <c r="I31" i="1" s="1"/>
  <c r="K57" i="1" a="1"/>
  <c r="K57" i="1" s="1"/>
  <c r="H57" i="1" a="1"/>
  <c r="H57" i="1" s="1"/>
  <c r="I30" i="1" a="1"/>
  <c r="I30" i="1" s="1"/>
  <c r="K56" i="1" a="1"/>
  <c r="K56" i="1" s="1"/>
  <c r="K8" i="1" a="1"/>
  <c r="K8" i="1" s="1"/>
  <c r="I49" i="1" a="1"/>
  <c r="I49" i="1" s="1"/>
  <c r="K59" i="1" a="1"/>
  <c r="K59" i="1" s="1"/>
  <c r="J52" i="1" a="1"/>
  <c r="J52" i="1" s="1"/>
  <c r="H55" i="1" a="1"/>
  <c r="H55" i="1" s="1"/>
  <c r="I60" i="1" a="1"/>
  <c r="I60" i="1" s="1"/>
  <c r="J49" i="1" a="1"/>
  <c r="J49" i="1" s="1"/>
  <c r="J17" i="1" a="1"/>
  <c r="J17" i="1" s="1"/>
  <c r="K38" i="1" a="1"/>
  <c r="K38" i="1" s="1"/>
  <c r="K22" i="1" a="1"/>
  <c r="K22" i="1" s="1"/>
  <c r="H28" i="1" a="1"/>
  <c r="H28" i="1" s="1"/>
  <c r="I33" i="1" a="1"/>
  <c r="I33" i="1" s="1"/>
  <c r="J38" i="1" a="1"/>
  <c r="J38" i="1" s="1"/>
  <c r="K27" i="1" a="1"/>
  <c r="K27" i="1" s="1"/>
  <c r="H42" i="1" a="1"/>
  <c r="H42" i="1" s="1"/>
  <c r="I47" i="1" a="1"/>
  <c r="I47" i="1" s="1"/>
  <c r="I15" i="1" a="1"/>
  <c r="I15" i="1" s="1"/>
  <c r="J20" i="1" a="1"/>
  <c r="J20" i="1" s="1"/>
  <c r="K25" i="1" a="1"/>
  <c r="K25" i="1" s="1"/>
  <c r="H41" i="1" a="1"/>
  <c r="H41" i="1" s="1"/>
  <c r="H9" i="1" a="1"/>
  <c r="H9" i="1" s="1"/>
  <c r="J51" i="1" a="1"/>
  <c r="J51" i="1" s="1"/>
  <c r="K40" i="1" a="1"/>
  <c r="K40" i="1" s="1"/>
  <c r="H39" i="1" a="1"/>
  <c r="H39" i="1" s="1"/>
  <c r="H23" i="1" a="1"/>
  <c r="H23" i="1" s="1"/>
  <c r="I12" i="1" a="1"/>
  <c r="I12" i="1" s="1"/>
  <c r="J33" i="1" a="1"/>
  <c r="J33" i="1" s="1"/>
  <c r="K54" i="1" a="1"/>
  <c r="K54" i="1" s="1"/>
  <c r="H38" i="1" a="1"/>
  <c r="H38" i="1" s="1"/>
  <c r="I59" i="1" a="1"/>
  <c r="I59" i="1" s="1"/>
  <c r="I27" i="1" a="1"/>
  <c r="I27" i="1" s="1"/>
  <c r="J16" i="1" a="1"/>
  <c r="J16" i="1" s="1"/>
  <c r="H53" i="1" a="1"/>
  <c r="H53" i="1" s="1"/>
  <c r="H37" i="1" a="1"/>
  <c r="H37" i="1" s="1"/>
  <c r="H21" i="1" a="1"/>
  <c r="H21" i="1" s="1"/>
  <c r="I58" i="1" a="1"/>
  <c r="I58" i="1" s="1"/>
  <c r="I42" i="1" a="1"/>
  <c r="I42" i="1" s="1"/>
  <c r="I26" i="1" a="1"/>
  <c r="I26" i="1" s="1"/>
  <c r="I10" i="1" a="1"/>
  <c r="I10" i="1" s="1"/>
  <c r="J47" i="1" a="1"/>
  <c r="J47" i="1" s="1"/>
  <c r="J31" i="1" a="1"/>
  <c r="J31" i="1" s="1"/>
  <c r="J15" i="1" a="1"/>
  <c r="J15" i="1" s="1"/>
  <c r="K52" i="1" a="1"/>
  <c r="K52" i="1" s="1"/>
  <c r="K36" i="1" a="1"/>
  <c r="K36" i="1" s="1"/>
  <c r="K20" i="1" a="1"/>
  <c r="K20" i="1" s="1"/>
  <c r="H56" i="1" a="1"/>
  <c r="H56" i="1" s="1"/>
  <c r="H24" i="1" a="1"/>
  <c r="H24" i="1" s="1"/>
  <c r="H8" i="1" a="1"/>
  <c r="H8" i="1" s="1"/>
  <c r="I45" i="1" a="1"/>
  <c r="I45" i="1" s="1"/>
  <c r="I29" i="1" a="1"/>
  <c r="I29" i="1" s="1"/>
  <c r="J50" i="1" a="1"/>
  <c r="J50" i="1" s="1"/>
  <c r="J34" i="1" a="1"/>
  <c r="J34" i="1" s="1"/>
  <c r="J18" i="1" a="1"/>
  <c r="J18" i="1" s="1"/>
  <c r="K55" i="1" a="1"/>
  <c r="K55" i="1" s="1"/>
  <c r="K23" i="1" a="1"/>
  <c r="K23" i="1" s="1"/>
  <c r="I28" i="1" a="1"/>
  <c r="I28" i="1" s="1"/>
  <c r="H54" i="1" a="1"/>
  <c r="H54" i="1" s="1"/>
  <c r="H22" i="1" a="1"/>
  <c r="H22" i="1" s="1"/>
  <c r="I43" i="1" a="1"/>
  <c r="I43" i="1" s="1"/>
  <c r="I11" i="1" a="1"/>
  <c r="I11" i="1" s="1"/>
  <c r="J48" i="1" a="1"/>
  <c r="J48" i="1" s="1"/>
  <c r="J32" i="1" a="1"/>
  <c r="J32" i="1" s="1"/>
  <c r="K53" i="1" a="1"/>
  <c r="K53" i="1" s="1"/>
  <c r="K37" i="1" a="1"/>
  <c r="K37" i="1" s="1"/>
  <c r="K21" i="1" a="1"/>
  <c r="K21" i="1" s="1"/>
  <c r="H20" i="1" a="1"/>
  <c r="H20" i="1" s="1"/>
  <c r="J46" i="1" a="1"/>
  <c r="J46" i="1" s="1"/>
  <c r="K51" i="1" a="1"/>
  <c r="K51" i="1" s="1"/>
  <c r="K35" i="1" a="1"/>
  <c r="K35" i="1" s="1"/>
  <c r="K19" i="1" a="1"/>
  <c r="K19" i="1" s="1"/>
  <c r="H25" i="1" a="1"/>
  <c r="H25" i="1" s="1"/>
  <c r="I14" i="1" a="1"/>
  <c r="I14" i="1" s="1"/>
  <c r="I44" i="1" a="1"/>
  <c r="I44" i="1" s="1"/>
  <c r="H52" i="1" a="1"/>
  <c r="H52" i="1" s="1"/>
  <c r="H36" i="1" a="1"/>
  <c r="H36" i="1" s="1"/>
  <c r="I57" i="1" a="1"/>
  <c r="I57" i="1" s="1"/>
  <c r="I41" i="1" a="1"/>
  <c r="I41" i="1" s="1"/>
  <c r="I25" i="1" a="1"/>
  <c r="I25" i="1" s="1"/>
  <c r="I9" i="1" a="1"/>
  <c r="I9" i="1" s="1"/>
  <c r="J30" i="1" a="1"/>
  <c r="J30" i="1" s="1"/>
  <c r="J14" i="1" a="1"/>
  <c r="J14" i="1" s="1"/>
  <c r="H51" i="1" a="1"/>
  <c r="H51" i="1" s="1"/>
  <c r="H35" i="1" a="1"/>
  <c r="H35" i="1" s="1"/>
  <c r="H19" i="1" a="1"/>
  <c r="H19" i="1" s="1"/>
  <c r="I56" i="1" a="1"/>
  <c r="I56" i="1" s="1"/>
  <c r="I40" i="1" a="1"/>
  <c r="I40" i="1" s="1"/>
  <c r="I24" i="1" a="1"/>
  <c r="I24" i="1" s="1"/>
  <c r="I8" i="1" a="1"/>
  <c r="I8" i="1" s="1"/>
  <c r="J45" i="1" a="1"/>
  <c r="J45" i="1" s="1"/>
  <c r="J29" i="1" a="1"/>
  <c r="J29" i="1" s="1"/>
  <c r="J13" i="1" a="1"/>
  <c r="J13" i="1" s="1"/>
  <c r="K50" i="1" a="1"/>
  <c r="K50" i="1" s="1"/>
  <c r="K34" i="1" a="1"/>
  <c r="K34" i="1" s="1"/>
  <c r="K18" i="1" a="1"/>
  <c r="K18" i="1" s="1"/>
  <c r="H60" i="1" a="1"/>
  <c r="H60" i="1" s="1"/>
  <c r="H12" i="1" a="1"/>
  <c r="H12" i="1" s="1"/>
  <c r="J54" i="1" a="1"/>
  <c r="J54" i="1" s="1"/>
  <c r="J22" i="1" a="1"/>
  <c r="J22" i="1" s="1"/>
  <c r="K11" i="1" a="1"/>
  <c r="K11" i="1" s="1"/>
  <c r="H50" i="1" a="1"/>
  <c r="H50" i="1" s="1"/>
  <c r="H34" i="1" a="1"/>
  <c r="H34" i="1" s="1"/>
  <c r="H18" i="1" a="1"/>
  <c r="H18" i="1" s="1"/>
  <c r="I55" i="1" a="1"/>
  <c r="I55" i="1" s="1"/>
  <c r="I39" i="1" a="1"/>
  <c r="I39" i="1" s="1"/>
  <c r="I23" i="1" a="1"/>
  <c r="I23" i="1" s="1"/>
  <c r="J60" i="1" a="1"/>
  <c r="J60" i="1" s="1"/>
  <c r="J44" i="1" a="1"/>
  <c r="J44" i="1" s="1"/>
  <c r="J28" i="1" a="1"/>
  <c r="J28" i="1" s="1"/>
  <c r="J12" i="1" a="1"/>
  <c r="J12" i="1" s="1"/>
  <c r="K49" i="1" a="1"/>
  <c r="K49" i="1" s="1"/>
  <c r="K33" i="1" a="1"/>
  <c r="K33" i="1" s="1"/>
  <c r="K17" i="1" a="1"/>
  <c r="K17" i="1" s="1"/>
  <c r="H49" i="1" a="1"/>
  <c r="H49" i="1" s="1"/>
  <c r="H33" i="1" a="1"/>
  <c r="H33" i="1" s="1"/>
  <c r="H17" i="1" a="1"/>
  <c r="H17" i="1" s="1"/>
  <c r="I54" i="1" a="1"/>
  <c r="I54" i="1" s="1"/>
  <c r="I38" i="1" a="1"/>
  <c r="I38" i="1" s="1"/>
  <c r="I22" i="1" a="1"/>
  <c r="I22" i="1" s="1"/>
  <c r="J59" i="1" a="1"/>
  <c r="J59" i="1" s="1"/>
  <c r="J43" i="1" a="1"/>
  <c r="J43" i="1" s="1"/>
  <c r="J27" i="1" a="1"/>
  <c r="J27" i="1" s="1"/>
  <c r="J11" i="1" a="1"/>
  <c r="J11" i="1" s="1"/>
  <c r="K48" i="1" a="1"/>
  <c r="K48" i="1" s="1"/>
  <c r="K32" i="1" a="1"/>
  <c r="K32" i="1" s="1"/>
  <c r="K16" i="1" a="1"/>
  <c r="K16" i="1" s="1"/>
  <c r="H48" i="1" a="1"/>
  <c r="H48" i="1" s="1"/>
  <c r="H32" i="1" a="1"/>
  <c r="H32" i="1" s="1"/>
  <c r="H16" i="1" a="1"/>
  <c r="H16" i="1" s="1"/>
  <c r="I53" i="1" a="1"/>
  <c r="I53" i="1" s="1"/>
  <c r="I37" i="1" a="1"/>
  <c r="I37" i="1" s="1"/>
  <c r="I21" i="1" a="1"/>
  <c r="I21" i="1" s="1"/>
  <c r="J58" i="1" a="1"/>
  <c r="J58" i="1" s="1"/>
  <c r="J42" i="1" a="1"/>
  <c r="J42" i="1" s="1"/>
  <c r="J26" i="1" a="1"/>
  <c r="J26" i="1" s="1"/>
  <c r="J10" i="1" a="1"/>
  <c r="J10" i="1" s="1"/>
  <c r="K47" i="1" a="1"/>
  <c r="K47" i="1" s="1"/>
  <c r="K31" i="1" a="1"/>
  <c r="K31" i="1" s="1"/>
  <c r="K15" i="1" a="1"/>
  <c r="K15" i="1" s="1"/>
  <c r="H47" i="1" a="1"/>
  <c r="H47" i="1" s="1"/>
  <c r="H31" i="1" a="1"/>
  <c r="H31" i="1" s="1"/>
  <c r="H15" i="1" a="1"/>
  <c r="H15" i="1" s="1"/>
  <c r="I52" i="1" a="1"/>
  <c r="I52" i="1" s="1"/>
  <c r="I36" i="1" a="1"/>
  <c r="I36" i="1" s="1"/>
  <c r="I20" i="1" a="1"/>
  <c r="I20" i="1" s="1"/>
  <c r="J57" i="1" a="1"/>
  <c r="J57" i="1" s="1"/>
  <c r="J41" i="1" a="1"/>
  <c r="J41" i="1" s="1"/>
  <c r="J25" i="1" a="1"/>
  <c r="J25" i="1" s="1"/>
  <c r="J9" i="1" a="1"/>
  <c r="J9" i="1" s="1"/>
  <c r="K46" i="1" a="1"/>
  <c r="K46" i="1" s="1"/>
  <c r="K30" i="1" a="1"/>
  <c r="K30" i="1" s="1"/>
  <c r="K14" i="1" a="1"/>
  <c r="K14" i="1" s="1"/>
  <c r="H46" i="1" a="1"/>
  <c r="H46" i="1" s="1"/>
  <c r="H30" i="1" a="1"/>
  <c r="H30" i="1" s="1"/>
  <c r="H14" i="1" a="1"/>
  <c r="H14" i="1" s="1"/>
  <c r="I51" i="1" a="1"/>
  <c r="I51" i="1" s="1"/>
  <c r="I35" i="1" a="1"/>
  <c r="I35" i="1" s="1"/>
  <c r="I19" i="1" a="1"/>
  <c r="I19" i="1" s="1"/>
  <c r="J56" i="1" a="1"/>
  <c r="J56" i="1" s="1"/>
  <c r="J40" i="1" a="1"/>
  <c r="J40" i="1" s="1"/>
  <c r="J24" i="1" a="1"/>
  <c r="J24" i="1" s="1"/>
  <c r="J8" i="1" a="1"/>
  <c r="J8" i="1" s="1"/>
  <c r="K45" i="1" a="1"/>
  <c r="K45" i="1" s="1"/>
  <c r="K29" i="1" a="1"/>
  <c r="K29" i="1" s="1"/>
  <c r="F41" i="32"/>
  <c r="F45" i="32"/>
  <c r="F46" i="32"/>
  <c r="F47" i="32"/>
  <c r="F50" i="32"/>
  <c r="F51" i="32"/>
  <c r="F52" i="32"/>
  <c r="E41" i="32"/>
  <c r="E42" i="32"/>
  <c r="E45" i="32"/>
  <c r="E46" i="32"/>
  <c r="E47" i="32"/>
  <c r="E50" i="32"/>
  <c r="E51" i="32"/>
  <c r="E52" i="32"/>
  <c r="E40" i="32"/>
  <c r="F13" i="32"/>
  <c r="F14" i="32"/>
  <c r="F17" i="32"/>
  <c r="F18" i="32"/>
  <c r="F19" i="32"/>
  <c r="F22" i="32"/>
  <c r="F23" i="32"/>
  <c r="F24" i="32"/>
  <c r="F12" i="32"/>
  <c r="E13" i="32"/>
  <c r="E14" i="32"/>
  <c r="E17" i="32"/>
  <c r="E18" i="32"/>
  <c r="E19" i="32"/>
  <c r="E22" i="32"/>
  <c r="E23" i="32"/>
  <c r="E24" i="32"/>
  <c r="E29" i="32"/>
  <c r="E30" i="32"/>
  <c r="E33" i="32"/>
  <c r="E34" i="32"/>
  <c r="E35" i="32"/>
  <c r="E12" i="32"/>
  <c r="G11" i="30"/>
  <c r="G12" i="30"/>
  <c r="G13" i="30"/>
  <c r="G10" i="30"/>
  <c r="F11" i="30"/>
  <c r="F12" i="30"/>
  <c r="F13" i="30"/>
  <c r="F10" i="30"/>
  <c r="E11" i="30"/>
  <c r="E12" i="30"/>
  <c r="E13" i="30"/>
  <c r="E10" i="30"/>
  <c r="D11" i="30"/>
  <c r="D12" i="30"/>
  <c r="D13" i="30"/>
  <c r="D10" i="30"/>
  <c r="C11" i="30"/>
  <c r="C12" i="30"/>
  <c r="C13" i="30"/>
  <c r="C10" i="30"/>
  <c r="G18" i="30"/>
  <c r="G19" i="30"/>
  <c r="G20" i="30"/>
  <c r="G21" i="30"/>
  <c r="G22" i="30"/>
  <c r="G17" i="30"/>
  <c r="F18" i="30"/>
  <c r="F19" i="30"/>
  <c r="F20" i="30"/>
  <c r="F21" i="30"/>
  <c r="F22" i="30"/>
  <c r="F17" i="30"/>
  <c r="E18" i="30"/>
  <c r="E19" i="30"/>
  <c r="E20" i="30"/>
  <c r="E21" i="30"/>
  <c r="E22" i="30"/>
  <c r="E17" i="30"/>
  <c r="D18" i="30"/>
  <c r="D19" i="30"/>
  <c r="D20" i="30"/>
  <c r="D21" i="30"/>
  <c r="D22" i="30"/>
  <c r="D17" i="30"/>
  <c r="C18" i="30"/>
  <c r="C19" i="30"/>
  <c r="C20" i="30"/>
  <c r="C21" i="30"/>
  <c r="C22" i="30"/>
  <c r="C17" i="30"/>
  <c r="D29" i="27"/>
  <c r="D30" i="27"/>
  <c r="D31" i="27"/>
  <c r="D32" i="27"/>
  <c r="D34" i="27"/>
  <c r="D35" i="27"/>
  <c r="D37" i="27"/>
  <c r="D38" i="27"/>
  <c r="D39" i="27"/>
  <c r="D41" i="27"/>
  <c r="D42" i="27"/>
  <c r="D19" i="27"/>
  <c r="D20" i="27"/>
  <c r="D21" i="27"/>
  <c r="D22" i="27"/>
  <c r="D23" i="27"/>
  <c r="D24" i="27"/>
  <c r="D25" i="27"/>
  <c r="D26" i="27"/>
  <c r="D27" i="27"/>
  <c r="D18" i="27"/>
  <c r="G10" i="26"/>
  <c r="D15" i="27" s="1"/>
  <c r="G9" i="26"/>
  <c r="D14" i="27" s="1"/>
  <c r="G8" i="26"/>
  <c r="D13" i="27" s="1"/>
  <c r="G7" i="26"/>
  <c r="D12" i="27" s="1"/>
  <c r="G6" i="26"/>
  <c r="D11" i="27" s="1"/>
  <c r="E12" i="25"/>
  <c r="E13" i="25"/>
  <c r="E14" i="25"/>
  <c r="E15" i="25"/>
  <c r="E16" i="25"/>
  <c r="E11" i="25"/>
  <c r="D14" i="25"/>
  <c r="D15" i="25"/>
  <c r="D16" i="25"/>
  <c r="D11" i="25"/>
  <c r="C12" i="25"/>
  <c r="C13" i="25"/>
  <c r="C14" i="25"/>
  <c r="C15" i="25"/>
  <c r="C16" i="25"/>
  <c r="C11" i="25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11" i="23"/>
  <c r="D12" i="23"/>
  <c r="D13" i="23"/>
  <c r="D14" i="23"/>
  <c r="D15" i="23"/>
  <c r="D16" i="23"/>
  <c r="D17" i="23"/>
  <c r="D18" i="23"/>
  <c r="D19" i="23"/>
  <c r="D20" i="23"/>
  <c r="D21" i="23"/>
  <c r="D23" i="23"/>
  <c r="D26" i="23"/>
  <c r="D27" i="23"/>
  <c r="D28" i="23"/>
  <c r="D29" i="23"/>
  <c r="D30" i="23"/>
  <c r="D31" i="23"/>
  <c r="D32" i="23"/>
  <c r="D33" i="23"/>
  <c r="D34" i="23"/>
  <c r="D37" i="23"/>
  <c r="D38" i="23"/>
  <c r="D39" i="23"/>
  <c r="D40" i="23"/>
  <c r="D42" i="23"/>
  <c r="D43" i="23"/>
  <c r="D44" i="23"/>
  <c r="D45" i="23"/>
  <c r="D46" i="23"/>
  <c r="D49" i="23"/>
  <c r="D50" i="23"/>
  <c r="D51" i="23"/>
  <c r="D53" i="23"/>
  <c r="D54" i="23"/>
  <c r="D57" i="23"/>
  <c r="D11" i="23"/>
  <c r="C12" i="23"/>
  <c r="C13" i="23"/>
  <c r="C15" i="23"/>
  <c r="C16" i="23"/>
  <c r="C17" i="23"/>
  <c r="C18" i="23"/>
  <c r="C20" i="23"/>
  <c r="C22" i="23"/>
  <c r="C23" i="23"/>
  <c r="C25" i="23"/>
  <c r="C27" i="23"/>
  <c r="C28" i="23"/>
  <c r="C31" i="23"/>
  <c r="C32" i="23"/>
  <c r="C33" i="23"/>
  <c r="C34" i="23"/>
  <c r="C35" i="23"/>
  <c r="C36" i="23"/>
  <c r="C39" i="23"/>
  <c r="C40" i="23"/>
  <c r="C41" i="23"/>
  <c r="C42" i="23"/>
  <c r="C43" i="23"/>
  <c r="C46" i="23"/>
  <c r="C47" i="23"/>
  <c r="C49" i="23"/>
  <c r="C50" i="23"/>
  <c r="C51" i="23"/>
  <c r="C52" i="23"/>
  <c r="C53" i="23"/>
  <c r="C55" i="23"/>
  <c r="C56" i="23"/>
  <c r="E43" i="21"/>
  <c r="E44" i="21"/>
  <c r="E45" i="21"/>
  <c r="E42" i="21"/>
  <c r="D43" i="21"/>
  <c r="D44" i="21"/>
  <c r="D45" i="21"/>
  <c r="D42" i="21"/>
  <c r="C43" i="21"/>
  <c r="C44" i="21"/>
  <c r="C45" i="21"/>
  <c r="C42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11" i="21"/>
  <c r="C31" i="19"/>
  <c r="C32" i="19"/>
  <c r="C30" i="19"/>
  <c r="C12" i="19"/>
  <c r="E12" i="19"/>
  <c r="H12" i="19"/>
  <c r="I12" i="19"/>
  <c r="D15" i="19"/>
  <c r="E15" i="19"/>
  <c r="H15" i="19"/>
  <c r="I15" i="19"/>
  <c r="H17" i="19"/>
  <c r="I17" i="19"/>
  <c r="D18" i="19"/>
  <c r="E18" i="19"/>
  <c r="F18" i="19"/>
  <c r="G18" i="19"/>
  <c r="H18" i="19"/>
  <c r="I18" i="19"/>
  <c r="E24" i="19"/>
  <c r="H24" i="19"/>
  <c r="I24" i="19"/>
  <c r="D27" i="19"/>
  <c r="E27" i="19"/>
  <c r="F27" i="19"/>
  <c r="G27" i="19"/>
  <c r="H27" i="19"/>
  <c r="I27" i="19"/>
  <c r="C11" i="19"/>
  <c r="I13" i="19"/>
  <c r="I14" i="19"/>
  <c r="I16" i="19"/>
  <c r="I19" i="19"/>
  <c r="I20" i="19"/>
  <c r="I21" i="19"/>
  <c r="I22" i="19"/>
  <c r="I23" i="19"/>
  <c r="I25" i="19"/>
  <c r="I26" i="19"/>
  <c r="I11" i="19"/>
  <c r="H13" i="19"/>
  <c r="H14" i="19"/>
  <c r="H16" i="19"/>
  <c r="H19" i="19"/>
  <c r="H20" i="19"/>
  <c r="H21" i="19"/>
  <c r="H22" i="19"/>
  <c r="H23" i="19"/>
  <c r="H25" i="19"/>
  <c r="H26" i="19"/>
  <c r="H11" i="19"/>
  <c r="G12" i="19"/>
  <c r="G13" i="19"/>
  <c r="G14" i="19"/>
  <c r="G15" i="19"/>
  <c r="G16" i="19"/>
  <c r="G17" i="19"/>
  <c r="G19" i="19"/>
  <c r="G20" i="19"/>
  <c r="G21" i="19"/>
  <c r="G22" i="19"/>
  <c r="G23" i="19"/>
  <c r="G24" i="19"/>
  <c r="G25" i="19"/>
  <c r="G26" i="19"/>
  <c r="G11" i="19"/>
  <c r="F12" i="19"/>
  <c r="F13" i="19"/>
  <c r="F14" i="19"/>
  <c r="F15" i="19"/>
  <c r="F16" i="19"/>
  <c r="F17" i="19"/>
  <c r="F19" i="19"/>
  <c r="F20" i="19"/>
  <c r="F21" i="19"/>
  <c r="F22" i="19"/>
  <c r="F23" i="19"/>
  <c r="F24" i="19"/>
  <c r="F25" i="19"/>
  <c r="F26" i="19"/>
  <c r="F11" i="19"/>
  <c r="E13" i="19"/>
  <c r="E14" i="19"/>
  <c r="E16" i="19"/>
  <c r="E17" i="19"/>
  <c r="E19" i="19"/>
  <c r="E20" i="19"/>
  <c r="E21" i="19"/>
  <c r="E22" i="19"/>
  <c r="E23" i="19"/>
  <c r="E25" i="19"/>
  <c r="E26" i="19"/>
  <c r="E11" i="19"/>
  <c r="D12" i="19"/>
  <c r="D13" i="19"/>
  <c r="D14" i="19"/>
  <c r="D16" i="19"/>
  <c r="D17" i="19"/>
  <c r="D19" i="19"/>
  <c r="D20" i="19"/>
  <c r="D21" i="19"/>
  <c r="D22" i="19"/>
  <c r="D23" i="19"/>
  <c r="D24" i="19"/>
  <c r="D25" i="19"/>
  <c r="D26" i="19"/>
  <c r="D11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I13" i="17"/>
  <c r="I62" i="17"/>
  <c r="I74" i="17"/>
  <c r="H15" i="17"/>
  <c r="H19" i="17"/>
  <c r="H20" i="17"/>
  <c r="H26" i="17"/>
  <c r="H46" i="17"/>
  <c r="H47" i="17"/>
  <c r="H49" i="17"/>
  <c r="H52" i="17"/>
  <c r="H53" i="17"/>
  <c r="G21" i="17"/>
  <c r="G23" i="17"/>
  <c r="G26" i="17"/>
  <c r="G29" i="17"/>
  <c r="G30" i="17"/>
  <c r="G31" i="17"/>
  <c r="G33" i="17"/>
  <c r="G40" i="17"/>
  <c r="G43" i="17"/>
  <c r="G47" i="17"/>
  <c r="G50" i="17"/>
  <c r="G51" i="17"/>
  <c r="G52" i="17"/>
  <c r="G53" i="17"/>
  <c r="G54" i="17"/>
  <c r="G63" i="17"/>
  <c r="G66" i="17"/>
  <c r="G69" i="17"/>
  <c r="G73" i="17"/>
  <c r="G74" i="17"/>
  <c r="G79" i="17"/>
  <c r="F17" i="17"/>
  <c r="F18" i="17"/>
  <c r="F19" i="17"/>
  <c r="F23" i="17"/>
  <c r="F24" i="17"/>
  <c r="F26" i="17"/>
  <c r="F29" i="17"/>
  <c r="F30" i="17"/>
  <c r="F31" i="17"/>
  <c r="F36" i="17"/>
  <c r="F39" i="17"/>
  <c r="F43" i="17"/>
  <c r="F48" i="17"/>
  <c r="F50" i="17"/>
  <c r="F51" i="17"/>
  <c r="F52" i="17"/>
  <c r="F53" i="17"/>
  <c r="F56" i="17"/>
  <c r="F57" i="17"/>
  <c r="F58" i="17"/>
  <c r="F61" i="17"/>
  <c r="F62" i="17"/>
  <c r="F63" i="17"/>
  <c r="F64" i="17"/>
  <c r="F67" i="17"/>
  <c r="F69" i="17"/>
  <c r="F70" i="17"/>
  <c r="F73" i="17"/>
  <c r="F74" i="17"/>
  <c r="F75" i="17"/>
  <c r="F78" i="17"/>
  <c r="F79" i="17"/>
  <c r="E12" i="17"/>
  <c r="E13" i="17"/>
  <c r="E15" i="17"/>
  <c r="E16" i="17"/>
  <c r="E17" i="17"/>
  <c r="E22" i="17"/>
  <c r="E24" i="17"/>
  <c r="E25" i="17"/>
  <c r="E26" i="17"/>
  <c r="E27" i="17"/>
  <c r="E28" i="17"/>
  <c r="E29" i="17"/>
  <c r="E30" i="17"/>
  <c r="E32" i="17"/>
  <c r="E33" i="17"/>
  <c r="E34" i="17"/>
  <c r="E35" i="17"/>
  <c r="E36" i="17"/>
  <c r="E37" i="17"/>
  <c r="E38" i="17"/>
  <c r="E40" i="17"/>
  <c r="E42" i="17"/>
  <c r="E43" i="17"/>
  <c r="E44" i="17"/>
  <c r="E45" i="17"/>
  <c r="E46" i="17"/>
  <c r="E47" i="17"/>
  <c r="E49" i="17"/>
  <c r="E50" i="17"/>
  <c r="E51" i="17"/>
  <c r="E52" i="17"/>
  <c r="E56" i="17"/>
  <c r="E57" i="17"/>
  <c r="E58" i="17"/>
  <c r="E59" i="17"/>
  <c r="E60" i="17"/>
  <c r="E61" i="17"/>
  <c r="E62" i="17"/>
  <c r="E63" i="17"/>
  <c r="E64" i="17"/>
  <c r="E66" i="17"/>
  <c r="E67" i="17"/>
  <c r="E68" i="17"/>
  <c r="E69" i="17"/>
  <c r="E73" i="17"/>
  <c r="E74" i="17"/>
  <c r="E75" i="17"/>
  <c r="E76" i="17"/>
  <c r="E77" i="17"/>
  <c r="E78" i="17"/>
  <c r="E79" i="17"/>
  <c r="E11" i="17"/>
  <c r="D14" i="17"/>
  <c r="D15" i="17"/>
  <c r="D16" i="17"/>
  <c r="D17" i="17"/>
  <c r="D20" i="17"/>
  <c r="D21" i="17"/>
  <c r="D22" i="17"/>
  <c r="D23" i="17"/>
  <c r="D24" i="17"/>
  <c r="D25" i="17"/>
  <c r="D26" i="17"/>
  <c r="D27" i="17"/>
  <c r="D28" i="17"/>
  <c r="D30" i="17"/>
  <c r="D31" i="17"/>
  <c r="D32" i="17"/>
  <c r="D33" i="17"/>
  <c r="D36" i="17"/>
  <c r="D37" i="17"/>
  <c r="D38" i="17"/>
  <c r="D39" i="17"/>
  <c r="D40" i="17"/>
  <c r="D41" i="17"/>
  <c r="D42" i="17"/>
  <c r="D43" i="17"/>
  <c r="D44" i="17"/>
  <c r="D46" i="17"/>
  <c r="D47" i="17"/>
  <c r="D48" i="17"/>
  <c r="D49" i="17"/>
  <c r="D51" i="17"/>
  <c r="D52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70" i="17"/>
  <c r="D71" i="17"/>
  <c r="D72" i="17"/>
  <c r="D73" i="17"/>
  <c r="D74" i="17"/>
  <c r="D75" i="17"/>
  <c r="D76" i="17"/>
  <c r="D77" i="17"/>
  <c r="D78" i="17"/>
  <c r="D79" i="17"/>
  <c r="D11" i="17"/>
  <c r="C12" i="17"/>
  <c r="C13" i="17"/>
  <c r="C14" i="17"/>
  <c r="C15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I12" i="15"/>
  <c r="I13" i="15"/>
  <c r="I15" i="15"/>
  <c r="I18" i="15"/>
  <c r="I19" i="15"/>
  <c r="I20" i="15"/>
  <c r="I21" i="15"/>
  <c r="I22" i="15"/>
  <c r="I23" i="15"/>
  <c r="I24" i="15"/>
  <c r="I25" i="15"/>
  <c r="I26" i="15"/>
  <c r="I27" i="15"/>
  <c r="I30" i="15"/>
  <c r="I31" i="15"/>
  <c r="I32" i="15"/>
  <c r="I33" i="15"/>
  <c r="I35" i="15"/>
  <c r="I36" i="15"/>
  <c r="I37" i="15"/>
  <c r="I38" i="15"/>
  <c r="I39" i="15"/>
  <c r="I40" i="15"/>
  <c r="I41" i="15"/>
  <c r="I42" i="15"/>
  <c r="I44" i="15"/>
  <c r="I45" i="15"/>
  <c r="I47" i="15"/>
  <c r="I48" i="15"/>
  <c r="I52" i="15"/>
  <c r="I53" i="15"/>
  <c r="I54" i="15"/>
  <c r="I55" i="15"/>
  <c r="I57" i="15"/>
  <c r="I58" i="15"/>
  <c r="I60" i="15"/>
  <c r="I61" i="15"/>
  <c r="I62" i="15"/>
  <c r="I11" i="15"/>
  <c r="H13" i="15"/>
  <c r="H14" i="15"/>
  <c r="H15" i="15"/>
  <c r="H17" i="15"/>
  <c r="H20" i="15"/>
  <c r="H21" i="15"/>
  <c r="H22" i="15"/>
  <c r="H24" i="15"/>
  <c r="H25" i="15"/>
  <c r="H28" i="15"/>
  <c r="H29" i="15"/>
  <c r="H30" i="15"/>
  <c r="H31" i="15"/>
  <c r="H33" i="15"/>
  <c r="H35" i="15"/>
  <c r="H38" i="15"/>
  <c r="H39" i="15"/>
  <c r="H40" i="15"/>
  <c r="H41" i="15"/>
  <c r="H45" i="15"/>
  <c r="H46" i="15"/>
  <c r="H47" i="15"/>
  <c r="H49" i="15"/>
  <c r="H50" i="15"/>
  <c r="H51" i="15"/>
  <c r="H52" i="15"/>
  <c r="H54" i="15"/>
  <c r="H55" i="15"/>
  <c r="H57" i="15"/>
  <c r="H59" i="15"/>
  <c r="H60" i="15"/>
  <c r="H61" i="15"/>
  <c r="H62" i="15"/>
  <c r="H63" i="15"/>
  <c r="H11" i="15"/>
  <c r="G12" i="15"/>
  <c r="G16" i="15"/>
  <c r="G17" i="15"/>
  <c r="G18" i="15"/>
  <c r="G19" i="15"/>
  <c r="G20" i="15"/>
  <c r="G22" i="15"/>
  <c r="G23" i="15"/>
  <c r="G24" i="15"/>
  <c r="G25" i="15"/>
  <c r="G26" i="15"/>
  <c r="G28" i="15"/>
  <c r="G30" i="15"/>
  <c r="G33" i="15"/>
  <c r="G34" i="15"/>
  <c r="G35" i="15"/>
  <c r="G37" i="15"/>
  <c r="G39" i="15"/>
  <c r="G40" i="15"/>
  <c r="G41" i="15"/>
  <c r="G44" i="15"/>
  <c r="G45" i="15"/>
  <c r="G46" i="15"/>
  <c r="G47" i="15"/>
  <c r="G49" i="15"/>
  <c r="G50" i="15"/>
  <c r="G51" i="15"/>
  <c r="G52" i="15"/>
  <c r="G53" i="15"/>
  <c r="G54" i="15"/>
  <c r="G55" i="15"/>
  <c r="G56" i="15"/>
  <c r="G57" i="15"/>
  <c r="G58" i="15"/>
  <c r="G60" i="15"/>
  <c r="G61" i="15"/>
  <c r="G63" i="15"/>
  <c r="G11" i="15"/>
  <c r="F13" i="15"/>
  <c r="F15" i="15"/>
  <c r="F16" i="15"/>
  <c r="F17" i="15"/>
  <c r="F19" i="15"/>
  <c r="F20" i="15"/>
  <c r="F22" i="15"/>
  <c r="F23" i="15"/>
  <c r="F24" i="15"/>
  <c r="F25" i="15"/>
  <c r="F28" i="15"/>
  <c r="F29" i="15"/>
  <c r="F30" i="15"/>
  <c r="F31" i="15"/>
  <c r="F32" i="15"/>
  <c r="F37" i="15"/>
  <c r="F38" i="15"/>
  <c r="F39" i="15"/>
  <c r="F40" i="15"/>
  <c r="F41" i="15"/>
  <c r="F42" i="15"/>
  <c r="F43" i="15"/>
  <c r="F45" i="15"/>
  <c r="F46" i="15"/>
  <c r="F49" i="15"/>
  <c r="F55" i="15"/>
  <c r="F56" i="15"/>
  <c r="F58" i="15"/>
  <c r="F62" i="15"/>
  <c r="F63" i="15"/>
  <c r="F11" i="15"/>
  <c r="E12" i="15"/>
  <c r="E17" i="15"/>
  <c r="E18" i="15"/>
  <c r="E19" i="15"/>
  <c r="E21" i="15"/>
  <c r="E23" i="15"/>
  <c r="E26" i="15"/>
  <c r="E27" i="15"/>
  <c r="E28" i="15"/>
  <c r="E29" i="15"/>
  <c r="E33" i="15"/>
  <c r="E35" i="15"/>
  <c r="E36" i="15"/>
  <c r="E38" i="15"/>
  <c r="E39" i="15"/>
  <c r="E40" i="15"/>
  <c r="E41" i="15"/>
  <c r="E43" i="15"/>
  <c r="E44" i="15"/>
  <c r="E46" i="15"/>
  <c r="E48" i="15"/>
  <c r="E49" i="15"/>
  <c r="E51" i="15"/>
  <c r="E52" i="15"/>
  <c r="E53" i="15"/>
  <c r="E55" i="15"/>
  <c r="E56" i="15"/>
  <c r="E59" i="15"/>
  <c r="E60" i="15"/>
  <c r="E61" i="15"/>
  <c r="E63" i="15"/>
  <c r="D12" i="15"/>
  <c r="D13" i="15"/>
  <c r="D14" i="15"/>
  <c r="D15" i="15"/>
  <c r="D16" i="15"/>
  <c r="D17" i="15"/>
  <c r="D19" i="15"/>
  <c r="D21" i="15"/>
  <c r="D24" i="15"/>
  <c r="D26" i="15"/>
  <c r="D27" i="15"/>
  <c r="D28" i="15"/>
  <c r="D29" i="15"/>
  <c r="D30" i="15"/>
  <c r="D31" i="15"/>
  <c r="D32" i="15"/>
  <c r="D33" i="15"/>
  <c r="D36" i="15"/>
  <c r="D37" i="15"/>
  <c r="D38" i="15"/>
  <c r="D39" i="15"/>
  <c r="D40" i="15"/>
  <c r="D42" i="15"/>
  <c r="D43" i="15"/>
  <c r="D44" i="15"/>
  <c r="D45" i="15"/>
  <c r="D46" i="15"/>
  <c r="D48" i="15"/>
  <c r="D49" i="15"/>
  <c r="D50" i="15"/>
  <c r="D51" i="15"/>
  <c r="D53" i="15"/>
  <c r="D54" i="15"/>
  <c r="D56" i="15"/>
  <c r="D58" i="15"/>
  <c r="D59" i="15"/>
  <c r="D60" i="15"/>
  <c r="D61" i="15"/>
  <c r="D11" i="15"/>
  <c r="C59" i="13"/>
  <c r="D59" i="13"/>
  <c r="E59" i="13"/>
  <c r="F59" i="13"/>
  <c r="G59" i="13"/>
  <c r="H59" i="13"/>
  <c r="I59" i="13"/>
  <c r="B59" i="13"/>
  <c r="C12" i="15"/>
  <c r="C13" i="15"/>
  <c r="C14" i="15"/>
  <c r="C16" i="15"/>
  <c r="C17" i="15"/>
  <c r="C20" i="15"/>
  <c r="C23" i="15"/>
  <c r="C24" i="15"/>
  <c r="C27" i="15"/>
  <c r="C28" i="15"/>
  <c r="C29" i="15"/>
  <c r="C30" i="15"/>
  <c r="C32" i="15"/>
  <c r="C34" i="15"/>
  <c r="C35" i="15"/>
  <c r="C36" i="15"/>
  <c r="C37" i="15"/>
  <c r="C38" i="15"/>
  <c r="C40" i="15"/>
  <c r="C41" i="15"/>
  <c r="C42" i="15"/>
  <c r="C43" i="15"/>
  <c r="C44" i="15"/>
  <c r="C45" i="15"/>
  <c r="C46" i="15"/>
  <c r="C47" i="15"/>
  <c r="C49" i="15"/>
  <c r="C51" i="15"/>
  <c r="C52" i="15"/>
  <c r="C53" i="15"/>
  <c r="C57" i="15"/>
  <c r="C58" i="15"/>
  <c r="C59" i="15"/>
  <c r="C60" i="15"/>
  <c r="C61" i="15"/>
  <c r="C62" i="15"/>
  <c r="C63" i="15"/>
  <c r="C11" i="15"/>
  <c r="F12" i="14"/>
  <c r="F14" i="14"/>
  <c r="F15" i="14"/>
  <c r="F18" i="14"/>
  <c r="E13" i="14"/>
  <c r="E15" i="14"/>
  <c r="E16" i="14"/>
  <c r="D12" i="14"/>
  <c r="D14" i="14"/>
  <c r="D15" i="14"/>
  <c r="D16" i="14"/>
  <c r="C12" i="14"/>
  <c r="C14" i="14"/>
  <c r="C15" i="14"/>
  <c r="C16" i="14"/>
  <c r="C17" i="14"/>
  <c r="D11" i="11"/>
  <c r="D12" i="11"/>
  <c r="D18" i="11"/>
  <c r="D15" i="11"/>
  <c r="D17" i="11"/>
  <c r="E12" i="11"/>
  <c r="H12" i="11"/>
  <c r="E18" i="11"/>
  <c r="F18" i="11"/>
  <c r="G18" i="11"/>
  <c r="H18" i="11"/>
  <c r="D27" i="11"/>
  <c r="E27" i="11"/>
  <c r="H22" i="11"/>
  <c r="H23" i="11"/>
  <c r="G13" i="11"/>
  <c r="G14" i="11"/>
  <c r="G15" i="11"/>
  <c r="G17" i="11"/>
  <c r="G19" i="11"/>
  <c r="G26" i="11"/>
  <c r="F16" i="11"/>
  <c r="F21" i="11"/>
  <c r="F24" i="11"/>
  <c r="F25" i="11"/>
  <c r="F26" i="11"/>
  <c r="E22" i="11"/>
  <c r="E23" i="11"/>
  <c r="E25" i="11"/>
  <c r="E26" i="11"/>
  <c r="D16" i="11"/>
  <c r="D20" i="11"/>
  <c r="D22" i="11"/>
  <c r="C15" i="11"/>
  <c r="C22" i="11"/>
  <c r="H80" i="9" l="1"/>
  <c r="H77" i="9"/>
  <c r="H76" i="9"/>
  <c r="H75" i="9"/>
  <c r="H74" i="9"/>
  <c r="H73" i="9"/>
  <c r="H72" i="9"/>
  <c r="H68" i="9"/>
  <c r="H67" i="9"/>
  <c r="H66" i="9"/>
  <c r="H63" i="9"/>
  <c r="H61" i="9"/>
  <c r="H59" i="9"/>
  <c r="H58" i="9"/>
  <c r="H57" i="9"/>
  <c r="H56" i="9"/>
  <c r="H52" i="9"/>
  <c r="H51" i="9"/>
  <c r="H50" i="9"/>
  <c r="H45" i="9"/>
  <c r="H44" i="9"/>
  <c r="H43" i="9"/>
  <c r="H42" i="9"/>
  <c r="H40" i="9"/>
  <c r="H36" i="9"/>
  <c r="H35" i="9"/>
  <c r="H34" i="9"/>
  <c r="H31" i="9"/>
  <c r="H28" i="9"/>
  <c r="H27" i="9"/>
  <c r="H26" i="9"/>
  <c r="H25" i="9"/>
  <c r="H24" i="9"/>
  <c r="H20" i="9"/>
  <c r="H19" i="9"/>
  <c r="H18" i="9"/>
  <c r="H15" i="9"/>
  <c r="H29" i="9"/>
  <c r="H60" i="9"/>
  <c r="H81" i="9"/>
  <c r="H65" i="9"/>
  <c r="H64" i="9"/>
  <c r="G17" i="9"/>
  <c r="G18" i="9"/>
  <c r="G19" i="9"/>
  <c r="G20" i="9"/>
  <c r="G21" i="9"/>
  <c r="G22" i="9"/>
  <c r="G24" i="9"/>
  <c r="G25" i="9"/>
  <c r="G26" i="9"/>
  <c r="G27" i="9"/>
  <c r="G28" i="9"/>
  <c r="G29" i="9"/>
  <c r="G33" i="9"/>
  <c r="G34" i="9"/>
  <c r="G35" i="9"/>
  <c r="G36" i="9"/>
  <c r="G37" i="9"/>
  <c r="G38" i="9"/>
  <c r="G40" i="9"/>
  <c r="G41" i="9"/>
  <c r="G42" i="9"/>
  <c r="G43" i="9"/>
  <c r="G44" i="9"/>
  <c r="G45" i="9"/>
  <c r="G49" i="9"/>
  <c r="G50" i="9"/>
  <c r="G51" i="9"/>
  <c r="G52" i="9"/>
  <c r="G53" i="9"/>
  <c r="G54" i="9"/>
  <c r="G56" i="9"/>
  <c r="G57" i="9"/>
  <c r="G58" i="9"/>
  <c r="G59" i="9"/>
  <c r="G60" i="9"/>
  <c r="G61" i="9"/>
  <c r="G65" i="9"/>
  <c r="G66" i="9"/>
  <c r="G67" i="9"/>
  <c r="G68" i="9"/>
  <c r="G73" i="9"/>
  <c r="G74" i="9"/>
  <c r="G75" i="9"/>
  <c r="G76" i="9"/>
  <c r="G77" i="9"/>
  <c r="G80" i="9"/>
  <c r="G81" i="9"/>
  <c r="G13" i="9"/>
  <c r="F14" i="9"/>
  <c r="F15" i="9"/>
  <c r="F16" i="9"/>
  <c r="F17" i="9"/>
  <c r="F19" i="9"/>
  <c r="F20" i="9"/>
  <c r="F21" i="9"/>
  <c r="F22" i="9"/>
  <c r="F23" i="9"/>
  <c r="F28" i="9"/>
  <c r="F29" i="9"/>
  <c r="F30" i="9"/>
  <c r="F31" i="9"/>
  <c r="F32" i="9"/>
  <c r="F33" i="9"/>
  <c r="F35" i="9"/>
  <c r="F36" i="9"/>
  <c r="F37" i="9"/>
  <c r="F38" i="9"/>
  <c r="F39" i="9"/>
  <c r="F41" i="9"/>
  <c r="F43" i="9"/>
  <c r="F44" i="9"/>
  <c r="F45" i="9"/>
  <c r="F46" i="9"/>
  <c r="F47" i="9"/>
  <c r="F48" i="9"/>
  <c r="F50" i="9"/>
  <c r="F51" i="9"/>
  <c r="F52" i="9"/>
  <c r="F53" i="9"/>
  <c r="F54" i="9"/>
  <c r="F55" i="9"/>
  <c r="F56" i="9"/>
  <c r="F60" i="9"/>
  <c r="F61" i="9"/>
  <c r="F62" i="9"/>
  <c r="F63" i="9"/>
  <c r="F64" i="9"/>
  <c r="F65" i="9"/>
  <c r="F67" i="9"/>
  <c r="F68" i="9"/>
  <c r="F69" i="9"/>
  <c r="F70" i="9"/>
  <c r="F71" i="9"/>
  <c r="F72" i="9"/>
  <c r="F75" i="9"/>
  <c r="F76" i="9"/>
  <c r="F77" i="9"/>
  <c r="F78" i="9"/>
  <c r="F79" i="9"/>
  <c r="F80" i="9"/>
  <c r="F81" i="9"/>
  <c r="E14" i="9"/>
  <c r="E15" i="9"/>
  <c r="E16" i="9"/>
  <c r="E17" i="9"/>
  <c r="E18" i="9"/>
  <c r="E20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8" i="9"/>
  <c r="E70" i="9"/>
  <c r="E71" i="9"/>
  <c r="E72" i="9"/>
  <c r="E73" i="9"/>
  <c r="E74" i="9"/>
  <c r="E75" i="9"/>
  <c r="E76" i="9"/>
  <c r="E77" i="9"/>
  <c r="E78" i="9"/>
  <c r="E79" i="9"/>
  <c r="E80" i="9"/>
  <c r="E81" i="9"/>
  <c r="E13" i="9"/>
  <c r="D14" i="9"/>
  <c r="D15" i="9"/>
  <c r="D17" i="9"/>
  <c r="D19" i="9"/>
  <c r="D20" i="9"/>
  <c r="D21" i="9"/>
  <c r="D22" i="9"/>
  <c r="D23" i="9"/>
  <c r="D25" i="9"/>
  <c r="D26" i="9"/>
  <c r="D27" i="9"/>
  <c r="D28" i="9"/>
  <c r="D29" i="9"/>
  <c r="D30" i="9"/>
  <c r="D31" i="9"/>
  <c r="D33" i="9"/>
  <c r="D34" i="9"/>
  <c r="D35" i="9"/>
  <c r="D36" i="9"/>
  <c r="D37" i="9"/>
  <c r="D38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13" i="9"/>
  <c r="H14" i="9"/>
  <c r="H16" i="9"/>
  <c r="H17" i="9"/>
  <c r="H21" i="9"/>
  <c r="H22" i="9"/>
  <c r="H23" i="9"/>
  <c r="H30" i="9"/>
  <c r="H32" i="9"/>
  <c r="H33" i="9"/>
  <c r="H37" i="9"/>
  <c r="H38" i="9"/>
  <c r="H39" i="9"/>
  <c r="H41" i="9"/>
  <c r="H46" i="9"/>
  <c r="H47" i="9"/>
  <c r="H48" i="9"/>
  <c r="H49" i="9"/>
  <c r="H53" i="9"/>
  <c r="H54" i="9"/>
  <c r="H55" i="9"/>
  <c r="H62" i="9"/>
  <c r="H69" i="9"/>
  <c r="H70" i="9"/>
  <c r="H71" i="9"/>
  <c r="H78" i="9"/>
  <c r="H79" i="9"/>
  <c r="H13" i="9"/>
  <c r="G14" i="9"/>
  <c r="G15" i="9"/>
  <c r="G16" i="9"/>
  <c r="G23" i="9"/>
  <c r="G30" i="9"/>
  <c r="G31" i="9"/>
  <c r="G32" i="9"/>
  <c r="G39" i="9"/>
  <c r="G46" i="9"/>
  <c r="G47" i="9"/>
  <c r="G48" i="9"/>
  <c r="G55" i="9"/>
  <c r="G62" i="9"/>
  <c r="G63" i="9"/>
  <c r="G64" i="9"/>
  <c r="G69" i="9"/>
  <c r="G70" i="9"/>
  <c r="G71" i="9"/>
  <c r="G72" i="9"/>
  <c r="G78" i="9"/>
  <c r="G79" i="9"/>
  <c r="F18" i="9"/>
  <c r="F24" i="9"/>
  <c r="F25" i="9"/>
  <c r="F26" i="9"/>
  <c r="F27" i="9"/>
  <c r="F34" i="9"/>
  <c r="F40" i="9"/>
  <c r="F42" i="9"/>
  <c r="F49" i="9"/>
  <c r="F57" i="9"/>
  <c r="F58" i="9"/>
  <c r="F59" i="9"/>
  <c r="F66" i="9"/>
  <c r="F73" i="9"/>
  <c r="F74" i="9"/>
  <c r="F13" i="9"/>
  <c r="E19" i="9"/>
  <c r="E21" i="9"/>
  <c r="E35" i="9"/>
  <c r="E36" i="9"/>
  <c r="E53" i="9"/>
  <c r="E67" i="9"/>
  <c r="E69" i="9"/>
  <c r="D16" i="9"/>
  <c r="D18" i="9"/>
  <c r="D24" i="9"/>
  <c r="D32" i="9"/>
  <c r="D39" i="9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11" i="6"/>
  <c r="F12" i="3" l="1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11" i="3"/>
  <c r="C60" i="1"/>
  <c r="D60" i="1"/>
  <c r="E64" i="3" s="1"/>
  <c r="E60" i="1"/>
  <c r="B60" i="1"/>
  <c r="D64" i="3" s="1"/>
  <c r="C64" i="3" l="1"/>
  <c r="F64" i="3"/>
  <c r="C11" i="14"/>
  <c r="D11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<sst xmlns="http://schemas.openxmlformats.org/spreadsheetml/2006/main" count="2148" uniqueCount="438">
  <si>
    <t>Flete</t>
  </si>
  <si>
    <t>Ganancia</t>
  </si>
  <si>
    <t>Mosq</t>
  </si>
  <si>
    <t>Repartido</t>
  </si>
  <si>
    <t>medidas</t>
  </si>
  <si>
    <t>sin vidrio</t>
  </si>
  <si>
    <t>60x0,40</t>
  </si>
  <si>
    <t>80x0,40</t>
  </si>
  <si>
    <t>100x0,40</t>
  </si>
  <si>
    <t>120x0,40</t>
  </si>
  <si>
    <t>150x0,40</t>
  </si>
  <si>
    <t>180x0,40</t>
  </si>
  <si>
    <t>200x0,40</t>
  </si>
  <si>
    <t>60x0,60</t>
  </si>
  <si>
    <t>80x0,60</t>
  </si>
  <si>
    <t>100x100</t>
  </si>
  <si>
    <t>150x100</t>
  </si>
  <si>
    <t>100x200</t>
  </si>
  <si>
    <t>vidrio rep</t>
  </si>
  <si>
    <t>VENTANA HERRERO PAPU</t>
  </si>
  <si>
    <t>VENTANAS HERRERO VENTA</t>
  </si>
  <si>
    <t>WHATSAPP 2314-483072</t>
  </si>
  <si>
    <t>AV.VENEZUELA 100-BOLIVAR</t>
  </si>
  <si>
    <t>HERRERO BLANCO</t>
  </si>
  <si>
    <t>Medidas</t>
  </si>
  <si>
    <t>Vidrio Entero</t>
  </si>
  <si>
    <t>Mosquitero</t>
  </si>
  <si>
    <t>Vidrio Rep</t>
  </si>
  <si>
    <t>COLOR</t>
  </si>
  <si>
    <t>NEGRO</t>
  </si>
  <si>
    <t>%</t>
  </si>
  <si>
    <t>BLANCO</t>
  </si>
  <si>
    <t>BRONCE</t>
  </si>
  <si>
    <t>SIMIL MADERA</t>
  </si>
  <si>
    <t>MODO</t>
  </si>
  <si>
    <t>MOSQUITERO</t>
  </si>
  <si>
    <t>60x0,50</t>
  </si>
  <si>
    <t>80x0,50</t>
  </si>
  <si>
    <t>100x0,50</t>
  </si>
  <si>
    <t>120x0,50</t>
  </si>
  <si>
    <t>150x0,50</t>
  </si>
  <si>
    <t>180x0,50</t>
  </si>
  <si>
    <t>200x0,50</t>
  </si>
  <si>
    <t>80x0,80</t>
  </si>
  <si>
    <t>100x0,80</t>
  </si>
  <si>
    <t>120x0,80</t>
  </si>
  <si>
    <t>150x0,80</t>
  </si>
  <si>
    <t>180x0,80</t>
  </si>
  <si>
    <t>200x0,80</t>
  </si>
  <si>
    <t>220x0,80</t>
  </si>
  <si>
    <t>240x0,80</t>
  </si>
  <si>
    <t>100x0,90</t>
  </si>
  <si>
    <t>120x0,90</t>
  </si>
  <si>
    <t>150x0,90</t>
  </si>
  <si>
    <t>180x0,90</t>
  </si>
  <si>
    <t>200x0,90</t>
  </si>
  <si>
    <t>220x0,90</t>
  </si>
  <si>
    <t>240x0,90</t>
  </si>
  <si>
    <t>100x110</t>
  </si>
  <si>
    <t>120x110</t>
  </si>
  <si>
    <t>150x110</t>
  </si>
  <si>
    <t>180x110</t>
  </si>
  <si>
    <t>200x110</t>
  </si>
  <si>
    <t>220x110</t>
  </si>
  <si>
    <t>240x110</t>
  </si>
  <si>
    <t>120x130</t>
  </si>
  <si>
    <t>150x130</t>
  </si>
  <si>
    <t>180x130</t>
  </si>
  <si>
    <t>200x130</t>
  </si>
  <si>
    <t>220x130</t>
  </si>
  <si>
    <t>240x130</t>
  </si>
  <si>
    <t>120x150</t>
  </si>
  <si>
    <t>150x150</t>
  </si>
  <si>
    <t>180x150</t>
  </si>
  <si>
    <t>200x150</t>
  </si>
  <si>
    <t>220x150</t>
  </si>
  <si>
    <t>240x150</t>
  </si>
  <si>
    <t>120x180</t>
  </si>
  <si>
    <t>150x180</t>
  </si>
  <si>
    <t>180x180</t>
  </si>
  <si>
    <t>200x180</t>
  </si>
  <si>
    <t>220x180</t>
  </si>
  <si>
    <t>240x180</t>
  </si>
  <si>
    <t>120x200</t>
  </si>
  <si>
    <t>150x200</t>
  </si>
  <si>
    <t>180x200</t>
  </si>
  <si>
    <t>200x200</t>
  </si>
  <si>
    <t>220x200</t>
  </si>
  <si>
    <t>240x200</t>
  </si>
  <si>
    <t>MOSQUITEROS (VENTANA COLOCADA)</t>
  </si>
  <si>
    <t>AZUL</t>
  </si>
  <si>
    <t>VERDE</t>
  </si>
  <si>
    <t>EMA</t>
  </si>
  <si>
    <t>GUILLE</t>
  </si>
  <si>
    <t>Cobra</t>
  </si>
  <si>
    <t>MOSQUITERO P/VENTANA COLOCADA</t>
  </si>
  <si>
    <t>VENTA</t>
  </si>
  <si>
    <t>100x0,60</t>
  </si>
  <si>
    <t>120x0,60</t>
  </si>
  <si>
    <t>150x0,60</t>
  </si>
  <si>
    <t>180x0,60</t>
  </si>
  <si>
    <t>200x0,60</t>
  </si>
  <si>
    <t>120x100</t>
  </si>
  <si>
    <t>180x100</t>
  </si>
  <si>
    <t>200x100</t>
  </si>
  <si>
    <t>220x100</t>
  </si>
  <si>
    <t>240x100</t>
  </si>
  <si>
    <t>100x120</t>
  </si>
  <si>
    <t>120x120</t>
  </si>
  <si>
    <t>150x120</t>
  </si>
  <si>
    <t>180x120</t>
  </si>
  <si>
    <t>200x120</t>
  </si>
  <si>
    <t>220x120</t>
  </si>
  <si>
    <t>240x120</t>
  </si>
  <si>
    <t>100x150</t>
  </si>
  <si>
    <t>240x205</t>
  </si>
  <si>
    <t>sin_vidrio</t>
  </si>
  <si>
    <t>guia</t>
  </si>
  <si>
    <t>mosquitero</t>
  </si>
  <si>
    <t>vidrio</t>
  </si>
  <si>
    <t>vidrio_entero</t>
  </si>
  <si>
    <t>Ventana c/guia</t>
  </si>
  <si>
    <t>3mm</t>
  </si>
  <si>
    <t>4mm</t>
  </si>
  <si>
    <t>5mm</t>
  </si>
  <si>
    <t>esmerilado</t>
  </si>
  <si>
    <t>fantasia</t>
  </si>
  <si>
    <t>3+3</t>
  </si>
  <si>
    <t>40x40</t>
  </si>
  <si>
    <t>50x40</t>
  </si>
  <si>
    <t>60x40</t>
  </si>
  <si>
    <t>70x40</t>
  </si>
  <si>
    <t>80x40</t>
  </si>
  <si>
    <t>90x40</t>
  </si>
  <si>
    <t>100x40</t>
  </si>
  <si>
    <t>40x50</t>
  </si>
  <si>
    <t>50x50</t>
  </si>
  <si>
    <t>60x50</t>
  </si>
  <si>
    <t>70x50</t>
  </si>
  <si>
    <t>80x50</t>
  </si>
  <si>
    <t>90x50</t>
  </si>
  <si>
    <t>100x50</t>
  </si>
  <si>
    <t>40x120</t>
  </si>
  <si>
    <t>50x120</t>
  </si>
  <si>
    <t>60x120</t>
  </si>
  <si>
    <t>70x120</t>
  </si>
  <si>
    <t>80x120</t>
  </si>
  <si>
    <t>90x120</t>
  </si>
  <si>
    <t>40x150</t>
  </si>
  <si>
    <t>50x150</t>
  </si>
  <si>
    <t>60x150</t>
  </si>
  <si>
    <t>70x150</t>
  </si>
  <si>
    <t>80x150</t>
  </si>
  <si>
    <t>90x150</t>
  </si>
  <si>
    <t>RAJA/BANDEROLA HERRERO BLANCO</t>
  </si>
  <si>
    <t>brazo de empuje manija mas grande Sumar $10000</t>
  </si>
  <si>
    <t>40x60</t>
  </si>
  <si>
    <t>50x60</t>
  </si>
  <si>
    <t>60x60</t>
  </si>
  <si>
    <t>70x60</t>
  </si>
  <si>
    <t>80x60</t>
  </si>
  <si>
    <t>90x60</t>
  </si>
  <si>
    <t>100x60</t>
  </si>
  <si>
    <t>40x70</t>
  </si>
  <si>
    <t>50x70</t>
  </si>
  <si>
    <t>60x70</t>
  </si>
  <si>
    <t>70x70</t>
  </si>
  <si>
    <t>80x70</t>
  </si>
  <si>
    <t>90x70</t>
  </si>
  <si>
    <t>100x70</t>
  </si>
  <si>
    <t>40x80</t>
  </si>
  <si>
    <t>50x80</t>
  </si>
  <si>
    <t>70x80</t>
  </si>
  <si>
    <t>80x80</t>
  </si>
  <si>
    <t>90x80</t>
  </si>
  <si>
    <t>100x80</t>
  </si>
  <si>
    <t>40x90</t>
  </si>
  <si>
    <t>50x90</t>
  </si>
  <si>
    <t>60x90</t>
  </si>
  <si>
    <t>70x90</t>
  </si>
  <si>
    <t>80x90</t>
  </si>
  <si>
    <t>90x90</t>
  </si>
  <si>
    <t>100x90</t>
  </si>
  <si>
    <t>40x100</t>
  </si>
  <si>
    <t>50x100</t>
  </si>
  <si>
    <t>60x100</t>
  </si>
  <si>
    <t>70x100</t>
  </si>
  <si>
    <t>80x100</t>
  </si>
  <si>
    <t>90x100</t>
  </si>
  <si>
    <t>40x110</t>
  </si>
  <si>
    <t>50x110</t>
  </si>
  <si>
    <t>60x110</t>
  </si>
  <si>
    <t>70x110</t>
  </si>
  <si>
    <t>80x110</t>
  </si>
  <si>
    <t>90x110</t>
  </si>
  <si>
    <t>PUERTAS HERRERO</t>
  </si>
  <si>
    <t>s/vidrio</t>
  </si>
  <si>
    <t>v/3mm</t>
  </si>
  <si>
    <t>v/4mm</t>
  </si>
  <si>
    <t>v/5mm</t>
  </si>
  <si>
    <t>v/fantasia</t>
  </si>
  <si>
    <t>v/esmerilado</t>
  </si>
  <si>
    <t>V3+3</t>
  </si>
  <si>
    <t>modelo 1</t>
  </si>
  <si>
    <t>-</t>
  </si>
  <si>
    <t>modelo 1 vr</t>
  </si>
  <si>
    <t>modelo 2</t>
  </si>
  <si>
    <t>modelo 3</t>
  </si>
  <si>
    <t>modelo 3 vr</t>
  </si>
  <si>
    <t xml:space="preserve">modelo 4 </t>
  </si>
  <si>
    <t xml:space="preserve">modelo 4 vr </t>
  </si>
  <si>
    <t>modelo 5</t>
  </si>
  <si>
    <t>modelo 6</t>
  </si>
  <si>
    <t>modelo 7</t>
  </si>
  <si>
    <t>modelo 8</t>
  </si>
  <si>
    <t>modelo 9</t>
  </si>
  <si>
    <t>modelo 10</t>
  </si>
  <si>
    <t>modelo 10 vr</t>
  </si>
  <si>
    <t>modelo 11</t>
  </si>
  <si>
    <t>modelo 12</t>
  </si>
  <si>
    <t>modelo panel</t>
  </si>
  <si>
    <t>ADICIONALES</t>
  </si>
  <si>
    <t>Barral curvo</t>
  </si>
  <si>
    <t>puerta de 90 + 10%</t>
  </si>
  <si>
    <t>barral recto</t>
  </si>
  <si>
    <t>puerta de 70 -7%</t>
  </si>
  <si>
    <t>Pta 70 -7%</t>
  </si>
  <si>
    <t>Pta 90 +10%</t>
  </si>
  <si>
    <t>Modelos</t>
  </si>
  <si>
    <t>Fantasia</t>
  </si>
  <si>
    <t>Esmerilado</t>
  </si>
  <si>
    <t>ADICION</t>
  </si>
  <si>
    <t>BARRAL CURVO</t>
  </si>
  <si>
    <t>BARRAL RECTO</t>
  </si>
  <si>
    <t>PICAPORTE</t>
  </si>
  <si>
    <t>1/2 PUERTA HERRERO</t>
  </si>
  <si>
    <t>modelo</t>
  </si>
  <si>
    <t>v4mm</t>
  </si>
  <si>
    <t>v/entero</t>
  </si>
  <si>
    <t>v/repartido</t>
  </si>
  <si>
    <t xml:space="preserve">3/4 v entero </t>
  </si>
  <si>
    <t>3/4 v repartido</t>
  </si>
  <si>
    <t>1/2 v entero</t>
  </si>
  <si>
    <t>1/2 v repartido</t>
  </si>
  <si>
    <t>4 travezaños</t>
  </si>
  <si>
    <r>
      <rPr>
        <b/>
        <sz val="10"/>
        <rFont val="Arial"/>
        <family val="2"/>
      </rPr>
      <t>1 travesaño</t>
    </r>
  </si>
  <si>
    <t>Modelo</t>
  </si>
  <si>
    <t>4 travesaños</t>
  </si>
  <si>
    <t>1 travesaño</t>
  </si>
  <si>
    <t xml:space="preserve">guia </t>
  </si>
  <si>
    <t>mosq</t>
  </si>
  <si>
    <t>vidrio 3mm</t>
  </si>
  <si>
    <t>v/3+3 lam</t>
  </si>
  <si>
    <t>camara dvh</t>
  </si>
  <si>
    <t>Guia</t>
  </si>
  <si>
    <t>DVH</t>
  </si>
  <si>
    <t xml:space="preserve">VENTANAS MODENA </t>
  </si>
  <si>
    <t>Rajas de abrir / banderolas modena</t>
  </si>
  <si>
    <t>vid/3mm</t>
  </si>
  <si>
    <t>V/3+3</t>
  </si>
  <si>
    <t>60x80</t>
  </si>
  <si>
    <t>RAJAS DE ABRIR Y BANDEROLAS MODENA</t>
  </si>
  <si>
    <t>puertas modena</t>
  </si>
  <si>
    <t>V/3MM</t>
  </si>
  <si>
    <t>V/4MM</t>
  </si>
  <si>
    <t>V/5MM</t>
  </si>
  <si>
    <t>modelo c/panel</t>
  </si>
  <si>
    <t>manija metalica</t>
  </si>
  <si>
    <t>PUERTAS MODENA</t>
  </si>
  <si>
    <t>PATAGONICAS MODENA</t>
  </si>
  <si>
    <t xml:space="preserve">s/vidrio </t>
  </si>
  <si>
    <t>120x60</t>
  </si>
  <si>
    <t>150x60</t>
  </si>
  <si>
    <t>180x60</t>
  </si>
  <si>
    <t>200x60</t>
  </si>
  <si>
    <t>120x80</t>
  </si>
  <si>
    <t>150x80</t>
  </si>
  <si>
    <t>180x80</t>
  </si>
  <si>
    <t>200x80</t>
  </si>
  <si>
    <t>c/ 2 luceras + pf 100</t>
  </si>
  <si>
    <t>c/2 rajas + pf 100</t>
  </si>
  <si>
    <t xml:space="preserve">PATAGONICAS MODENA </t>
  </si>
  <si>
    <t>POSTIGONES</t>
  </si>
  <si>
    <t>Corredizo</t>
  </si>
  <si>
    <t>De abrir</t>
  </si>
  <si>
    <t>Hojas</t>
  </si>
  <si>
    <t>2ó3</t>
  </si>
  <si>
    <t>3ó4</t>
  </si>
  <si>
    <t>hojas</t>
  </si>
  <si>
    <t>PUERTAS LIVIANAS 25mm</t>
  </si>
  <si>
    <t>v3mm</t>
  </si>
  <si>
    <t xml:space="preserve">modelo 1 vr </t>
  </si>
  <si>
    <t>modelo 3vr</t>
  </si>
  <si>
    <t>modelo 4</t>
  </si>
  <si>
    <t>PUERTAS LIVIANAS 25 mm</t>
  </si>
  <si>
    <t>RECARGOS</t>
  </si>
  <si>
    <r>
      <rPr>
        <b/>
        <sz val="11"/>
        <rFont val="Calibri"/>
        <family val="1"/>
      </rPr>
      <t>RECARGO 4 HOJAS</t>
    </r>
  </si>
  <si>
    <t>RECARGO 4 HOJAS</t>
  </si>
  <si>
    <r>
      <rPr>
        <b/>
        <sz val="11"/>
        <rFont val="Calibri"/>
        <family val="1"/>
      </rPr>
      <t>RECARGO 3 HOJAS</t>
    </r>
  </si>
  <si>
    <t>RECARGO 3 HOJAS</t>
  </si>
  <si>
    <r>
      <rPr>
        <b/>
        <sz val="11"/>
        <rFont val="Calibri"/>
        <family val="1"/>
      </rPr>
      <t>RECARGO ANODIZADO NATURAL</t>
    </r>
  </si>
  <si>
    <t>RECARGO ANODIZADO NATURAL</t>
  </si>
  <si>
    <r>
      <rPr>
        <b/>
        <sz val="11"/>
        <rFont val="Calibri"/>
        <family val="1"/>
      </rPr>
      <t>RECARGO BRONCE COLONIAL</t>
    </r>
  </si>
  <si>
    <t>RECARGO BRONCE COLONIAL</t>
  </si>
  <si>
    <r>
      <rPr>
        <b/>
        <sz val="11"/>
        <rFont val="Calibri"/>
        <family val="1"/>
      </rPr>
      <t>RECARGO  NEGRO</t>
    </r>
  </si>
  <si>
    <t>RECARGO  NEGRO</t>
  </si>
  <si>
    <t>METRO</t>
  </si>
  <si>
    <r>
      <rPr>
        <b/>
        <sz val="11"/>
        <rFont val="Calibri"/>
        <family val="1"/>
      </rPr>
      <t>PREMARCO</t>
    </r>
  </si>
  <si>
    <t>lineal</t>
  </si>
  <si>
    <t>PREMARCO</t>
  </si>
  <si>
    <r>
      <rPr>
        <b/>
        <sz val="11"/>
        <rFont val="Calibri"/>
        <family val="1"/>
      </rPr>
      <t>TAPAJUNTA</t>
    </r>
  </si>
  <si>
    <t>TAPAJUNTA</t>
  </si>
  <si>
    <r>
      <rPr>
        <b/>
        <sz val="11"/>
        <rFont val="Calibri"/>
        <family val="1"/>
      </rPr>
      <t>bipunto para corrediza modena por unidad</t>
    </r>
  </si>
  <si>
    <t>bipunto para corrediza modena por unidad</t>
  </si>
  <si>
    <t>oscilobatiente</t>
  </si>
  <si>
    <r>
      <rPr>
        <b/>
        <sz val="11"/>
        <rFont val="Calibri"/>
        <family val="1"/>
      </rPr>
      <t>PAÑO FIJO</t>
    </r>
  </si>
  <si>
    <t>PAÑO FIJO</t>
  </si>
  <si>
    <r>
      <rPr>
        <b/>
        <sz val="11"/>
        <rFont val="Calibri"/>
        <family val="1"/>
      </rPr>
      <t>TRAVESAÑO PAÑO FIJO</t>
    </r>
  </si>
  <si>
    <t>TRAVESAÑO PAÑO FIJO</t>
  </si>
  <si>
    <r>
      <rPr>
        <b/>
        <sz val="11"/>
        <rFont val="Calibri"/>
        <family val="1"/>
      </rPr>
      <t>PAÑO FIJO MODENA</t>
    </r>
  </si>
  <si>
    <t>PAÑO FIJO MODENA</t>
  </si>
  <si>
    <r>
      <rPr>
        <b/>
        <sz val="11"/>
        <rFont val="Calibri"/>
        <family val="1"/>
      </rPr>
      <t>TRAVESAÑO PAÑO FIJO MODENA</t>
    </r>
  </si>
  <si>
    <t>TRAVESAÑO PAÑO FIJO MODENA</t>
  </si>
  <si>
    <r>
      <rPr>
        <b/>
        <sz val="11"/>
        <rFont val="Calibri"/>
        <family val="1"/>
      </rPr>
      <t>PERFIL DE ACOPLE 180°</t>
    </r>
  </si>
  <si>
    <t>PERFIL DE ACOPLE 180°</t>
  </si>
  <si>
    <r>
      <rPr>
        <b/>
        <sz val="11"/>
        <rFont val="Calibri"/>
        <family val="1"/>
      </rPr>
      <t>camara de dvh</t>
    </r>
  </si>
  <si>
    <t>camara de dvh</t>
  </si>
  <si>
    <r>
      <rPr>
        <b/>
        <sz val="11"/>
        <rFont val="Calibri"/>
        <family val="1"/>
      </rPr>
      <t>FLOAT 3mm Incoloro</t>
    </r>
  </si>
  <si>
    <t>m2</t>
  </si>
  <si>
    <t>FLOAT 3mm Incoloro</t>
  </si>
  <si>
    <r>
      <rPr>
        <b/>
        <sz val="11"/>
        <rFont val="Calibri"/>
        <family val="1"/>
      </rPr>
      <t>FLOAT 4mm Incoloro</t>
    </r>
  </si>
  <si>
    <t>FLOAT 4mm Incoloro</t>
  </si>
  <si>
    <r>
      <rPr>
        <b/>
        <sz val="11"/>
        <rFont val="Calibri"/>
        <family val="1"/>
      </rPr>
      <t>FLOAT 5mm Incoloro</t>
    </r>
  </si>
  <si>
    <t>FLOAT 5mm Incoloro</t>
  </si>
  <si>
    <r>
      <rPr>
        <b/>
        <sz val="11"/>
        <rFont val="Calibri"/>
        <family val="1"/>
      </rPr>
      <t>FLOAT 6mm Incoloro</t>
    </r>
  </si>
  <si>
    <t>FLOAT 6mm Incoloro</t>
  </si>
  <si>
    <r>
      <rPr>
        <b/>
        <sz val="11"/>
        <rFont val="Calibri"/>
        <family val="1"/>
      </rPr>
      <t>FANTASIA 4mm Incoloro (stipolite/sicamore)</t>
    </r>
  </si>
  <si>
    <t>FANTASIA 4mm Incoloro (stipolite/sicamore)</t>
  </si>
  <si>
    <r>
      <rPr>
        <b/>
        <sz val="11"/>
        <rFont val="Calibri"/>
        <family val="1"/>
      </rPr>
      <t>ESPEJADO SOLARCOOL 4mm Bronce o Gris</t>
    </r>
  </si>
  <si>
    <t>ESPEJADO SOLARCOOL 4mm Bronce o Gris</t>
  </si>
  <si>
    <r>
      <rPr>
        <b/>
        <sz val="11"/>
        <rFont val="Calibri"/>
        <family val="1"/>
      </rPr>
      <t>LAMINADO BLISAN 3+3 incoloro</t>
    </r>
  </si>
  <si>
    <t>LAMINADO BLISAN 3+3 incoloro</t>
  </si>
  <si>
    <r>
      <rPr>
        <b/>
        <sz val="11"/>
        <rFont val="Calibri"/>
        <family val="1"/>
      </rPr>
      <t>LAMINADO BLISAN 4+4 incoloro</t>
    </r>
  </si>
  <si>
    <t>LAMINADO BLISAN 4+4 incoloro</t>
  </si>
  <si>
    <r>
      <rPr>
        <b/>
        <sz val="11"/>
        <rFont val="Calibri"/>
        <family val="1"/>
      </rPr>
      <t>LAMINADO BLISAN 5+5 incoloro</t>
    </r>
  </si>
  <si>
    <t>LAMINADO BLISAN 5+5 incoloro</t>
  </si>
  <si>
    <r>
      <rPr>
        <b/>
        <sz val="11"/>
        <rFont val="Calibri"/>
        <family val="1"/>
      </rPr>
      <t>esmerilado 3mm</t>
    </r>
  </si>
  <si>
    <t>esmerilado 3mm</t>
  </si>
  <si>
    <r>
      <rPr>
        <b/>
        <sz val="11"/>
        <rFont val="Calibri"/>
        <family val="1"/>
      </rPr>
      <t>esmerilado 4mm</t>
    </r>
  </si>
  <si>
    <t>esmerilado 4mm</t>
  </si>
  <si>
    <t>PLEGADIZAS PVC</t>
  </si>
  <si>
    <t>Detalle</t>
  </si>
  <si>
    <t>Blanco</t>
  </si>
  <si>
    <t>Natural</t>
  </si>
  <si>
    <t>Cedro</t>
  </si>
  <si>
    <t>Blanco Texturado</t>
  </si>
  <si>
    <t>Cedro Texturado</t>
  </si>
  <si>
    <t>72x210</t>
  </si>
  <si>
    <t>82x210</t>
  </si>
  <si>
    <t>92x210</t>
  </si>
  <si>
    <t>102x210</t>
  </si>
  <si>
    <t>112x210</t>
  </si>
  <si>
    <t>132x210</t>
  </si>
  <si>
    <t>CORTINAS PVC</t>
  </si>
  <si>
    <t xml:space="preserve"> STANDARD</t>
  </si>
  <si>
    <t>REFORZADA</t>
  </si>
  <si>
    <t>P55 CURVA REFORZADA</t>
  </si>
  <si>
    <t>S.REFORZADA BLANCA</t>
  </si>
  <si>
    <t>S.REFORZADA MARRON</t>
  </si>
  <si>
    <t>Completa M²</t>
  </si>
  <si>
    <t>Paño armado M²</t>
  </si>
  <si>
    <t>Varilla Metro Lineal</t>
  </si>
  <si>
    <t>Zócalo Metro Lineal</t>
  </si>
  <si>
    <t>S.REF BLANCA</t>
  </si>
  <si>
    <t>S.REF MARRON</t>
  </si>
  <si>
    <t>PUERTAS PLACAS</t>
  </si>
  <si>
    <t>Marco Finger</t>
  </si>
  <si>
    <t>Medida</t>
  </si>
  <si>
    <t>Marco 10</t>
  </si>
  <si>
    <t>Marco 15</t>
  </si>
  <si>
    <t>Hoja Pino</t>
  </si>
  <si>
    <t>Marco Pino</t>
  </si>
  <si>
    <t>Marco Cedro</t>
  </si>
  <si>
    <t>Hoja Cedro</t>
  </si>
  <si>
    <t>Marco Aluminio</t>
  </si>
  <si>
    <t>PUERTAS EMBUTIR</t>
  </si>
  <si>
    <t>Marco FINGER</t>
  </si>
  <si>
    <t>Hoja PINO</t>
  </si>
  <si>
    <t>Hoja CEDRO</t>
  </si>
  <si>
    <t>Marco CEDRO</t>
  </si>
  <si>
    <t>060x200</t>
  </si>
  <si>
    <t>Marco ALUMINIO</t>
  </si>
  <si>
    <t>Aluminio</t>
  </si>
  <si>
    <t>070x200</t>
  </si>
  <si>
    <t>080x200</t>
  </si>
  <si>
    <t xml:space="preserve"> </t>
  </si>
  <si>
    <t>LINEA</t>
  </si>
  <si>
    <t>LISTA</t>
  </si>
  <si>
    <t>DESCUENTO</t>
  </si>
  <si>
    <t>HERRERO</t>
  </si>
  <si>
    <t>MODENA</t>
  </si>
  <si>
    <t>Lista</t>
  </si>
  <si>
    <t>AMARILLA</t>
  </si>
  <si>
    <t>RAJAS DE ABRIR HERRERO</t>
  </si>
  <si>
    <t>ANCHO</t>
  </si>
  <si>
    <t>ANCHO_PUERTAS</t>
  </si>
  <si>
    <t>VENTANAS MODENA</t>
  </si>
  <si>
    <t>TIPO</t>
  </si>
  <si>
    <t>FACTOR</t>
  </si>
  <si>
    <t>CORREDIZO</t>
  </si>
  <si>
    <t>ABRIR</t>
  </si>
  <si>
    <t>FLETE</t>
  </si>
  <si>
    <t>GANANCIA</t>
  </si>
  <si>
    <t>PVC</t>
  </si>
  <si>
    <t>PLEGADIZAS</t>
  </si>
  <si>
    <t>Extra</t>
  </si>
  <si>
    <t xml:space="preserve">PARAMETRO </t>
  </si>
  <si>
    <t xml:space="preserve">           VALOR</t>
  </si>
  <si>
    <t xml:space="preserve">DESCUENTO_GENERAL </t>
  </si>
  <si>
    <t>LISTAS</t>
  </si>
  <si>
    <t>COLORES</t>
  </si>
  <si>
    <t>LINEAS</t>
  </si>
  <si>
    <t>120x40</t>
  </si>
  <si>
    <t>150x40</t>
  </si>
  <si>
    <t>180x40</t>
  </si>
  <si>
    <t>200x40</t>
  </si>
  <si>
    <t>120x50</t>
  </si>
  <si>
    <t>150x50</t>
  </si>
  <si>
    <t>180x50</t>
  </si>
  <si>
    <t>200x50</t>
  </si>
  <si>
    <t>220x80</t>
  </si>
  <si>
    <t>240x80</t>
  </si>
  <si>
    <t>120x90</t>
  </si>
  <si>
    <t>150x90</t>
  </si>
  <si>
    <t>180x90</t>
  </si>
  <si>
    <t>200x90</t>
  </si>
  <si>
    <t>220x90</t>
  </si>
  <si>
    <t>240x90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</si>
</sst>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20"/>
      <color indexed="8"/>
      <name val="Calibri"/>
      <family val="2"/>
    </font>
    <font>
      <b/>
      <sz val="13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b/>
      <sz val="8"/>
      <color indexed="8"/>
      <name val="Calibri"/>
      <family val="2"/>
    </font>
    <font>
      <b/>
      <i/>
      <sz val="16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20"/>
      <color indexed="8"/>
      <name val="Calibri"/>
      <family val="2"/>
    </font>
    <font>
      <b/>
      <i/>
      <sz val="11"/>
      <name val="Arial"/>
      <family val="2"/>
    </font>
    <font>
      <b/>
      <sz val="12"/>
      <color indexed="8"/>
      <name val="Calibri"/>
      <family val="2"/>
      <scheme val="minor"/>
    </font>
    <font>
      <sz val="9"/>
      <color indexed="8"/>
      <name val="Calibri "/>
    </font>
    <font>
      <sz val="8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omic Sans MS"/>
      <family val="4"/>
    </font>
    <font>
      <b/>
      <sz val="12"/>
      <color indexed="8"/>
      <name val="Calibri "/>
    </font>
    <font>
      <b/>
      <sz val="16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3"/>
      <color indexed="8"/>
      <name val="Calibri"/>
      <family val="2"/>
    </font>
    <font>
      <b/>
      <i/>
      <sz val="16"/>
      <color rgb="FF000000"/>
      <name val="Calibri"/>
      <family val="2"/>
      <scheme val="minor"/>
    </font>
    <font>
      <b/>
      <sz val="11"/>
      <color indexed="8"/>
      <name val="Comic Sans MS"/>
      <family val="4"/>
    </font>
    <font>
      <b/>
      <sz val="11"/>
      <color rgb="FF000000"/>
      <name val="Comic Sans MS"/>
      <family val="4"/>
    </font>
    <font>
      <b/>
      <sz val="14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name val="Calibri"/>
      <family val="1"/>
    </font>
    <font>
      <sz val="11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0.249977111117893"/>
        <bgColor indexed="43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00B0F0"/>
        <bgColor indexed="4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43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43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26"/>
      </patternFill>
    </fill>
    <fill>
      <patternFill patternType="solid">
        <fgColor rgb="FFFFFF00"/>
      </patternFill>
    </fill>
    <fill>
      <patternFill patternType="solid">
        <fgColor theme="2"/>
      </patternFill>
    </fill>
    <fill>
      <patternFill patternType="solid">
        <fgColor rgb="FF00B0F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ck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94">
    <xf numFmtId="0" fontId="0" fillId="0" borderId="0" xfId="0"/>
    <xf numFmtId="0" fontId="1" fillId="0" borderId="0" xfId="1"/>
    <xf numFmtId="0" fontId="3" fillId="0" borderId="0" xfId="2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" fontId="3" fillId="0" borderId="15" xfId="2" applyNumberFormat="1" applyBorder="1" applyAlignment="1">
      <alignment horizontal="center" vertical="center"/>
    </xf>
    <xf numFmtId="1" fontId="3" fillId="0" borderId="16" xfId="2" applyNumberForma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 shrinkToFit="1"/>
    </xf>
    <xf numFmtId="1" fontId="7" fillId="0" borderId="20" xfId="0" applyNumberFormat="1" applyFont="1" applyBorder="1" applyAlignment="1">
      <alignment horizontal="center" vertical="center" shrinkToFit="1"/>
    </xf>
    <xf numFmtId="1" fontId="7" fillId="0" borderId="21" xfId="0" applyNumberFormat="1" applyFont="1" applyBorder="1" applyAlignment="1">
      <alignment horizontal="center" vertical="center" shrinkToFit="1"/>
    </xf>
    <xf numFmtId="1" fontId="3" fillId="0" borderId="22" xfId="2" applyNumberFormat="1" applyBorder="1" applyAlignment="1">
      <alignment horizontal="center" vertical="center"/>
    </xf>
    <xf numFmtId="1" fontId="3" fillId="0" borderId="23" xfId="2" applyNumberFormat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0" fillId="5" borderId="0" xfId="2" applyFont="1" applyFill="1" applyAlignment="1">
      <alignment horizontal="center" vertical="center"/>
    </xf>
    <xf numFmtId="0" fontId="5" fillId="6" borderId="11" xfId="2" applyFont="1" applyFill="1" applyBorder="1" applyAlignment="1">
      <alignment horizontal="center" vertical="center"/>
    </xf>
    <xf numFmtId="0" fontId="5" fillId="6" borderId="12" xfId="2" applyFont="1" applyFill="1" applyBorder="1" applyAlignment="1">
      <alignment horizontal="center" vertical="center"/>
    </xf>
    <xf numFmtId="0" fontId="5" fillId="6" borderId="13" xfId="2" applyFont="1" applyFill="1" applyBorder="1" applyAlignment="1">
      <alignment horizontal="center" vertical="center"/>
    </xf>
    <xf numFmtId="0" fontId="6" fillId="6" borderId="14" xfId="2" applyFont="1" applyFill="1" applyBorder="1" applyAlignment="1">
      <alignment horizontal="center" vertical="center"/>
    </xf>
    <xf numFmtId="0" fontId="6" fillId="6" borderId="17" xfId="2" applyFont="1" applyFill="1" applyBorder="1" applyAlignment="1">
      <alignment horizontal="center" vertical="center"/>
    </xf>
    <xf numFmtId="0" fontId="6" fillId="6" borderId="18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9" borderId="11" xfId="2" applyFont="1" applyFill="1" applyBorder="1" applyAlignment="1">
      <alignment horizontal="center" vertical="center"/>
    </xf>
    <xf numFmtId="0" fontId="6" fillId="9" borderId="14" xfId="2" applyFont="1" applyFill="1" applyBorder="1" applyAlignment="1">
      <alignment horizontal="center" vertical="center"/>
    </xf>
    <xf numFmtId="0" fontId="6" fillId="9" borderId="17" xfId="2" applyFont="1" applyFill="1" applyBorder="1" applyAlignment="1">
      <alignment horizontal="center" vertical="center"/>
    </xf>
    <xf numFmtId="0" fontId="6" fillId="9" borderId="18" xfId="2" applyFont="1" applyFill="1" applyBorder="1" applyAlignment="1">
      <alignment horizontal="center" vertical="center"/>
    </xf>
    <xf numFmtId="0" fontId="5" fillId="9" borderId="12" xfId="2" applyFont="1" applyFill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6" fillId="2" borderId="6" xfId="2" applyFont="1" applyFill="1" applyBorder="1" applyAlignment="1">
      <alignment horizontal="center" vertical="center"/>
    </xf>
    <xf numFmtId="1" fontId="17" fillId="0" borderId="29" xfId="0" applyNumberFormat="1" applyFont="1" applyBorder="1" applyAlignment="1">
      <alignment horizontal="center" vertical="top" shrinkToFit="1"/>
    </xf>
    <xf numFmtId="1" fontId="17" fillId="0" borderId="30" xfId="0" applyNumberFormat="1" applyFont="1" applyBorder="1" applyAlignment="1">
      <alignment horizontal="center" vertical="top" shrinkToFit="1"/>
    </xf>
    <xf numFmtId="0" fontId="16" fillId="8" borderId="25" xfId="0" applyFont="1" applyFill="1" applyBorder="1" applyAlignment="1">
      <alignment horizontal="center" vertical="top" wrapText="1"/>
    </xf>
    <xf numFmtId="0" fontId="16" fillId="8" borderId="26" xfId="0" applyFont="1" applyFill="1" applyBorder="1" applyAlignment="1">
      <alignment horizontal="center" vertical="top" wrapText="1"/>
    </xf>
    <xf numFmtId="0" fontId="16" fillId="8" borderId="27" xfId="0" applyFont="1" applyFill="1" applyBorder="1" applyAlignment="1">
      <alignment horizontal="center" vertical="top" wrapText="1"/>
    </xf>
    <xf numFmtId="0" fontId="14" fillId="8" borderId="28" xfId="0" applyFont="1" applyFill="1" applyBorder="1" applyAlignment="1">
      <alignment horizontal="center" vertical="top" wrapText="1"/>
    </xf>
    <xf numFmtId="0" fontId="14" fillId="8" borderId="31" xfId="0" applyFont="1" applyFill="1" applyBorder="1" applyAlignment="1">
      <alignment horizontal="center" vertical="top" wrapText="1"/>
    </xf>
    <xf numFmtId="0" fontId="14" fillId="10" borderId="11" xfId="1" applyFont="1" applyFill="1" applyBorder="1" applyAlignment="1">
      <alignment horizontal="center" vertical="top" wrapText="1"/>
    </xf>
    <xf numFmtId="0" fontId="14" fillId="10" borderId="12" xfId="1" applyFont="1" applyFill="1" applyBorder="1" applyAlignment="1">
      <alignment horizontal="center" vertical="top" wrapText="1"/>
    </xf>
    <xf numFmtId="0" fontId="14" fillId="10" borderId="13" xfId="1" applyFont="1" applyFill="1" applyBorder="1" applyAlignment="1">
      <alignment horizontal="center" vertical="top" wrapText="1"/>
    </xf>
    <xf numFmtId="1" fontId="17" fillId="0" borderId="15" xfId="1" applyNumberFormat="1" applyFont="1" applyBorder="1" applyAlignment="1">
      <alignment horizontal="center" vertical="top" shrinkToFit="1"/>
    </xf>
    <xf numFmtId="1" fontId="17" fillId="0" borderId="16" xfId="1" applyNumberFormat="1" applyFont="1" applyBorder="1" applyAlignment="1">
      <alignment horizontal="center" vertical="top" shrinkToFit="1"/>
    </xf>
    <xf numFmtId="0" fontId="14" fillId="10" borderId="32" xfId="1" applyFont="1" applyFill="1" applyBorder="1" applyAlignment="1">
      <alignment horizontal="center" vertical="top" wrapText="1"/>
    </xf>
    <xf numFmtId="0" fontId="14" fillId="10" borderId="33" xfId="1" applyFont="1" applyFill="1" applyBorder="1" applyAlignment="1">
      <alignment horizontal="center" vertical="top" wrapText="1"/>
    </xf>
    <xf numFmtId="0" fontId="14" fillId="10" borderId="34" xfId="1" applyFont="1" applyFill="1" applyBorder="1" applyAlignment="1">
      <alignment horizontal="center" vertical="top" wrapText="1"/>
    </xf>
    <xf numFmtId="1" fontId="17" fillId="0" borderId="35" xfId="1" applyNumberFormat="1" applyFont="1" applyBorder="1" applyAlignment="1">
      <alignment horizontal="center" vertical="top" shrinkToFit="1"/>
    </xf>
    <xf numFmtId="1" fontId="17" fillId="0" borderId="6" xfId="1" applyNumberFormat="1" applyFont="1" applyBorder="1" applyAlignment="1">
      <alignment horizontal="center" vertical="top" shrinkToFit="1"/>
    </xf>
    <xf numFmtId="1" fontId="17" fillId="0" borderId="7" xfId="1" applyNumberFormat="1" applyFont="1" applyBorder="1" applyAlignment="1">
      <alignment horizontal="center" vertical="top" shrinkToFit="1"/>
    </xf>
    <xf numFmtId="1" fontId="17" fillId="0" borderId="14" xfId="1" applyNumberFormat="1" applyFont="1" applyBorder="1" applyAlignment="1">
      <alignment horizontal="center" vertical="top" shrinkToFit="1"/>
    </xf>
    <xf numFmtId="1" fontId="17" fillId="0" borderId="36" xfId="1" applyNumberFormat="1" applyFont="1" applyBorder="1" applyAlignment="1">
      <alignment horizontal="center" vertical="top" shrinkToFit="1"/>
    </xf>
    <xf numFmtId="1" fontId="17" fillId="0" borderId="22" xfId="1" applyNumberFormat="1" applyFont="1" applyBorder="1" applyAlignment="1">
      <alignment horizontal="center" vertical="top" shrinkToFit="1"/>
    </xf>
    <xf numFmtId="1" fontId="17" fillId="0" borderId="23" xfId="1" applyNumberFormat="1" applyFont="1" applyBorder="1" applyAlignment="1">
      <alignment horizontal="center" vertical="top" shrinkToFit="1"/>
    </xf>
    <xf numFmtId="0" fontId="3" fillId="0" borderId="40" xfId="2" applyBorder="1" applyAlignment="1">
      <alignment horizontal="center" vertical="center"/>
    </xf>
    <xf numFmtId="1" fontId="3" fillId="0" borderId="40" xfId="2" applyNumberFormat="1" applyBorder="1" applyAlignment="1">
      <alignment horizontal="center" vertical="center"/>
    </xf>
    <xf numFmtId="1" fontId="3" fillId="0" borderId="41" xfId="2" applyNumberFormat="1" applyBorder="1" applyAlignment="1">
      <alignment horizontal="center" vertical="center"/>
    </xf>
    <xf numFmtId="0" fontId="3" fillId="0" borderId="42" xfId="2" applyBorder="1" applyAlignment="1">
      <alignment horizontal="center" vertical="center"/>
    </xf>
    <xf numFmtId="0" fontId="5" fillId="13" borderId="42" xfId="2" applyFont="1" applyFill="1" applyBorder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1" fontId="3" fillId="0" borderId="42" xfId="2" applyNumberFormat="1" applyBorder="1" applyAlignment="1">
      <alignment horizontal="center" vertical="center"/>
    </xf>
    <xf numFmtId="0" fontId="6" fillId="15" borderId="35" xfId="2" applyFont="1" applyFill="1" applyBorder="1" applyAlignment="1">
      <alignment horizontal="center" vertical="center"/>
    </xf>
    <xf numFmtId="0" fontId="5" fillId="15" borderId="6" xfId="2" applyFont="1" applyFill="1" applyBorder="1" applyAlignment="1">
      <alignment horizontal="center" vertical="center"/>
    </xf>
    <xf numFmtId="0" fontId="5" fillId="15" borderId="7" xfId="2" applyFont="1" applyFill="1" applyBorder="1" applyAlignment="1">
      <alignment horizontal="center" vertical="center"/>
    </xf>
    <xf numFmtId="0" fontId="5" fillId="15" borderId="17" xfId="2" applyFont="1" applyFill="1" applyBorder="1" applyAlignment="1">
      <alignment horizontal="center" vertical="center"/>
    </xf>
    <xf numFmtId="0" fontId="5" fillId="15" borderId="18" xfId="2" applyFont="1" applyFill="1" applyBorder="1" applyAlignment="1">
      <alignment horizontal="center" vertical="center"/>
    </xf>
    <xf numFmtId="0" fontId="5" fillId="16" borderId="42" xfId="2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11" xfId="2" applyFont="1" applyBorder="1" applyAlignment="1">
      <alignment horizontal="center" vertical="center"/>
    </xf>
    <xf numFmtId="0" fontId="21" fillId="0" borderId="12" xfId="2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1" fontId="22" fillId="0" borderId="15" xfId="2" applyNumberFormat="1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1" fontId="1" fillId="0" borderId="41" xfId="1" applyNumberFormat="1" applyBorder="1" applyAlignment="1">
      <alignment horizontal="center" vertical="center"/>
    </xf>
    <xf numFmtId="0" fontId="23" fillId="0" borderId="0" xfId="1" applyFont="1"/>
    <xf numFmtId="0" fontId="5" fillId="0" borderId="18" xfId="2" applyFont="1" applyBorder="1" applyAlignment="1">
      <alignment horizontal="center" vertical="center"/>
    </xf>
    <xf numFmtId="1" fontId="1" fillId="0" borderId="49" xfId="1" applyNumberForma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4" fillId="14" borderId="35" xfId="2" applyFont="1" applyFill="1" applyBorder="1" applyAlignment="1">
      <alignment horizontal="center" vertical="center"/>
    </xf>
    <xf numFmtId="0" fontId="24" fillId="14" borderId="6" xfId="2" applyFont="1" applyFill="1" applyBorder="1" applyAlignment="1">
      <alignment horizontal="center" vertical="center"/>
    </xf>
    <xf numFmtId="0" fontId="26" fillId="14" borderId="6" xfId="2" applyFont="1" applyFill="1" applyBorder="1" applyAlignment="1">
      <alignment horizontal="center" vertical="center"/>
    </xf>
    <xf numFmtId="0" fontId="26" fillId="14" borderId="7" xfId="2" applyFont="1" applyFill="1" applyBorder="1" applyAlignment="1">
      <alignment horizontal="center" vertical="center"/>
    </xf>
    <xf numFmtId="0" fontId="24" fillId="14" borderId="17" xfId="2" applyFont="1" applyFill="1" applyBorder="1" applyAlignment="1">
      <alignment horizontal="center" vertical="center"/>
    </xf>
    <xf numFmtId="0" fontId="2" fillId="18" borderId="18" xfId="0" applyFont="1" applyFill="1" applyBorder="1" applyAlignment="1">
      <alignment horizontal="center" vertical="center" wrapText="1"/>
    </xf>
    <xf numFmtId="1" fontId="26" fillId="0" borderId="35" xfId="2" applyNumberFormat="1" applyFont="1" applyBorder="1" applyAlignment="1">
      <alignment horizontal="center" vertical="center"/>
    </xf>
    <xf numFmtId="1" fontId="26" fillId="0" borderId="6" xfId="2" applyNumberFormat="1" applyFont="1" applyBorder="1" applyAlignment="1">
      <alignment horizontal="center" vertical="center"/>
    </xf>
    <xf numFmtId="1" fontId="26" fillId="0" borderId="7" xfId="2" applyNumberFormat="1" applyFont="1" applyBorder="1" applyAlignment="1">
      <alignment horizontal="center" vertical="center"/>
    </xf>
    <xf numFmtId="1" fontId="26" fillId="0" borderId="17" xfId="2" applyNumberFormat="1" applyFont="1" applyBorder="1" applyAlignment="1">
      <alignment horizontal="center" vertical="center"/>
    </xf>
    <xf numFmtId="1" fontId="26" fillId="0" borderId="40" xfId="2" applyNumberFormat="1" applyFont="1" applyBorder="1" applyAlignment="1">
      <alignment horizontal="center" vertical="center"/>
    </xf>
    <xf numFmtId="1" fontId="26" fillId="0" borderId="41" xfId="2" applyNumberFormat="1" applyFont="1" applyBorder="1" applyAlignment="1">
      <alignment horizontal="center" vertical="center"/>
    </xf>
    <xf numFmtId="1" fontId="26" fillId="0" borderId="18" xfId="2" applyNumberFormat="1" applyFont="1" applyBorder="1" applyAlignment="1">
      <alignment horizontal="center" vertical="center"/>
    </xf>
    <xf numFmtId="1" fontId="26" fillId="0" borderId="53" xfId="2" applyNumberFormat="1" applyFont="1" applyBorder="1" applyAlignment="1">
      <alignment horizontal="center" vertical="center"/>
    </xf>
    <xf numFmtId="1" fontId="26" fillId="0" borderId="49" xfId="2" applyNumberFormat="1" applyFont="1" applyBorder="1" applyAlignment="1">
      <alignment horizontal="center" vertical="center"/>
    </xf>
    <xf numFmtId="0" fontId="6" fillId="14" borderId="35" xfId="2" applyFont="1" applyFill="1" applyBorder="1" applyAlignment="1">
      <alignment horizontal="center" vertical="center"/>
    </xf>
    <xf numFmtId="0" fontId="6" fillId="14" borderId="6" xfId="2" applyFont="1" applyFill="1" applyBorder="1" applyAlignment="1">
      <alignment horizontal="center" vertical="center"/>
    </xf>
    <xf numFmtId="0" fontId="6" fillId="14" borderId="7" xfId="2" applyFont="1" applyFill="1" applyBorder="1" applyAlignment="1">
      <alignment horizontal="center" vertical="center"/>
    </xf>
    <xf numFmtId="0" fontId="3" fillId="14" borderId="17" xfId="2" applyFill="1" applyBorder="1" applyAlignment="1">
      <alignment horizontal="center" vertical="center"/>
    </xf>
    <xf numFmtId="0" fontId="3" fillId="14" borderId="18" xfId="2" applyFill="1" applyBorder="1" applyAlignment="1">
      <alignment horizontal="center" vertical="center"/>
    </xf>
    <xf numFmtId="0" fontId="27" fillId="6" borderId="12" xfId="2" applyFont="1" applyFill="1" applyBorder="1" applyAlignment="1">
      <alignment horizontal="center" vertical="center"/>
    </xf>
    <xf numFmtId="0" fontId="27" fillId="6" borderId="13" xfId="2" applyFont="1" applyFill="1" applyBorder="1" applyAlignment="1">
      <alignment horizontal="center" vertical="center"/>
    </xf>
    <xf numFmtId="0" fontId="6" fillId="6" borderId="32" xfId="2" applyFont="1" applyFill="1" applyBorder="1" applyAlignment="1">
      <alignment horizontal="center" vertical="center"/>
    </xf>
    <xf numFmtId="0" fontId="6" fillId="6" borderId="33" xfId="2" applyFont="1" applyFill="1" applyBorder="1" applyAlignment="1">
      <alignment horizontal="center" vertical="center"/>
    </xf>
    <xf numFmtId="0" fontId="6" fillId="6" borderId="52" xfId="2" applyFont="1" applyFill="1" applyBorder="1" applyAlignment="1">
      <alignment horizontal="center" vertical="center"/>
    </xf>
    <xf numFmtId="1" fontId="3" fillId="0" borderId="35" xfId="2" applyNumberFormat="1" applyBorder="1" applyAlignment="1">
      <alignment horizontal="center" vertical="center"/>
    </xf>
    <xf numFmtId="1" fontId="3" fillId="0" borderId="6" xfId="2" applyNumberFormat="1" applyBorder="1" applyAlignment="1">
      <alignment horizontal="center" vertical="center"/>
    </xf>
    <xf numFmtId="1" fontId="3" fillId="0" borderId="7" xfId="2" applyNumberFormat="1" applyBorder="1" applyAlignment="1">
      <alignment horizontal="center" vertical="center"/>
    </xf>
    <xf numFmtId="1" fontId="3" fillId="0" borderId="14" xfId="2" applyNumberFormat="1" applyBorder="1" applyAlignment="1">
      <alignment horizontal="center" vertical="center"/>
    </xf>
    <xf numFmtId="1" fontId="3" fillId="0" borderId="36" xfId="2" applyNumberFormat="1" applyBorder="1" applyAlignment="1">
      <alignment horizontal="center" vertical="center"/>
    </xf>
    <xf numFmtId="0" fontId="28" fillId="6" borderId="33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30" fillId="6" borderId="14" xfId="2" applyFont="1" applyFill="1" applyBorder="1" applyAlignment="1">
      <alignment horizontal="center" vertical="center"/>
    </xf>
    <xf numFmtId="0" fontId="30" fillId="6" borderId="50" xfId="2" applyFont="1" applyFill="1" applyBorder="1" applyAlignment="1">
      <alignment horizontal="center" vertical="center"/>
    </xf>
    <xf numFmtId="0" fontId="30" fillId="6" borderId="51" xfId="2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1" fontId="3" fillId="0" borderId="40" xfId="2" applyNumberFormat="1" applyBorder="1" applyAlignment="1">
      <alignment horizontal="center"/>
    </xf>
    <xf numFmtId="1" fontId="3" fillId="0" borderId="41" xfId="2" applyNumberFormat="1" applyBorder="1" applyAlignment="1">
      <alignment horizontal="center"/>
    </xf>
    <xf numFmtId="0" fontId="33" fillId="6" borderId="11" xfId="2" applyFont="1" applyFill="1" applyBorder="1" applyAlignment="1">
      <alignment horizontal="center" vertical="center"/>
    </xf>
    <xf numFmtId="0" fontId="33" fillId="6" borderId="12" xfId="2" applyFont="1" applyFill="1" applyBorder="1" applyAlignment="1">
      <alignment horizontal="center" vertical="center"/>
    </xf>
    <xf numFmtId="0" fontId="33" fillId="6" borderId="13" xfId="2" applyFont="1" applyFill="1" applyBorder="1" applyAlignment="1">
      <alignment horizontal="center" vertical="center"/>
    </xf>
    <xf numFmtId="0" fontId="5" fillId="14" borderId="35" xfId="2" applyFont="1" applyFill="1" applyBorder="1" applyAlignment="1">
      <alignment horizontal="center"/>
    </xf>
    <xf numFmtId="0" fontId="5" fillId="14" borderId="6" xfId="2" applyFont="1" applyFill="1" applyBorder="1" applyAlignment="1">
      <alignment horizontal="center"/>
    </xf>
    <xf numFmtId="0" fontId="5" fillId="14" borderId="7" xfId="2" applyFont="1" applyFill="1" applyBorder="1" applyAlignment="1">
      <alignment horizontal="center"/>
    </xf>
    <xf numFmtId="0" fontId="3" fillId="14" borderId="17" xfId="2" applyFill="1" applyBorder="1" applyAlignment="1">
      <alignment horizontal="center"/>
    </xf>
    <xf numFmtId="0" fontId="3" fillId="14" borderId="18" xfId="2" applyFill="1" applyBorder="1" applyAlignment="1">
      <alignment horizontal="center"/>
    </xf>
    <xf numFmtId="0" fontId="3" fillId="0" borderId="57" xfId="2" applyBorder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34" fillId="4" borderId="54" xfId="2" applyFont="1" applyFill="1" applyBorder="1" applyAlignment="1">
      <alignment horizontal="center" vertical="center"/>
    </xf>
    <xf numFmtId="0" fontId="34" fillId="4" borderId="55" xfId="2" applyFont="1" applyFill="1" applyBorder="1" applyAlignment="1">
      <alignment horizontal="center" vertical="center"/>
    </xf>
    <xf numFmtId="0" fontId="34" fillId="4" borderId="12" xfId="2" applyFont="1" applyFill="1" applyBorder="1" applyAlignment="1">
      <alignment horizontal="center" vertical="center"/>
    </xf>
    <xf numFmtId="0" fontId="34" fillId="4" borderId="13" xfId="2" applyFont="1" applyFill="1" applyBorder="1" applyAlignment="1">
      <alignment horizontal="center" vertical="center"/>
    </xf>
    <xf numFmtId="0" fontId="5" fillId="6" borderId="64" xfId="2" applyFont="1" applyFill="1" applyBorder="1" applyAlignment="1">
      <alignment horizontal="center" vertical="center"/>
    </xf>
    <xf numFmtId="1" fontId="3" fillId="0" borderId="65" xfId="2" applyNumberFormat="1" applyBorder="1" applyAlignment="1">
      <alignment horizontal="center" vertical="center"/>
    </xf>
    <xf numFmtId="0" fontId="5" fillId="6" borderId="8" xfId="2" applyFont="1" applyFill="1" applyBorder="1" applyAlignment="1">
      <alignment horizontal="center" vertical="center"/>
    </xf>
    <xf numFmtId="0" fontId="5" fillId="6" borderId="10" xfId="2" applyFont="1" applyFill="1" applyBorder="1" applyAlignment="1">
      <alignment horizontal="center" vertical="center"/>
    </xf>
    <xf numFmtId="0" fontId="5" fillId="6" borderId="66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1" fontId="3" fillId="0" borderId="4" xfId="2" applyNumberFormat="1" applyBorder="1" applyAlignment="1">
      <alignment horizontal="center" vertical="center"/>
    </xf>
    <xf numFmtId="0" fontId="5" fillId="6" borderId="68" xfId="2" applyFont="1" applyFill="1" applyBorder="1" applyAlignment="1">
      <alignment horizontal="center" vertical="center"/>
    </xf>
    <xf numFmtId="0" fontId="6" fillId="14" borderId="17" xfId="2" applyFont="1" applyFill="1" applyBorder="1" applyAlignment="1">
      <alignment horizontal="center" vertical="center"/>
    </xf>
    <xf numFmtId="0" fontId="6" fillId="14" borderId="40" xfId="2" applyFont="1" applyFill="1" applyBorder="1" applyAlignment="1">
      <alignment horizontal="center" vertical="center"/>
    </xf>
    <xf numFmtId="0" fontId="6" fillId="14" borderId="41" xfId="2" applyFont="1" applyFill="1" applyBorder="1" applyAlignment="1">
      <alignment horizontal="center" vertical="center"/>
    </xf>
    <xf numFmtId="0" fontId="6" fillId="14" borderId="18" xfId="2" applyFont="1" applyFill="1" applyBorder="1" applyAlignment="1">
      <alignment horizontal="center" vertical="center"/>
    </xf>
    <xf numFmtId="0" fontId="10" fillId="5" borderId="0" xfId="2" applyFont="1" applyFill="1" applyAlignment="1">
      <alignment vertical="center"/>
    </xf>
    <xf numFmtId="0" fontId="3" fillId="0" borderId="75" xfId="2" applyBorder="1" applyAlignment="1">
      <alignment horizontal="center"/>
    </xf>
    <xf numFmtId="0" fontId="3" fillId="0" borderId="76" xfId="2" applyBorder="1" applyAlignment="1">
      <alignment horizontal="center"/>
    </xf>
    <xf numFmtId="1" fontId="3" fillId="0" borderId="75" xfId="2" applyNumberFormat="1" applyBorder="1" applyAlignment="1">
      <alignment horizontal="center"/>
    </xf>
    <xf numFmtId="0" fontId="3" fillId="0" borderId="78" xfId="2" applyBorder="1" applyAlignment="1">
      <alignment horizontal="center"/>
    </xf>
    <xf numFmtId="1" fontId="3" fillId="0" borderId="78" xfId="2" applyNumberFormat="1" applyBorder="1" applyAlignment="1">
      <alignment horizontal="center"/>
    </xf>
    <xf numFmtId="0" fontId="35" fillId="14" borderId="71" xfId="2" applyFont="1" applyFill="1" applyBorder="1" applyAlignment="1">
      <alignment horizontal="center"/>
    </xf>
    <xf numFmtId="0" fontId="35" fillId="14" borderId="72" xfId="2" applyFont="1" applyFill="1" applyBorder="1" applyAlignment="1">
      <alignment horizontal="center"/>
    </xf>
    <xf numFmtId="0" fontId="35" fillId="14" borderId="73" xfId="2" applyFont="1" applyFill="1" applyBorder="1" applyAlignment="1">
      <alignment horizontal="center"/>
    </xf>
    <xf numFmtId="0" fontId="3" fillId="14" borderId="74" xfId="2" applyFill="1" applyBorder="1" applyAlignment="1">
      <alignment horizontal="center"/>
    </xf>
    <xf numFmtId="0" fontId="3" fillId="14" borderId="77" xfId="2" applyFill="1" applyBorder="1" applyAlignment="1">
      <alignment horizontal="center"/>
    </xf>
    <xf numFmtId="0" fontId="6" fillId="6" borderId="14" xfId="2" applyFont="1" applyFill="1" applyBorder="1" applyAlignment="1">
      <alignment horizontal="center"/>
    </xf>
    <xf numFmtId="1" fontId="3" fillId="0" borderId="15" xfId="2" applyNumberFormat="1" applyBorder="1" applyAlignment="1">
      <alignment horizontal="center"/>
    </xf>
    <xf numFmtId="1" fontId="3" fillId="0" borderId="16" xfId="2" applyNumberFormat="1" applyBorder="1" applyAlignment="1">
      <alignment horizontal="center"/>
    </xf>
    <xf numFmtId="0" fontId="6" fillId="6" borderId="17" xfId="2" applyFont="1" applyFill="1" applyBorder="1" applyAlignment="1">
      <alignment horizontal="center"/>
    </xf>
    <xf numFmtId="0" fontId="6" fillId="6" borderId="18" xfId="2" applyFont="1" applyFill="1" applyBorder="1" applyAlignment="1">
      <alignment horizontal="center"/>
    </xf>
    <xf numFmtId="0" fontId="31" fillId="15" borderId="35" xfId="2" applyFont="1" applyFill="1" applyBorder="1" applyAlignment="1">
      <alignment horizontal="center" vertical="center"/>
    </xf>
    <xf numFmtId="0" fontId="5" fillId="14" borderId="17" xfId="2" applyFont="1" applyFill="1" applyBorder="1" applyAlignment="1">
      <alignment horizontal="center" vertical="center"/>
    </xf>
    <xf numFmtId="0" fontId="5" fillId="14" borderId="18" xfId="2" applyFont="1" applyFill="1" applyBorder="1" applyAlignment="1">
      <alignment horizontal="center" vertical="center"/>
    </xf>
    <xf numFmtId="0" fontId="5" fillId="14" borderId="6" xfId="2" applyFont="1" applyFill="1" applyBorder="1" applyAlignment="1">
      <alignment horizontal="center" vertical="center"/>
    </xf>
    <xf numFmtId="0" fontId="5" fillId="14" borderId="7" xfId="2" applyFont="1" applyFill="1" applyBorder="1" applyAlignment="1">
      <alignment horizontal="center" vertical="center"/>
    </xf>
    <xf numFmtId="0" fontId="32" fillId="5" borderId="0" xfId="2" applyFont="1" applyFill="1" applyAlignment="1">
      <alignment vertical="center"/>
    </xf>
    <xf numFmtId="0" fontId="27" fillId="6" borderId="11" xfId="2" applyFont="1" applyFill="1" applyBorder="1" applyAlignment="1">
      <alignment horizontal="center" vertical="center"/>
    </xf>
    <xf numFmtId="0" fontId="5" fillId="6" borderId="14" xfId="2" applyFont="1" applyFill="1" applyBorder="1" applyAlignment="1">
      <alignment horizontal="center" vertical="center"/>
    </xf>
    <xf numFmtId="0" fontId="5" fillId="6" borderId="17" xfId="2" applyFont="1" applyFill="1" applyBorder="1" applyAlignment="1">
      <alignment horizontal="center" vertical="center"/>
    </xf>
    <xf numFmtId="0" fontId="5" fillId="6" borderId="18" xfId="2" applyFont="1" applyFill="1" applyBorder="1" applyAlignment="1">
      <alignment horizontal="center" vertical="center"/>
    </xf>
    <xf numFmtId="0" fontId="37" fillId="12" borderId="29" xfId="0" applyFont="1" applyFill="1" applyBorder="1" applyAlignment="1">
      <alignment horizontal="center" vertical="top" wrapText="1"/>
    </xf>
    <xf numFmtId="0" fontId="6" fillId="0" borderId="46" xfId="2" applyFont="1" applyBorder="1" applyAlignment="1">
      <alignment horizontal="center" vertical="center"/>
    </xf>
    <xf numFmtId="9" fontId="3" fillId="0" borderId="79" xfId="2" applyNumberFormat="1" applyBorder="1" applyAlignment="1">
      <alignment horizontal="center" vertical="center"/>
    </xf>
    <xf numFmtId="0" fontId="6" fillId="11" borderId="79" xfId="2" applyFont="1" applyFill="1" applyBorder="1" applyAlignment="1">
      <alignment horizontal="center" vertical="center"/>
    </xf>
    <xf numFmtId="0" fontId="6" fillId="0" borderId="80" xfId="2" applyFont="1" applyBorder="1" applyAlignment="1">
      <alignment horizontal="center" vertical="center"/>
    </xf>
    <xf numFmtId="0" fontId="6" fillId="11" borderId="42" xfId="2" applyFont="1" applyFill="1" applyBorder="1" applyAlignment="1">
      <alignment horizontal="center" vertical="center"/>
    </xf>
    <xf numFmtId="0" fontId="39" fillId="12" borderId="29" xfId="0" applyFont="1" applyFill="1" applyBorder="1" applyAlignment="1">
      <alignment horizontal="left" wrapText="1"/>
    </xf>
    <xf numFmtId="0" fontId="38" fillId="12" borderId="29" xfId="0" applyFont="1" applyFill="1" applyBorder="1" applyAlignment="1">
      <alignment horizontal="center" vertical="top" wrapText="1"/>
    </xf>
    <xf numFmtId="0" fontId="38" fillId="17" borderId="29" xfId="0" applyFont="1" applyFill="1" applyBorder="1" applyAlignment="1">
      <alignment horizontal="center" vertical="top" wrapText="1"/>
    </xf>
    <xf numFmtId="0" fontId="14" fillId="0" borderId="0" xfId="1" applyFont="1"/>
    <xf numFmtId="0" fontId="14" fillId="0" borderId="0" xfId="1" applyFont="1" applyAlignment="1">
      <alignment horizontal="center"/>
    </xf>
    <xf numFmtId="0" fontId="6" fillId="6" borderId="81" xfId="2" applyFont="1" applyFill="1" applyBorder="1" applyAlignment="1">
      <alignment horizontal="center" vertical="center"/>
    </xf>
    <xf numFmtId="9" fontId="3" fillId="0" borderId="82" xfId="2" applyNumberFormat="1" applyBorder="1" applyAlignment="1">
      <alignment horizontal="center" vertical="center"/>
    </xf>
    <xf numFmtId="0" fontId="6" fillId="6" borderId="83" xfId="2" applyFont="1" applyFill="1" applyBorder="1" applyAlignment="1">
      <alignment horizontal="center" vertical="center"/>
    </xf>
    <xf numFmtId="0" fontId="3" fillId="0" borderId="84" xfId="2" applyBorder="1" applyAlignment="1">
      <alignment horizontal="center" vertical="center"/>
    </xf>
    <xf numFmtId="1" fontId="3" fillId="0" borderId="84" xfId="2" applyNumberFormat="1" applyBorder="1" applyAlignment="1">
      <alignment horizontal="center" vertical="center"/>
    </xf>
    <xf numFmtId="0" fontId="38" fillId="19" borderId="28" xfId="1" applyFont="1" applyFill="1" applyBorder="1" applyAlignment="1">
      <alignment horizontal="center" vertical="top" wrapText="1"/>
    </xf>
    <xf numFmtId="0" fontId="6" fillId="6" borderId="85" xfId="2" applyFont="1" applyFill="1" applyBorder="1" applyAlignment="1">
      <alignment horizontal="center" vertical="center"/>
    </xf>
    <xf numFmtId="0" fontId="6" fillId="0" borderId="86" xfId="2" applyFont="1" applyBorder="1" applyAlignment="1">
      <alignment horizontal="center" vertical="center"/>
    </xf>
    <xf numFmtId="0" fontId="15" fillId="10" borderId="17" xfId="2" applyFont="1" applyFill="1" applyBorder="1" applyAlignment="1">
      <alignment horizontal="center" vertical="center"/>
    </xf>
    <xf numFmtId="0" fontId="15" fillId="6" borderId="40" xfId="2" applyFont="1" applyFill="1" applyBorder="1" applyAlignment="1">
      <alignment horizontal="center" vertical="center"/>
    </xf>
    <xf numFmtId="0" fontId="15" fillId="6" borderId="41" xfId="2" applyFont="1" applyFill="1" applyBorder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15" fillId="10" borderId="35" xfId="2" applyFont="1" applyFill="1" applyBorder="1" applyAlignment="1">
      <alignment horizontal="center" vertical="center"/>
    </xf>
    <xf numFmtId="0" fontId="15" fillId="6" borderId="6" xfId="2" applyFont="1" applyFill="1" applyBorder="1" applyAlignment="1">
      <alignment horizontal="center" vertical="center"/>
    </xf>
    <xf numFmtId="0" fontId="15" fillId="6" borderId="7" xfId="2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0" fontId="1" fillId="10" borderId="5" xfId="1" applyFill="1" applyBorder="1" applyAlignment="1">
      <alignment horizontal="center" vertical="center"/>
    </xf>
    <xf numFmtId="0" fontId="1" fillId="10" borderId="6" xfId="1" applyFill="1" applyBorder="1" applyAlignment="1">
      <alignment horizontal="center" vertical="center"/>
    </xf>
    <xf numFmtId="0" fontId="1" fillId="10" borderId="7" xfId="1" applyFill="1" applyBorder="1" applyAlignment="1">
      <alignment horizontal="center" vertical="center"/>
    </xf>
    <xf numFmtId="0" fontId="1" fillId="0" borderId="91" xfId="1" applyBorder="1" applyAlignment="1">
      <alignment horizontal="center" vertical="center"/>
    </xf>
    <xf numFmtId="1" fontId="1" fillId="0" borderId="40" xfId="1" applyNumberFormat="1" applyBorder="1" applyAlignment="1">
      <alignment horizontal="center" vertical="center"/>
    </xf>
    <xf numFmtId="0" fontId="1" fillId="0" borderId="67" xfId="1" applyBorder="1" applyAlignment="1">
      <alignment horizontal="center" vertical="center"/>
    </xf>
    <xf numFmtId="0" fontId="1" fillId="13" borderId="0" xfId="1" applyFill="1"/>
    <xf numFmtId="0" fontId="1" fillId="10" borderId="65" xfId="1" applyFill="1" applyBorder="1" applyAlignment="1">
      <alignment horizontal="center" vertical="center"/>
    </xf>
    <xf numFmtId="0" fontId="1" fillId="10" borderId="15" xfId="1" applyFill="1" applyBorder="1" applyAlignment="1">
      <alignment horizontal="center" vertical="center"/>
    </xf>
    <xf numFmtId="0" fontId="1" fillId="10" borderId="16" xfId="1" applyFill="1" applyBorder="1" applyAlignment="1">
      <alignment horizontal="center" vertical="center"/>
    </xf>
    <xf numFmtId="1" fontId="1" fillId="0" borderId="53" xfId="1" applyNumberFormat="1" applyBorder="1" applyAlignment="1">
      <alignment horizontal="center" vertical="center"/>
    </xf>
    <xf numFmtId="0" fontId="1" fillId="0" borderId="87" xfId="1" applyBorder="1"/>
    <xf numFmtId="0" fontId="1" fillId="0" borderId="88" xfId="1" applyBorder="1"/>
    <xf numFmtId="0" fontId="1" fillId="0" borderId="89" xfId="1" applyBorder="1"/>
    <xf numFmtId="1" fontId="3" fillId="0" borderId="53" xfId="2" applyNumberFormat="1" applyBorder="1" applyAlignment="1">
      <alignment horizontal="center" vertical="center"/>
    </xf>
    <xf numFmtId="1" fontId="3" fillId="0" borderId="49" xfId="2" applyNumberFormat="1" applyBorder="1" applyAlignment="1">
      <alignment horizontal="center" vertical="center"/>
    </xf>
    <xf numFmtId="1" fontId="3" fillId="0" borderId="22" xfId="2" applyNumberFormat="1" applyBorder="1" applyAlignment="1">
      <alignment horizontal="center"/>
    </xf>
    <xf numFmtId="1" fontId="3" fillId="0" borderId="23" xfId="2" applyNumberFormat="1" applyBorder="1" applyAlignment="1">
      <alignment horizontal="center"/>
    </xf>
    <xf numFmtId="1" fontId="3" fillId="0" borderId="92" xfId="2" applyNumberFormat="1" applyBorder="1" applyAlignment="1">
      <alignment horizontal="center" vertical="center"/>
    </xf>
    <xf numFmtId="1" fontId="3" fillId="0" borderId="93" xfId="2" applyNumberFormat="1" applyBorder="1" applyAlignment="1">
      <alignment horizontal="center" vertical="center"/>
    </xf>
    <xf numFmtId="1" fontId="3" fillId="0" borderId="89" xfId="2" applyNumberFormat="1" applyBorder="1" applyAlignment="1">
      <alignment horizontal="center" vertical="center"/>
    </xf>
    <xf numFmtId="0" fontId="43" fillId="6" borderId="11" xfId="2" applyFont="1" applyFill="1" applyBorder="1" applyAlignment="1">
      <alignment horizontal="center" vertical="center"/>
    </xf>
    <xf numFmtId="0" fontId="43" fillId="6" borderId="12" xfId="2" applyFont="1" applyFill="1" applyBorder="1" applyAlignment="1">
      <alignment horizontal="center" vertical="center"/>
    </xf>
    <xf numFmtId="0" fontId="43" fillId="6" borderId="13" xfId="2" applyFont="1" applyFill="1" applyBorder="1" applyAlignment="1">
      <alignment horizontal="center" vertical="center"/>
    </xf>
    <xf numFmtId="0" fontId="36" fillId="6" borderId="54" xfId="2" applyFont="1" applyFill="1" applyBorder="1" applyAlignment="1">
      <alignment horizontal="center" vertical="center"/>
    </xf>
    <xf numFmtId="0" fontId="36" fillId="6" borderId="55" xfId="2" applyFont="1" applyFill="1" applyBorder="1" applyAlignment="1">
      <alignment horizontal="center" vertical="center"/>
    </xf>
    <xf numFmtId="0" fontId="36" fillId="6" borderId="12" xfId="2" applyFont="1" applyFill="1" applyBorder="1" applyAlignment="1">
      <alignment horizontal="center" vertical="center"/>
    </xf>
    <xf numFmtId="0" fontId="36" fillId="6" borderId="13" xfId="2" applyFont="1" applyFill="1" applyBorder="1" applyAlignment="1">
      <alignment horizontal="center" vertical="center"/>
    </xf>
    <xf numFmtId="1" fontId="22" fillId="0" borderId="22" xfId="2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0" borderId="94" xfId="1" applyNumberFormat="1" applyFont="1" applyFill="1" applyBorder="1" applyAlignment="1">
      <alignment horizontal="center" vertical="center" wrapText="1"/>
    </xf>
    <xf numFmtId="0" fontId="1" fillId="0" borderId="94" xfId="1" applyNumberFormat="1" applyFont="1" applyBorder="1" applyAlignment="1">
      <alignment horizontal="center" vertical="center" wrapText="1"/>
    </xf>
    <xf numFmtId="0" fontId="1" fillId="20" borderId="94" xfId="1" applyNumberFormat="1" applyFont="1" applyFill="1" applyBorder="1" applyAlignment="1">
      <alignment horizontal="center" vertical="center"/>
    </xf>
    <xf numFmtId="0" fontId="1" fillId="0" borderId="94" xfId="1" applyNumberFormat="1" applyFont="1" applyBorder="1" applyAlignment="1">
      <alignment horizontal="center" vertical="center"/>
    </xf>
    <xf numFmtId="0" fontId="1" fillId="20" borderId="95" xfId="1" applyNumberFormat="1" applyFont="1" applyFill="1" applyBorder="1" applyAlignment="1">
      <alignment horizontal="center" vertical="center" wrapText="1"/>
    </xf>
    <xf numFmtId="0" fontId="1" fillId="20" borderId="95" xfId="1" applyNumberFormat="1" applyFont="1" applyFill="1" applyBorder="1" applyAlignment="1">
      <alignment horizontal="center" vertical="center"/>
    </xf>
    <xf numFmtId="0" fontId="1" fillId="0" borderId="96" xfId="1" applyNumberFormat="1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2" fillId="21" borderId="35" xfId="0" applyFont="1" applyFill="1" applyBorder="1" applyAlignment="1">
      <alignment horizontal="center" vertical="center"/>
    </xf>
    <xf numFmtId="0" fontId="12" fillId="21" borderId="6" xfId="0" applyFont="1" applyFill="1" applyBorder="1" applyAlignment="1">
      <alignment horizontal="center" vertical="center"/>
    </xf>
    <xf numFmtId="0" fontId="12" fillId="21" borderId="7" xfId="0" applyFont="1" applyFill="1" applyBorder="1" applyAlignment="1">
      <alignment horizontal="center" vertical="center"/>
    </xf>
    <xf numFmtId="0" fontId="0" fillId="0" borderId="49" xfId="0" applyBorder="1"/>
    <xf numFmtId="0" fontId="3" fillId="3" borderId="35" xfId="2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/>
    </xf>
    <xf numFmtId="0" fontId="5" fillId="2" borderId="56" xfId="2" applyFont="1" applyFill="1" applyBorder="1" applyAlignment="1">
      <alignment horizontal="center" vertical="center"/>
    </xf>
    <xf numFmtId="0" fontId="6" fillId="3" borderId="35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1" fillId="0" borderId="0" xfId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" fontId="3" fillId="21" borderId="15" xfId="2" applyNumberFormat="1" applyFill="1" applyBorder="1" applyAlignment="1">
      <alignment horizontal="center" vertical="center"/>
    </xf>
    <xf numFmtId="1" fontId="3" fillId="21" borderId="16" xfId="2" applyNumberFormat="1" applyFill="1" applyBorder="1" applyAlignment="1">
      <alignment horizontal="center" vertical="center"/>
    </xf>
    <xf numFmtId="9" fontId="1" fillId="0" borderId="0" xfId="1" applyNumberFormat="1" applyAlignment="1">
      <alignment horizontal="center" vertical="center"/>
    </xf>
    <xf numFmtId="0" fontId="12" fillId="22" borderId="6" xfId="0" applyFont="1" applyFill="1" applyBorder="1" applyAlignment="1">
      <alignment horizontal="center" vertical="center"/>
    </xf>
    <xf numFmtId="0" fontId="0" fillId="0" borderId="18" xfId="0" applyBorder="1"/>
    <xf numFmtId="0" fontId="0" fillId="0" borderId="53" xfId="0" applyBorder="1"/>
    <xf numFmtId="0" fontId="12" fillId="12" borderId="35" xfId="0" applyFont="1" applyFill="1" applyBorder="1"/>
    <xf numFmtId="0" fontId="12" fillId="12" borderId="6" xfId="0" applyFont="1" applyFill="1" applyBorder="1"/>
    <xf numFmtId="0" fontId="12" fillId="12" borderId="7" xfId="0" applyFont="1" applyFill="1" applyBorder="1"/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16" borderId="46" xfId="2" applyFont="1" applyFill="1" applyBorder="1" applyAlignment="1">
      <alignment horizontal="center" vertical="center"/>
    </xf>
    <xf numFmtId="0" fontId="5" fillId="16" borderId="47" xfId="2" applyFont="1" applyFill="1" applyBorder="1" applyAlignment="1">
      <alignment horizontal="center" vertical="center"/>
    </xf>
    <xf numFmtId="0" fontId="5" fillId="16" borderId="48" xfId="2" applyFont="1" applyFill="1" applyBorder="1" applyAlignment="1">
      <alignment horizontal="center" vertical="center"/>
    </xf>
    <xf numFmtId="0" fontId="19" fillId="14" borderId="37" xfId="2" applyFont="1" applyFill="1" applyBorder="1" applyAlignment="1">
      <alignment horizontal="center" vertical="center"/>
    </xf>
    <xf numFmtId="0" fontId="19" fillId="14" borderId="38" xfId="2" applyFont="1" applyFill="1" applyBorder="1" applyAlignment="1">
      <alignment horizontal="center" vertical="center"/>
    </xf>
    <xf numFmtId="0" fontId="19" fillId="14" borderId="39" xfId="2" applyFont="1" applyFill="1" applyBorder="1" applyAlignment="1">
      <alignment horizontal="center" vertical="center"/>
    </xf>
    <xf numFmtId="0" fontId="5" fillId="16" borderId="43" xfId="2" applyFont="1" applyFill="1" applyBorder="1" applyAlignment="1">
      <alignment horizontal="center" vertical="center"/>
    </xf>
    <xf numFmtId="0" fontId="5" fillId="16" borderId="44" xfId="2" applyFont="1" applyFill="1" applyBorder="1" applyAlignment="1">
      <alignment horizontal="center" vertical="center"/>
    </xf>
    <xf numFmtId="0" fontId="5" fillId="16" borderId="45" xfId="2" applyFont="1" applyFill="1" applyBorder="1" applyAlignment="1">
      <alignment horizontal="center" vertical="center"/>
    </xf>
    <xf numFmtId="0" fontId="25" fillId="14" borderId="1" xfId="2" applyFont="1" applyFill="1" applyBorder="1" applyAlignment="1">
      <alignment horizontal="center" vertical="center"/>
    </xf>
    <xf numFmtId="0" fontId="25" fillId="14" borderId="2" xfId="2" applyFont="1" applyFill="1" applyBorder="1" applyAlignment="1">
      <alignment horizontal="center" vertical="center"/>
    </xf>
    <xf numFmtId="0" fontId="25" fillId="14" borderId="3" xfId="2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4" fillId="14" borderId="1" xfId="2" applyFont="1" applyFill="1" applyBorder="1" applyAlignment="1">
      <alignment horizontal="center"/>
    </xf>
    <xf numFmtId="0" fontId="4" fillId="14" borderId="2" xfId="2" applyFont="1" applyFill="1" applyBorder="1" applyAlignment="1">
      <alignment horizontal="center"/>
    </xf>
    <xf numFmtId="0" fontId="4" fillId="14" borderId="3" xfId="2" applyFont="1" applyFill="1" applyBorder="1" applyAlignment="1">
      <alignment horizontal="center"/>
    </xf>
    <xf numFmtId="0" fontId="5" fillId="2" borderId="61" xfId="2" applyFont="1" applyFill="1" applyBorder="1" applyAlignment="1">
      <alignment horizontal="center" vertical="center"/>
    </xf>
    <xf numFmtId="0" fontId="5" fillId="2" borderId="62" xfId="2" applyFont="1" applyFill="1" applyBorder="1" applyAlignment="1">
      <alignment horizontal="center" vertical="center"/>
    </xf>
    <xf numFmtId="0" fontId="5" fillId="2" borderId="63" xfId="2" applyFont="1" applyFill="1" applyBorder="1" applyAlignment="1">
      <alignment horizontal="center" vertical="center"/>
    </xf>
    <xf numFmtId="0" fontId="5" fillId="2" borderId="58" xfId="2" applyFont="1" applyFill="1" applyBorder="1" applyAlignment="1">
      <alignment horizontal="center" vertical="center"/>
    </xf>
    <xf numFmtId="0" fontId="5" fillId="2" borderId="59" xfId="2" applyFont="1" applyFill="1" applyBorder="1" applyAlignment="1">
      <alignment horizontal="center" vertical="center"/>
    </xf>
    <xf numFmtId="0" fontId="5" fillId="2" borderId="60" xfId="2" applyFont="1" applyFill="1" applyBorder="1" applyAlignment="1">
      <alignment horizontal="center" vertical="center"/>
    </xf>
    <xf numFmtId="0" fontId="25" fillId="14" borderId="35" xfId="2" applyFont="1" applyFill="1" applyBorder="1" applyAlignment="1">
      <alignment horizontal="center" vertical="center"/>
    </xf>
    <xf numFmtId="0" fontId="25" fillId="14" borderId="6" xfId="2" applyFont="1" applyFill="1" applyBorder="1" applyAlignment="1">
      <alignment horizontal="center" vertical="center"/>
    </xf>
    <xf numFmtId="0" fontId="25" fillId="14" borderId="7" xfId="2" applyFont="1" applyFill="1" applyBorder="1" applyAlignment="1">
      <alignment horizontal="center" vertical="center"/>
    </xf>
    <xf numFmtId="0" fontId="4" fillId="14" borderId="1" xfId="2" applyFont="1" applyFill="1" applyBorder="1" applyAlignment="1">
      <alignment horizontal="center" vertical="center"/>
    </xf>
    <xf numFmtId="0" fontId="4" fillId="14" borderId="2" xfId="2" applyFont="1" applyFill="1" applyBorder="1" applyAlignment="1">
      <alignment horizontal="center" vertical="center"/>
    </xf>
    <xf numFmtId="0" fontId="4" fillId="14" borderId="3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center" vertical="center"/>
    </xf>
    <xf numFmtId="0" fontId="6" fillId="11" borderId="2" xfId="2" applyFont="1" applyFill="1" applyBorder="1" applyAlignment="1">
      <alignment horizontal="center" vertical="center"/>
    </xf>
    <xf numFmtId="0" fontId="6" fillId="11" borderId="3" xfId="2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2" fillId="3" borderId="88" xfId="0" applyFont="1" applyFill="1" applyBorder="1" applyAlignment="1">
      <alignment horizontal="center" vertical="center"/>
    </xf>
    <xf numFmtId="0" fontId="40" fillId="7" borderId="37" xfId="0" applyFont="1" applyFill="1" applyBorder="1" applyAlignment="1">
      <alignment horizontal="center" vertical="center"/>
    </xf>
    <xf numFmtId="0" fontId="40" fillId="7" borderId="38" xfId="0" applyFont="1" applyFill="1" applyBorder="1" applyAlignment="1">
      <alignment horizontal="center" vertical="center"/>
    </xf>
    <xf numFmtId="0" fontId="40" fillId="7" borderId="39" xfId="0" applyFont="1" applyFill="1" applyBorder="1" applyAlignment="1">
      <alignment horizontal="center" vertical="center"/>
    </xf>
    <xf numFmtId="0" fontId="40" fillId="7" borderId="87" xfId="0" applyFont="1" applyFill="1" applyBorder="1" applyAlignment="1">
      <alignment horizontal="center" vertical="center"/>
    </xf>
    <xf numFmtId="0" fontId="40" fillId="7" borderId="88" xfId="0" applyFont="1" applyFill="1" applyBorder="1" applyAlignment="1">
      <alignment horizontal="center" vertical="center"/>
    </xf>
    <xf numFmtId="0" fontId="40" fillId="7" borderId="89" xfId="0" applyFont="1" applyFill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90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9" fillId="4" borderId="12" xfId="2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horizontal="center" vertical="center"/>
    </xf>
    <xf numFmtId="0" fontId="15" fillId="6" borderId="1" xfId="2" applyFont="1" applyFill="1" applyBorder="1" applyAlignment="1">
      <alignment horizontal="center" vertical="center"/>
    </xf>
    <xf numFmtId="0" fontId="15" fillId="6" borderId="3" xfId="2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4" borderId="11" xfId="2" applyFont="1" applyFill="1" applyBorder="1" applyAlignment="1">
      <alignment horizontal="center" vertical="center"/>
    </xf>
    <xf numFmtId="0" fontId="10" fillId="4" borderId="12" xfId="2" applyFont="1" applyFill="1" applyBorder="1" applyAlignment="1">
      <alignment horizontal="center" vertical="center"/>
    </xf>
    <xf numFmtId="0" fontId="10" fillId="4" borderId="13" xfId="2" applyFont="1" applyFill="1" applyBorder="1" applyAlignment="1">
      <alignment horizontal="center" vertical="center"/>
    </xf>
    <xf numFmtId="0" fontId="6" fillId="6" borderId="11" xfId="2" applyFont="1" applyFill="1" applyBorder="1" applyAlignment="1">
      <alignment horizontal="center" vertical="center"/>
    </xf>
    <xf numFmtId="0" fontId="6" fillId="6" borderId="12" xfId="2" applyFont="1" applyFill="1" applyBorder="1" applyAlignment="1">
      <alignment horizontal="center" vertical="center"/>
    </xf>
    <xf numFmtId="0" fontId="6" fillId="6" borderId="13" xfId="2" applyFont="1" applyFill="1" applyBorder="1" applyAlignment="1">
      <alignment horizontal="center" vertical="center"/>
    </xf>
    <xf numFmtId="0" fontId="1" fillId="0" borderId="41" xfId="1" applyBorder="1" applyAlignment="1">
      <alignment horizontal="center" vertical="center" textRotation="135"/>
    </xf>
    <xf numFmtId="0" fontId="14" fillId="0" borderId="0" xfId="1" applyFont="1" applyAlignment="1">
      <alignment horizontal="center"/>
    </xf>
    <xf numFmtId="0" fontId="19" fillId="6" borderId="11" xfId="2" applyFont="1" applyFill="1" applyBorder="1" applyAlignment="1">
      <alignment horizontal="center" vertical="center"/>
    </xf>
    <xf numFmtId="0" fontId="19" fillId="6" borderId="12" xfId="2" applyFont="1" applyFill="1" applyBorder="1" applyAlignment="1">
      <alignment horizontal="center" vertical="center"/>
    </xf>
    <xf numFmtId="0" fontId="19" fillId="6" borderId="13" xfId="2" applyFont="1" applyFill="1" applyBorder="1" applyAlignment="1">
      <alignment horizontal="center" vertical="center"/>
    </xf>
    <xf numFmtId="0" fontId="1" fillId="0" borderId="16" xfId="1" applyBorder="1" applyAlignment="1">
      <alignment horizontal="center" vertical="center" textRotation="135"/>
    </xf>
    <xf numFmtId="0" fontId="29" fillId="6" borderId="11" xfId="2" applyFont="1" applyFill="1" applyBorder="1" applyAlignment="1">
      <alignment horizontal="center" vertical="center"/>
    </xf>
    <xf numFmtId="0" fontId="29" fillId="6" borderId="12" xfId="2" applyFont="1" applyFill="1" applyBorder="1" applyAlignment="1">
      <alignment horizontal="center" vertical="center"/>
    </xf>
    <xf numFmtId="0" fontId="29" fillId="6" borderId="13" xfId="2" applyFont="1" applyFill="1" applyBorder="1" applyAlignment="1">
      <alignment horizontal="center" vertical="center"/>
    </xf>
    <xf numFmtId="0" fontId="32" fillId="4" borderId="11" xfId="2" applyFont="1" applyFill="1" applyBorder="1" applyAlignment="1">
      <alignment horizontal="center" vertical="center"/>
    </xf>
    <xf numFmtId="0" fontId="32" fillId="4" borderId="12" xfId="2" applyFont="1" applyFill="1" applyBorder="1" applyAlignment="1">
      <alignment horizontal="center" vertical="center"/>
    </xf>
    <xf numFmtId="0" fontId="32" fillId="4" borderId="13" xfId="2" applyFont="1" applyFill="1" applyBorder="1" applyAlignment="1">
      <alignment horizontal="center" vertical="center"/>
    </xf>
    <xf numFmtId="0" fontId="5" fillId="6" borderId="5" xfId="2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/>
    </xf>
    <xf numFmtId="0" fontId="5" fillId="6" borderId="7" xfId="2" applyFont="1" applyFill="1" applyBorder="1" applyAlignment="1">
      <alignment horizontal="center" vertical="center"/>
    </xf>
    <xf numFmtId="0" fontId="5" fillId="6" borderId="67" xfId="2" applyFont="1" applyFill="1" applyBorder="1" applyAlignment="1">
      <alignment horizontal="center" vertical="center"/>
    </xf>
    <xf numFmtId="0" fontId="5" fillId="6" borderId="53" xfId="2" applyFont="1" applyFill="1" applyBorder="1" applyAlignment="1">
      <alignment horizontal="center" vertical="center"/>
    </xf>
    <xf numFmtId="0" fontId="5" fillId="6" borderId="49" xfId="2" applyFont="1" applyFill="1" applyBorder="1" applyAlignment="1">
      <alignment horizontal="center" vertical="center"/>
    </xf>
    <xf numFmtId="0" fontId="10" fillId="4" borderId="24" xfId="2" applyFont="1" applyFill="1" applyBorder="1" applyAlignment="1">
      <alignment horizontal="center" vertical="center"/>
    </xf>
    <xf numFmtId="0" fontId="10" fillId="4" borderId="69" xfId="2" applyFont="1" applyFill="1" applyBorder="1" applyAlignment="1">
      <alignment horizontal="center" vertical="center"/>
    </xf>
    <xf numFmtId="0" fontId="10" fillId="4" borderId="70" xfId="2" applyFont="1" applyFill="1" applyBorder="1" applyAlignment="1">
      <alignment horizontal="center" vertical="center"/>
    </xf>
    <xf numFmtId="0" fontId="25" fillId="6" borderId="11" xfId="2" applyFont="1" applyFill="1" applyBorder="1" applyAlignment="1">
      <alignment horizontal="center" vertical="center"/>
    </xf>
    <xf numFmtId="0" fontId="25" fillId="6" borderId="12" xfId="2" applyFont="1" applyFill="1" applyBorder="1" applyAlignment="1">
      <alignment horizontal="center" vertical="center"/>
    </xf>
    <xf numFmtId="0" fontId="25" fillId="6" borderId="13" xfId="2" applyFont="1" applyFill="1" applyBorder="1" applyAlignment="1">
      <alignment horizontal="center" vertical="center"/>
    </xf>
    <xf numFmtId="0" fontId="32" fillId="4" borderId="24" xfId="2" applyFont="1" applyFill="1" applyBorder="1" applyAlignment="1">
      <alignment horizontal="center" vertical="center"/>
    </xf>
    <xf numFmtId="0" fontId="32" fillId="4" borderId="69" xfId="2" applyFont="1" applyFill="1" applyBorder="1" applyAlignment="1">
      <alignment horizontal="center" vertical="center"/>
    </xf>
    <xf numFmtId="0" fontId="32" fillId="4" borderId="70" xfId="2" applyFont="1" applyFill="1" applyBorder="1" applyAlignment="1">
      <alignment horizontal="center" vertical="center"/>
    </xf>
    <xf numFmtId="0" fontId="35" fillId="6" borderId="1" xfId="2" applyFont="1" applyFill="1" applyBorder="1" applyAlignment="1">
      <alignment horizontal="center" vertical="center"/>
    </xf>
    <xf numFmtId="0" fontId="35" fillId="6" borderId="2" xfId="2" applyFont="1" applyFill="1" applyBorder="1" applyAlignment="1">
      <alignment horizontal="center" vertical="center"/>
    </xf>
    <xf numFmtId="0" fontId="35" fillId="6" borderId="3" xfId="2" applyFont="1" applyFill="1" applyBorder="1" applyAlignment="1">
      <alignment horizontal="center" vertical="center"/>
    </xf>
    <xf numFmtId="0" fontId="4" fillId="6" borderId="35" xfId="2" applyFont="1" applyFill="1" applyBorder="1" applyAlignment="1">
      <alignment horizontal="center" vertical="center"/>
    </xf>
    <xf numFmtId="0" fontId="4" fillId="6" borderId="6" xfId="2" applyFont="1" applyFill="1" applyBorder="1" applyAlignment="1">
      <alignment horizontal="center" vertical="center"/>
    </xf>
    <xf numFmtId="0" fontId="4" fillId="6" borderId="7" xfId="2" applyFont="1" applyFill="1" applyBorder="1" applyAlignment="1">
      <alignment horizontal="center" vertical="center"/>
    </xf>
    <xf numFmtId="0" fontId="4" fillId="6" borderId="1" xfId="2" applyFont="1" applyFill="1" applyBorder="1" applyAlignment="1">
      <alignment horizontal="center" vertical="center"/>
    </xf>
    <xf numFmtId="0" fontId="4" fillId="6" borderId="2" xfId="2" applyFont="1" applyFill="1" applyBorder="1" applyAlignment="1">
      <alignment horizontal="center" vertical="center"/>
    </xf>
    <xf numFmtId="0" fontId="3" fillId="10" borderId="38" xfId="2" applyFill="1" applyBorder="1" applyAlignment="1">
      <alignment horizontal="center" vertical="center"/>
    </xf>
    <xf numFmtId="0" fontId="3" fillId="10" borderId="39" xfId="2" applyFill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10" borderId="4" xfId="1" applyFont="1" applyFill="1" applyBorder="1" applyAlignment="1">
      <alignment horizontal="center" vertical="center"/>
    </xf>
    <xf numFmtId="0" fontId="13" fillId="10" borderId="8" xfId="1" applyFont="1" applyFill="1" applyBorder="1" applyAlignment="1">
      <alignment horizontal="center" vertical="center"/>
    </xf>
    <xf numFmtId="0" fontId="40" fillId="10" borderId="35" xfId="1" applyFont="1" applyFill="1" applyBorder="1" applyAlignment="1">
      <alignment horizontal="center" vertical="center"/>
    </xf>
    <xf numFmtId="0" fontId="40" fillId="10" borderId="6" xfId="1" applyFont="1" applyFill="1" applyBorder="1" applyAlignment="1">
      <alignment horizontal="center" vertical="center"/>
    </xf>
    <xf numFmtId="0" fontId="40" fillId="10" borderId="7" xfId="1" applyFont="1" applyFill="1" applyBorder="1" applyAlignment="1">
      <alignment horizontal="center" vertical="center"/>
    </xf>
    <xf numFmtId="0" fontId="40" fillId="10" borderId="18" xfId="1" applyFont="1" applyFill="1" applyBorder="1" applyAlignment="1">
      <alignment horizontal="center" vertical="center"/>
    </xf>
    <xf numFmtId="0" fontId="40" fillId="10" borderId="53" xfId="1" applyFont="1" applyFill="1" applyBorder="1" applyAlignment="1">
      <alignment horizontal="center" vertical="center"/>
    </xf>
    <xf numFmtId="0" fontId="40" fillId="10" borderId="49" xfId="1" applyFont="1" applyFill="1" applyBorder="1" applyAlignment="1">
      <alignment horizontal="center" vertical="center"/>
    </xf>
    <xf numFmtId="0" fontId="42" fillId="10" borderId="11" xfId="1" applyFont="1" applyFill="1" applyBorder="1" applyAlignment="1">
      <alignment horizontal="center" vertical="center"/>
    </xf>
    <xf numFmtId="0" fontId="42" fillId="10" borderId="12" xfId="1" applyFont="1" applyFill="1" applyBorder="1" applyAlignment="1">
      <alignment horizontal="center" vertical="center"/>
    </xf>
    <xf numFmtId="0" fontId="42" fillId="10" borderId="13" xfId="1" applyFont="1" applyFill="1" applyBorder="1" applyAlignment="1">
      <alignment horizontal="center" vertical="center"/>
    </xf>
  </cellXfs>
  <cellStyles count="3">
    <cellStyle name="Excel Built-in Normal" xfId="2" xr:uid="{7683A8AC-3057-4E12-A721-2D54981D395C}"/>
    <cellStyle name="Normal" xfId="0" builtinId="0"/>
    <cellStyle name="Normal 2" xfId="1" xr:uid="{F4098A1A-30FF-4B9F-A407-07D272F88365}"/>
  </cellStyles>
  <dxfs count="82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alignment horizontal="center"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562027</xdr:colOff>
      <xdr:row>0</xdr:row>
      <xdr:rowOff>66676</xdr:rowOff>
    </xdr:from>
    <xdr:to>
      <xdr:col>2</xdr:col>
      <xdr:colOff>744141</xdr:colOff>
      <xdr:row>1</xdr:row>
      <xdr:rowOff>158137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09113E-9898-4678-A2EF-0E9965C6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027" y="66676"/>
          <a:ext cx="944114" cy="2724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57150</xdr:rowOff>
    </xdr:from>
    <xdr:to>
      <xdr:col>4</xdr:col>
      <xdr:colOff>801291</xdr:colOff>
      <xdr:row>4</xdr:row>
      <xdr:rowOff>143849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3FC917-29AE-4520-9FDB-FE8774E4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57150"/>
          <a:ext cx="2611041" cy="753449"/>
        </a:xfrm>
        <a:prstGeom prst="rect">
          <a:avLst/>
        </a:prstGeom>
      </xdr:spPr>
    </xdr:pic>
    <xdr:clientData/>
  </xdr:twoCellAnchor>
  <xdr:twoCellAnchor editAs="oneCell">
    <xdr:from>
      <xdr:col>4</xdr:col>
      <xdr:colOff>359989</xdr:colOff>
      <xdr:row>4</xdr:row>
      <xdr:rowOff>125926</xdr:rowOff>
    </xdr:from>
    <xdr:to>
      <xdr:col>4</xdr:col>
      <xdr:colOff>636213</xdr:colOff>
      <xdr:row>6</xdr:row>
      <xdr:rowOff>52105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53645C14-6E0C-405D-9C37-102ACD0C3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9989" y="792676"/>
          <a:ext cx="276224" cy="2952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57150</xdr:rowOff>
    </xdr:from>
    <xdr:to>
      <xdr:col>4</xdr:col>
      <xdr:colOff>326162</xdr:colOff>
      <xdr:row>4</xdr:row>
      <xdr:rowOff>123678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CB773D-ECF6-46A9-8794-9C2D0783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150"/>
          <a:ext cx="2545487" cy="714228"/>
        </a:xfrm>
        <a:prstGeom prst="rect">
          <a:avLst/>
        </a:prstGeom>
      </xdr:spPr>
    </xdr:pic>
    <xdr:clientData/>
  </xdr:twoCellAnchor>
  <xdr:twoCellAnchor editAs="oneCell">
    <xdr:from>
      <xdr:col>3</xdr:col>
      <xdr:colOff>942311</xdr:colOff>
      <xdr:row>4</xdr:row>
      <xdr:rowOff>90207</xdr:rowOff>
    </xdr:from>
    <xdr:to>
      <xdr:col>3</xdr:col>
      <xdr:colOff>1218535</xdr:colOff>
      <xdr:row>6</xdr:row>
      <xdr:rowOff>52106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3CD572E8-132A-47A1-A599-DD7655C3F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311" y="748298"/>
          <a:ext cx="276224" cy="2909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95250</xdr:rowOff>
    </xdr:from>
    <xdr:to>
      <xdr:col>6</xdr:col>
      <xdr:colOff>86916</xdr:colOff>
      <xdr:row>6</xdr:row>
      <xdr:rowOff>20024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01BBF6-D042-42E7-90B5-A602C3EDD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1263" y="257175"/>
          <a:ext cx="2625328" cy="734399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276225</xdr:colOff>
      <xdr:row>6</xdr:row>
      <xdr:rowOff>95250</xdr:rowOff>
    </xdr:from>
    <xdr:to>
      <xdr:col>5</xdr:col>
      <xdr:colOff>552449</xdr:colOff>
      <xdr:row>8</xdr:row>
      <xdr:rowOff>57149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EFFD4385-721F-445F-BDCB-77F930B3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1513" y="1066800"/>
          <a:ext cx="276224" cy="290512"/>
        </a:xfrm>
        <a:prstGeom prst="rect">
          <a:avLst/>
        </a:prstGeom>
      </xdr:spPr>
    </xdr:pic>
    <xdr:clientData/>
  </xdr:twoCellAnchor>
  <xdr:twoCellAnchor editAs="oneCell">
    <xdr:from>
      <xdr:col>3</xdr:col>
      <xdr:colOff>510268</xdr:colOff>
      <xdr:row>82</xdr:row>
      <xdr:rowOff>61232</xdr:rowOff>
    </xdr:from>
    <xdr:to>
      <xdr:col>5</xdr:col>
      <xdr:colOff>588817</xdr:colOff>
      <xdr:row>91</xdr:row>
      <xdr:rowOff>61552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4D45F24-ABEA-4704-92B2-B03CDFEC9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132" y="13656005"/>
          <a:ext cx="1836345" cy="14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0</xdr:row>
      <xdr:rowOff>76200</xdr:rowOff>
    </xdr:from>
    <xdr:to>
      <xdr:col>6</xdr:col>
      <xdr:colOff>163116</xdr:colOff>
      <xdr:row>4</xdr:row>
      <xdr:rowOff>143849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B2E88C-D3D7-4216-B654-700C26D3D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76200"/>
          <a:ext cx="2525316" cy="729637"/>
        </a:xfrm>
        <a:prstGeom prst="rect">
          <a:avLst/>
        </a:prstGeom>
      </xdr:spPr>
    </xdr:pic>
    <xdr:clientData/>
  </xdr:twoCellAnchor>
  <xdr:twoCellAnchor editAs="oneCell">
    <xdr:from>
      <xdr:col>5</xdr:col>
      <xdr:colOff>597693</xdr:colOff>
      <xdr:row>4</xdr:row>
      <xdr:rowOff>140494</xdr:rowOff>
    </xdr:from>
    <xdr:to>
      <xdr:col>6</xdr:col>
      <xdr:colOff>111917</xdr:colOff>
      <xdr:row>6</xdr:row>
      <xdr:rowOff>83343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947193D5-F51D-402F-B83E-319F5825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4006" y="819152"/>
          <a:ext cx="276224" cy="2881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7</xdr:col>
      <xdr:colOff>161585</xdr:colOff>
      <xdr:row>74</xdr:row>
      <xdr:rowOff>154827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DFA912-6C0C-4193-87A9-BC84B3AB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488" y="5859577"/>
          <a:ext cx="4898570" cy="7426143"/>
        </a:xfrm>
        <a:prstGeom prst="rect">
          <a:avLst/>
        </a:prstGeom>
      </xdr:spPr>
    </xdr:pic>
    <xdr:clientData/>
  </xdr:twoCellAnchor>
  <xdr:twoCellAnchor editAs="oneCell">
    <xdr:from>
      <xdr:col>2</xdr:col>
      <xdr:colOff>1020535</xdr:colOff>
      <xdr:row>65</xdr:row>
      <xdr:rowOff>42523</xdr:rowOff>
    </xdr:from>
    <xdr:to>
      <xdr:col>6</xdr:col>
      <xdr:colOff>102052</xdr:colOff>
      <xdr:row>74</xdr:row>
      <xdr:rowOff>151250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8D439CB-47F7-4338-A891-9A67EE4DD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0023" y="11719153"/>
          <a:ext cx="2755445" cy="15629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57150</xdr:rowOff>
    </xdr:from>
    <xdr:to>
      <xdr:col>5</xdr:col>
      <xdr:colOff>58341</xdr:colOff>
      <xdr:row>4</xdr:row>
      <xdr:rowOff>143849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89B77E-7DEE-47F5-B6E0-49B4E889E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463" y="57150"/>
          <a:ext cx="2692003" cy="734399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4</xdr:row>
      <xdr:rowOff>104775</xdr:rowOff>
    </xdr:from>
    <xdr:to>
      <xdr:col>4</xdr:col>
      <xdr:colOff>390524</xdr:colOff>
      <xdr:row>6</xdr:row>
      <xdr:rowOff>66674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4E72E408-A3AF-40D5-846D-5370DB871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752475"/>
          <a:ext cx="276224" cy="2905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0</xdr:row>
      <xdr:rowOff>38100</xdr:rowOff>
    </xdr:from>
    <xdr:to>
      <xdr:col>6</xdr:col>
      <xdr:colOff>401241</xdr:colOff>
      <xdr:row>4</xdr:row>
      <xdr:rowOff>124799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3329AE-3806-45B8-B3D0-922516459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1763" y="38100"/>
          <a:ext cx="2615803" cy="734399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685800</xdr:colOff>
      <xdr:row>4</xdr:row>
      <xdr:rowOff>95250</xdr:rowOff>
    </xdr:from>
    <xdr:to>
      <xdr:col>6</xdr:col>
      <xdr:colOff>200024</xdr:colOff>
      <xdr:row>6</xdr:row>
      <xdr:rowOff>57149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7C45F6B6-C9E9-49DB-A31C-B4DFCC842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7738" y="742950"/>
          <a:ext cx="328611" cy="2905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0</xdr:row>
      <xdr:rowOff>28575</xdr:rowOff>
    </xdr:from>
    <xdr:to>
      <xdr:col>6</xdr:col>
      <xdr:colOff>544116</xdr:colOff>
      <xdr:row>4</xdr:row>
      <xdr:rowOff>115274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24CF80-18E5-4D09-A8BB-8EDB0400D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688" y="28575"/>
          <a:ext cx="2620566" cy="7343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4</xdr:row>
      <xdr:rowOff>95250</xdr:rowOff>
    </xdr:from>
    <xdr:to>
      <xdr:col>6</xdr:col>
      <xdr:colOff>257174</xdr:colOff>
      <xdr:row>6</xdr:row>
      <xdr:rowOff>57149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F8A0FE30-70A4-4524-AA6E-46EF8B9A4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3938" y="742950"/>
          <a:ext cx="333374" cy="290512"/>
        </a:xfrm>
        <a:prstGeom prst="rect">
          <a:avLst/>
        </a:prstGeom>
      </xdr:spPr>
    </xdr:pic>
    <xdr:clientData/>
  </xdr:twoCellAnchor>
  <xdr:twoCellAnchor editAs="oneCell">
    <xdr:from>
      <xdr:col>3</xdr:col>
      <xdr:colOff>502227</xdr:colOff>
      <xdr:row>80</xdr:row>
      <xdr:rowOff>8659</xdr:rowOff>
    </xdr:from>
    <xdr:to>
      <xdr:col>5</xdr:col>
      <xdr:colOff>833746</xdr:colOff>
      <xdr:row>89</xdr:row>
      <xdr:rowOff>93621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BEA5BB-2FBC-43C6-8B7E-FB75E7ACB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091" y="14486659"/>
          <a:ext cx="1959428" cy="15656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4</xdr:row>
      <xdr:rowOff>123825</xdr:rowOff>
    </xdr:from>
    <xdr:to>
      <xdr:col>6</xdr:col>
      <xdr:colOff>19049</xdr:colOff>
      <xdr:row>6</xdr:row>
      <xdr:rowOff>85724</xdr:rowOff>
    </xdr:to>
    <xdr:pic>
      <xdr:nvPicPr>
        <xdr:cNvPr id="2" name="8 Imagen">
          <a:extLst>
            <a:ext uri="{FF2B5EF4-FFF2-40B4-BE49-F238E27FC236}">
              <a16:creationId xmlns:a16="http://schemas.microsoft.com/office/drawing/2014/main" id="{F2B8FDB4-925E-4B14-979D-7CDB5004B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7338" y="771525"/>
          <a:ext cx="276224" cy="290512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0</xdr:row>
      <xdr:rowOff>47625</xdr:rowOff>
    </xdr:from>
    <xdr:to>
      <xdr:col>6</xdr:col>
      <xdr:colOff>267891</xdr:colOff>
      <xdr:row>4</xdr:row>
      <xdr:rowOff>134324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AFF758-329C-4120-A7CF-D7085F79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5" y="47625"/>
          <a:ext cx="2530079" cy="734399"/>
        </a:xfrm>
        <a:prstGeom prst="rect">
          <a:avLst/>
        </a:prstGeom>
      </xdr:spPr>
    </xdr:pic>
    <xdr:clientData/>
  </xdr:twoCellAnchor>
  <xdr:twoCellAnchor editAs="oneCell">
    <xdr:from>
      <xdr:col>1</xdr:col>
      <xdr:colOff>736024</xdr:colOff>
      <xdr:row>33</xdr:row>
      <xdr:rowOff>95250</xdr:rowOff>
    </xdr:from>
    <xdr:to>
      <xdr:col>6</xdr:col>
      <xdr:colOff>776843</xdr:colOff>
      <xdr:row>78</xdr:row>
      <xdr:rowOff>117871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A685D49-23CE-4985-8F9E-19E2E420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024" y="6771410"/>
          <a:ext cx="4898570" cy="7426143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519545</xdr:colOff>
      <xdr:row>68</xdr:row>
      <xdr:rowOff>112569</xdr:rowOff>
    </xdr:from>
    <xdr:to>
      <xdr:col>5</xdr:col>
      <xdr:colOff>452126</xdr:colOff>
      <xdr:row>78</xdr:row>
      <xdr:rowOff>30332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5B521F-B05F-4942-BA2C-D46D01418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4432" y="12547024"/>
          <a:ext cx="2755445" cy="15629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4</xdr:row>
      <xdr:rowOff>85725</xdr:rowOff>
    </xdr:from>
    <xdr:to>
      <xdr:col>4</xdr:col>
      <xdr:colOff>190499</xdr:colOff>
      <xdr:row>6</xdr:row>
      <xdr:rowOff>47624</xdr:rowOff>
    </xdr:to>
    <xdr:pic>
      <xdr:nvPicPr>
        <xdr:cNvPr id="2" name="8 Imagen">
          <a:extLst>
            <a:ext uri="{FF2B5EF4-FFF2-40B4-BE49-F238E27FC236}">
              <a16:creationId xmlns:a16="http://schemas.microsoft.com/office/drawing/2014/main" id="{6F8AAAA9-8FAE-4672-936D-84C6F0CBF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733425"/>
          <a:ext cx="276224" cy="290512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0</xdr:row>
      <xdr:rowOff>9525</xdr:rowOff>
    </xdr:from>
    <xdr:to>
      <xdr:col>4</xdr:col>
      <xdr:colOff>534591</xdr:colOff>
      <xdr:row>4</xdr:row>
      <xdr:rowOff>96224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CFBBBA-7A03-417E-A298-90D6A669E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9525"/>
          <a:ext cx="2458641" cy="7343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369094</xdr:colOff>
      <xdr:row>0</xdr:row>
      <xdr:rowOff>9525</xdr:rowOff>
    </xdr:from>
    <xdr:to>
      <xdr:col>4</xdr:col>
      <xdr:colOff>513160</xdr:colOff>
      <xdr:row>4</xdr:row>
      <xdr:rowOff>96224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6CE5CD-465A-4FEF-9DB9-CFB06182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094" y="9525"/>
          <a:ext cx="2513411" cy="753449"/>
        </a:xfrm>
        <a:prstGeom prst="rect">
          <a:avLst/>
        </a:prstGeom>
      </xdr:spPr>
    </xdr:pic>
    <xdr:clientData/>
  </xdr:twoCellAnchor>
  <xdr:twoCellAnchor editAs="oneCell">
    <xdr:from>
      <xdr:col>4</xdr:col>
      <xdr:colOff>109538</xdr:colOff>
      <xdr:row>4</xdr:row>
      <xdr:rowOff>95250</xdr:rowOff>
    </xdr:from>
    <xdr:to>
      <xdr:col>4</xdr:col>
      <xdr:colOff>385762</xdr:colOff>
      <xdr:row>6</xdr:row>
      <xdr:rowOff>57149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24A063FE-FAC0-45BC-A109-360FFA7C9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0883" y="762000"/>
          <a:ext cx="276224" cy="2952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0</xdr:row>
      <xdr:rowOff>28575</xdr:rowOff>
    </xdr:from>
    <xdr:to>
      <xdr:col>4</xdr:col>
      <xdr:colOff>315516</xdr:colOff>
      <xdr:row>4</xdr:row>
      <xdr:rowOff>115274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B457E4-3E2D-4567-A054-02EFDA146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28575"/>
          <a:ext cx="2596754" cy="734399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4</xdr:row>
      <xdr:rowOff>133350</xdr:rowOff>
    </xdr:from>
    <xdr:to>
      <xdr:col>3</xdr:col>
      <xdr:colOff>733424</xdr:colOff>
      <xdr:row>6</xdr:row>
      <xdr:rowOff>95249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EF6CAE22-8FE5-41D7-A92A-10CA42F85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8513" y="781050"/>
          <a:ext cx="276224" cy="290512"/>
        </a:xfrm>
        <a:prstGeom prst="rect">
          <a:avLst/>
        </a:prstGeom>
      </xdr:spPr>
    </xdr:pic>
    <xdr:clientData/>
  </xdr:twoCellAnchor>
  <xdr:twoCellAnchor editAs="oneCell">
    <xdr:from>
      <xdr:col>1</xdr:col>
      <xdr:colOff>493569</xdr:colOff>
      <xdr:row>17</xdr:row>
      <xdr:rowOff>69273</xdr:rowOff>
    </xdr:from>
    <xdr:to>
      <xdr:col>3</xdr:col>
      <xdr:colOff>752260</xdr:colOff>
      <xdr:row>29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C15633F-7DBB-4A0E-B590-1FFA6B095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569" y="3377046"/>
          <a:ext cx="2380169" cy="1904999"/>
        </a:xfrm>
        <a:prstGeom prst="rect">
          <a:avLst/>
        </a:prstGeom>
      </xdr:spPr>
    </xdr:pic>
    <xdr:clientData/>
  </xdr:twoCellAnchor>
  <xdr:twoCellAnchor editAs="oneCell">
    <xdr:from>
      <xdr:col>2</xdr:col>
      <xdr:colOff>488344</xdr:colOff>
      <xdr:row>24</xdr:row>
      <xdr:rowOff>17316</xdr:rowOff>
    </xdr:from>
    <xdr:to>
      <xdr:col>3</xdr:col>
      <xdr:colOff>564696</xdr:colOff>
      <xdr:row>27</xdr:row>
      <xdr:rowOff>151558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7A924FF-F3BD-4E43-B4AE-5D384ED3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1389" y="4476749"/>
          <a:ext cx="1106785" cy="6278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2181225</xdr:colOff>
      <xdr:row>0</xdr:row>
      <xdr:rowOff>114300</xdr:rowOff>
    </xdr:from>
    <xdr:to>
      <xdr:col>2</xdr:col>
      <xdr:colOff>67866</xdr:colOff>
      <xdr:row>5</xdr:row>
      <xdr:rowOff>39074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74F84D-7091-480A-9059-279F963A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3225" y="114300"/>
          <a:ext cx="2787254" cy="734399"/>
        </a:xfrm>
        <a:prstGeom prst="rect">
          <a:avLst/>
        </a:prstGeom>
      </xdr:spPr>
    </xdr:pic>
    <xdr:clientData/>
  </xdr:twoCellAnchor>
  <xdr:twoCellAnchor editAs="oneCell">
    <xdr:from>
      <xdr:col>1</xdr:col>
      <xdr:colOff>4526757</xdr:colOff>
      <xdr:row>5</xdr:row>
      <xdr:rowOff>95251</xdr:rowOff>
    </xdr:from>
    <xdr:to>
      <xdr:col>1</xdr:col>
      <xdr:colOff>4802981</xdr:colOff>
      <xdr:row>7</xdr:row>
      <xdr:rowOff>57150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82E94551-60A5-418B-947C-4B1E0935B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757" y="928689"/>
          <a:ext cx="276224" cy="2952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0</xdr:rowOff>
    </xdr:from>
    <xdr:to>
      <xdr:col>5</xdr:col>
      <xdr:colOff>77391</xdr:colOff>
      <xdr:row>3</xdr:row>
      <xdr:rowOff>162899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1B7982-A296-48C4-B636-FD9A8C65D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4638" y="0"/>
          <a:ext cx="2663428" cy="705824"/>
        </a:xfrm>
        <a:prstGeom prst="rect">
          <a:avLst/>
        </a:prstGeom>
      </xdr:spPr>
    </xdr:pic>
    <xdr:clientData/>
  </xdr:twoCellAnchor>
  <xdr:twoCellAnchor editAs="oneCell">
    <xdr:from>
      <xdr:col>4</xdr:col>
      <xdr:colOff>624417</xdr:colOff>
      <xdr:row>3</xdr:row>
      <xdr:rowOff>148166</xdr:rowOff>
    </xdr:from>
    <xdr:to>
      <xdr:col>4</xdr:col>
      <xdr:colOff>900641</xdr:colOff>
      <xdr:row>5</xdr:row>
      <xdr:rowOff>52915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E54C06B0-F2D0-4F3B-A808-1015F382F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7792" y="691091"/>
          <a:ext cx="276224" cy="2666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5</xdr:row>
      <xdr:rowOff>104775</xdr:rowOff>
    </xdr:from>
    <xdr:to>
      <xdr:col>4</xdr:col>
      <xdr:colOff>742949</xdr:colOff>
      <xdr:row>7</xdr:row>
      <xdr:rowOff>66674</xdr:rowOff>
    </xdr:to>
    <xdr:pic>
      <xdr:nvPicPr>
        <xdr:cNvPr id="2" name="8 Imagen">
          <a:extLst>
            <a:ext uri="{FF2B5EF4-FFF2-40B4-BE49-F238E27FC236}">
              <a16:creationId xmlns:a16="http://schemas.microsoft.com/office/drawing/2014/main" id="{DEA9B0DC-F4E7-4278-9E0D-0277F23A8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0038" y="914400"/>
          <a:ext cx="276224" cy="295274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133350</xdr:rowOff>
    </xdr:from>
    <xdr:to>
      <xdr:col>5</xdr:col>
      <xdr:colOff>267891</xdr:colOff>
      <xdr:row>5</xdr:row>
      <xdr:rowOff>58124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59AB8B-0A27-4771-91D6-C7482864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33350"/>
          <a:ext cx="2549129" cy="7343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1BC0D-9CC9-4C52-BBD7-12E089B78A3F}" name="COLORES" displayName="COLORES" ref="A9:B13" totalsRowShown="0" headerRowDxfId="81" dataDxfId="80">
  <autoFilter ref="A9:B13" xr:uid="{5AA1BC0D-9CC9-4C52-BBD7-12E089B78A3F}"/>
  <tableColumns count="2">
    <tableColumn id="1" xr3:uid="{84CA7F61-E41D-44EC-985A-B945997E14DA}" name="COLOR" dataDxfId="79"/>
    <tableColumn id="2" xr3:uid="{97387C2C-469E-44CD-8199-6F1B5F118D24}" name="%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FCCED-57DE-4C81-9BAA-A5B5E95217FC}" name="DESC_PROV" displayName="DESC_PROV" ref="A18:C24" totalsRowShown="0" headerRowDxfId="77" dataDxfId="76">
  <autoFilter ref="A18:C24" xr:uid="{0B5FCCED-57DE-4C81-9BAA-A5B5E95217FC}"/>
  <tableColumns count="3">
    <tableColumn id="1" xr3:uid="{545FD3B9-840E-4E1A-9F2F-AF26748D6977}" name="LINEA" dataDxfId="75"/>
    <tableColumn id="2" xr3:uid="{FCA70A8C-0723-422C-BD20-C551144815D5}" name="LISTA" dataDxfId="74"/>
    <tableColumn id="3" xr3:uid="{C679FA40-AB16-4BD6-9117-EFA03212C677}" name="DESCUENTO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3EEDE-E78A-471A-97C2-E91B836F196C}" name="LISTAS" displayName="LISTAS" ref="A1:G6" totalsRowShown="0" headerRowDxfId="72" dataDxfId="70" headerRowBorderDxfId="71" tableBorderDxfId="69" totalsRowBorderDxfId="68" headerRowCellStyle="Normal 2">
  <autoFilter ref="A1:G6" xr:uid="{A3A3EEDE-E78A-471A-97C2-E91B836F196C}"/>
  <tableColumns count="7">
    <tableColumn id="1" xr3:uid="{90BCAFBE-E37F-4717-96C5-8556C6BC83C7}" name="Lista" dataDxfId="67"/>
    <tableColumn id="2" xr3:uid="{6AA4D439-7FAF-472D-BAFA-FABE98464D6B}" name="Flete" dataDxfId="66"/>
    <tableColumn id="3" xr3:uid="{42781578-9C41-4EFA-8F44-00841BC918DE}" name="Ganancia" dataDxfId="65"/>
    <tableColumn id="4" xr3:uid="{E2A5C9DE-1D80-42E2-8DBB-61BD6D5775A7}" name="Mosq" dataDxfId="64"/>
    <tableColumn id="5" xr3:uid="{CC0ADCAD-35ED-4966-B9C6-982E263F075A}" name="Repartido" dataDxfId="63"/>
    <tableColumn id="6" xr3:uid="{57CE0121-B7C3-4220-9FCB-1BB521FB85B1}" name="Cobra" dataDxfId="62" dataCellStyle="Normal 2"/>
    <tableColumn id="7" xr3:uid="{41AF6B0F-E3C3-47A3-87FA-EAB5E34CDE44}" name="Extra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29FECB-FA2E-4742-8C8C-795E1E12719E}" name="LINEAS" displayName="LINEAS" ref="D9:D11" totalsRowShown="0" headerRowDxfId="60" dataDxfId="59">
  <autoFilter ref="D9:D11" xr:uid="{2F29FECB-FA2E-4742-8C8C-795E1E12719E}"/>
  <tableColumns count="1">
    <tableColumn id="1" xr3:uid="{98A5D668-51F0-4308-8049-09317962A685}" name="LINEA" dataDxfId="5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88C807-8D1E-4867-8B98-CDB1623D6F8B}" name="ANCHO" displayName="ANCHO" ref="F9:F12" totalsRowShown="0" headerRowDxfId="57" dataDxfId="56" headerRowCellStyle="Normal 2" dataCellStyle="Normal 2">
  <autoFilter ref="F9:F12" xr:uid="{C988C807-8D1E-4867-8B98-CDB1623D6F8B}"/>
  <tableColumns count="1">
    <tableColumn id="1" xr3:uid="{87756B9C-95F9-49D2-BA1C-555EA0547C65}" name="ANCHO_PUERTAS" dataDxfId="5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6A96F2-785E-4F06-89AF-3884FA96AB38}" name="MARCOANCHO" displayName="MARCOANCHO" ref="H9:I11" totalsRowShown="0" headerRowDxfId="54" dataDxfId="53">
  <autoFilter ref="H9:I11" xr:uid="{896A96F2-785E-4F06-89AF-3884FA96AB38}"/>
  <tableColumns count="2">
    <tableColumn id="1" xr3:uid="{212968AB-69DA-45B7-B88C-BA21886CC8E9}" name="TIPO" dataDxfId="52"/>
    <tableColumn id="2" xr3:uid="{73B51247-D23C-45A7-B5E3-AD46693FAC61}" name="FACTOR" dataDxfId="5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D8C31-BBD5-4AA7-B752-FE16D8606D4D}" name="PVC" displayName="PVC" ref="A31:C32" totalsRowShown="0" headerRowDxfId="50" dataDxfId="49">
  <autoFilter ref="A31:C32" xr:uid="{230D8C31-BBD5-4AA7-B752-FE16D8606D4D}"/>
  <tableColumns count="3">
    <tableColumn id="1" xr3:uid="{42FBAB98-3AD7-4E8E-BEFE-F20A0DE979B5}" name="TIPO" dataDxfId="48"/>
    <tableColumn id="2" xr3:uid="{A132BC9F-22A4-412C-9EF2-DBD268123C0D}" name="FLETE" dataDxfId="47"/>
    <tableColumn id="3" xr3:uid="{5A585FEC-A1E6-40D8-9E5C-CFB3E7B79799}" name="GANANCIA" dataDxfId="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240802-474F-4391-8BB4-F127A649D56E}" name="DESCUENTO_GENERAL" displayName="DESCUENTO_GENERAL" ref="E31:F32" totalsRowShown="0" headerRowDxfId="45" dataDxfId="44" headerRowCellStyle="Normal 2" dataCellStyle="Normal 2">
  <autoFilter ref="E31:F32" xr:uid="{0E240802-474F-4391-8BB4-F127A649D56E}"/>
  <tableColumns count="2">
    <tableColumn id="1" xr3:uid="{382F93D7-8D1B-4CF7-94A6-7CDCD45F2A6A}" name="PARAMETRO " dataDxfId="43" dataCellStyle="Normal 2"/>
    <tableColumn id="2" xr3:uid="{28006CA9-AD9F-4C1E-8658-C3D0499647FA}" name="           VALOR" dataDxfId="4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E528-A2BE-41E9-A23C-C077FAC23C3A}">
  <sheetPr codeName="Hoja1">
    <tabColor rgb="FFFFFF00"/>
  </sheetPr>
  <dimension ref="B2:D4"/>
  <sheetViews>
    <sheetView workbookViewId="0">
      <selection activeCell="C4" sqref="C4"/>
    </sheetView>
  </sheetViews>
  <sheetFormatPr baseColWidth="10" defaultRowHeight="14.25"/>
  <sheetData>
    <row r="2" spans="2:4" ht="14.65" thickBot="1"/>
    <row r="3" spans="2:4">
      <c r="B3" s="273" t="s">
        <v>34</v>
      </c>
      <c r="C3" s="274" t="s">
        <v>397</v>
      </c>
      <c r="D3" s="275" t="s">
        <v>28</v>
      </c>
    </row>
    <row r="4" spans="2:4" ht="14.65" thickBot="1">
      <c r="B4" s="271" t="s">
        <v>96</v>
      </c>
      <c r="C4" s="272" t="s">
        <v>402</v>
      </c>
      <c r="D4" s="257" t="s">
        <v>31</v>
      </c>
    </row>
  </sheetData>
  <dataValidations count="1">
    <dataValidation type="list" allowBlank="1" showInputMessage="1" showErrorMessage="1" sqref="B4" xr:uid="{751540AC-3AAB-4814-9E5F-AA05257D0DF3}">
      <formula1>"COSTO,VENTA"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83A6DB-F7A5-46E3-879D-50D6DC73EE3F}">
          <x14:formula1>
            <xm:f>CONFIG!J2:J6</xm:f>
          </x14:formula1>
          <xm:sqref>C4</xm:sqref>
        </x14:dataValidation>
        <x14:dataValidation type="list" allowBlank="1" showInputMessage="1" showErrorMessage="1" xr:uid="{B88E255C-E0CB-4BE1-A1BB-98E1EF7875B3}">
          <x14:formula1>
            <xm:f>CONFIG!K2:K5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3215-C36F-4BA6-83DB-B4013AA20342}">
  <sheetPr codeName="Hoja2">
    <tabColor rgb="FFFFFF00"/>
  </sheetPr>
  <dimension ref="A1:L32"/>
  <sheetViews>
    <sheetView workbookViewId="0">
      <selection activeCell="A9" sqref="A9:B13"/>
    </sheetView>
  </sheetViews>
  <sheetFormatPr baseColWidth="10" defaultRowHeight="12.75"/>
  <cols>
    <col min="1" max="1" width="13.06640625" style="25" customWidth="1"/>
    <col min="2" max="2" width="10.6640625" style="25"/>
    <col min="3" max="3" width="12.3984375" style="25" customWidth="1"/>
    <col min="4" max="4" width="10.6640625" style="25"/>
    <col min="5" max="5" width="14.73046875" style="25" customWidth="1"/>
    <col min="6" max="6" width="19" style="25" customWidth="1"/>
    <col min="7" max="16384" width="10.6640625" style="25"/>
  </cols>
  <sheetData>
    <row r="1" spans="1:12">
      <c r="A1" s="249" t="s">
        <v>401</v>
      </c>
      <c r="B1" s="249" t="s">
        <v>0</v>
      </c>
      <c r="C1" s="249" t="s">
        <v>1</v>
      </c>
      <c r="D1" s="249" t="s">
        <v>2</v>
      </c>
      <c r="E1" s="249" t="s">
        <v>3</v>
      </c>
      <c r="F1" s="250" t="s">
        <v>94</v>
      </c>
      <c r="G1" s="249" t="s">
        <v>415</v>
      </c>
      <c r="J1" s="25" t="s">
        <v>419</v>
      </c>
      <c r="K1" s="25" t="s">
        <v>420</v>
      </c>
      <c r="L1" s="25" t="s">
        <v>421</v>
      </c>
    </row>
    <row r="2" spans="1:12">
      <c r="A2" s="246" t="s">
        <v>402</v>
      </c>
      <c r="B2" s="246">
        <v>0.06</v>
      </c>
      <c r="C2" s="246">
        <v>0.3</v>
      </c>
      <c r="D2" s="246">
        <v>0.6</v>
      </c>
      <c r="E2" s="246">
        <v>0.3</v>
      </c>
      <c r="F2" s="248">
        <v>0</v>
      </c>
      <c r="G2" s="264">
        <v>0.1</v>
      </c>
      <c r="J2" s="25" t="s">
        <v>402</v>
      </c>
      <c r="K2" s="25" t="s">
        <v>29</v>
      </c>
      <c r="L2" s="25" t="s">
        <v>399</v>
      </c>
    </row>
    <row r="3" spans="1:12">
      <c r="A3" s="245" t="s">
        <v>90</v>
      </c>
      <c r="B3" s="245">
        <v>0.1</v>
      </c>
      <c r="C3" s="245">
        <v>0.3</v>
      </c>
      <c r="D3" s="245">
        <v>0.6</v>
      </c>
      <c r="E3" s="245">
        <v>0.3</v>
      </c>
      <c r="F3" s="247">
        <v>0</v>
      </c>
      <c r="G3" s="264">
        <v>0.1</v>
      </c>
      <c r="J3" s="25" t="s">
        <v>90</v>
      </c>
      <c r="K3" s="25" t="s">
        <v>31</v>
      </c>
      <c r="L3" s="25" t="s">
        <v>400</v>
      </c>
    </row>
    <row r="4" spans="1:12">
      <c r="A4" s="246" t="s">
        <v>91</v>
      </c>
      <c r="B4" s="246">
        <v>0.15</v>
      </c>
      <c r="C4" s="246">
        <v>0.35</v>
      </c>
      <c r="D4" s="246">
        <v>0.6</v>
      </c>
      <c r="E4" s="246">
        <v>0.3</v>
      </c>
      <c r="F4" s="248">
        <v>0</v>
      </c>
      <c r="G4" s="264">
        <v>0.1</v>
      </c>
      <c r="J4" s="25" t="s">
        <v>91</v>
      </c>
      <c r="K4" s="25" t="s">
        <v>32</v>
      </c>
    </row>
    <row r="5" spans="1:12">
      <c r="A5" s="247" t="s">
        <v>92</v>
      </c>
      <c r="B5" s="247">
        <v>0.15</v>
      </c>
      <c r="C5" s="247">
        <v>0.4</v>
      </c>
      <c r="D5" s="247">
        <v>0.6</v>
      </c>
      <c r="E5" s="247">
        <v>0.3</v>
      </c>
      <c r="F5" s="247">
        <v>0</v>
      </c>
      <c r="G5" s="264">
        <v>0.1</v>
      </c>
      <c r="J5" s="25" t="s">
        <v>92</v>
      </c>
      <c r="K5" s="25" t="s">
        <v>33</v>
      </c>
    </row>
    <row r="6" spans="1:12">
      <c r="A6" s="251" t="s">
        <v>93</v>
      </c>
      <c r="B6" s="251">
        <v>0</v>
      </c>
      <c r="C6" s="251">
        <v>0.5</v>
      </c>
      <c r="D6" s="251">
        <v>0.6</v>
      </c>
      <c r="E6" s="251">
        <v>0</v>
      </c>
      <c r="F6" s="251">
        <v>0.24199999999999999</v>
      </c>
      <c r="G6" s="264">
        <v>0.1</v>
      </c>
      <c r="J6" s="25" t="s">
        <v>93</v>
      </c>
    </row>
    <row r="9" spans="1:12" ht="14.25">
      <c r="A9" s="33" t="s">
        <v>28</v>
      </c>
      <c r="B9" s="33" t="s">
        <v>30</v>
      </c>
      <c r="D9" s="34" t="s">
        <v>396</v>
      </c>
      <c r="F9" s="25" t="s">
        <v>405</v>
      </c>
      <c r="H9" s="34" t="s">
        <v>407</v>
      </c>
      <c r="I9" s="34" t="s">
        <v>408</v>
      </c>
    </row>
    <row r="10" spans="1:12" ht="14.25">
      <c r="A10" s="33" t="s">
        <v>29</v>
      </c>
      <c r="B10" s="33">
        <v>0.3</v>
      </c>
      <c r="D10" s="244" t="s">
        <v>399</v>
      </c>
      <c r="F10" s="25">
        <v>0.8</v>
      </c>
      <c r="H10" s="244" t="s">
        <v>409</v>
      </c>
      <c r="I10" s="244">
        <v>1</v>
      </c>
    </row>
    <row r="11" spans="1:12" ht="14.25">
      <c r="A11" s="33" t="s">
        <v>31</v>
      </c>
      <c r="B11" s="33">
        <v>0</v>
      </c>
      <c r="D11" s="244" t="s">
        <v>400</v>
      </c>
      <c r="F11" s="25">
        <v>0.7</v>
      </c>
      <c r="H11" s="244" t="s">
        <v>410</v>
      </c>
      <c r="I11" s="244">
        <v>1.05</v>
      </c>
    </row>
    <row r="12" spans="1:12" ht="14.25">
      <c r="A12" s="33" t="s">
        <v>32</v>
      </c>
      <c r="B12" s="33">
        <v>0.45</v>
      </c>
      <c r="F12" s="25">
        <v>0.9</v>
      </c>
    </row>
    <row r="13" spans="1:12" ht="14.25">
      <c r="A13" s="33" t="s">
        <v>33</v>
      </c>
      <c r="B13" s="33">
        <v>2.8</v>
      </c>
    </row>
    <row r="18" spans="1:8" ht="14.25">
      <c r="A18" s="34" t="s">
        <v>396</v>
      </c>
      <c r="B18" s="34" t="s">
        <v>397</v>
      </c>
      <c r="C18" s="34" t="s">
        <v>398</v>
      </c>
    </row>
    <row r="19" spans="1:8" ht="14.25">
      <c r="A19" s="33" t="s">
        <v>399</v>
      </c>
      <c r="B19" s="33" t="s">
        <v>402</v>
      </c>
      <c r="C19" s="33">
        <v>0.1</v>
      </c>
    </row>
    <row r="20" spans="1:8" ht="14.25">
      <c r="A20" s="33" t="s">
        <v>399</v>
      </c>
      <c r="B20" s="33" t="s">
        <v>90</v>
      </c>
      <c r="C20" s="33">
        <v>0.12</v>
      </c>
    </row>
    <row r="21" spans="1:8" ht="14.25">
      <c r="A21" s="33" t="s">
        <v>399</v>
      </c>
      <c r="B21" s="33" t="s">
        <v>91</v>
      </c>
      <c r="C21" s="33">
        <v>0.12</v>
      </c>
    </row>
    <row r="22" spans="1:8" ht="14.25">
      <c r="A22" s="33" t="s">
        <v>400</v>
      </c>
      <c r="B22" s="33" t="s">
        <v>402</v>
      </c>
      <c r="C22" s="33">
        <v>7.0000000000000007E-2</v>
      </c>
    </row>
    <row r="23" spans="1:8" ht="14.25">
      <c r="A23" s="33" t="s">
        <v>400</v>
      </c>
      <c r="B23" s="33" t="s">
        <v>90</v>
      </c>
      <c r="C23" s="33">
        <v>7.0000000000000007E-2</v>
      </c>
    </row>
    <row r="24" spans="1:8" ht="14.25">
      <c r="A24" s="33" t="s">
        <v>400</v>
      </c>
      <c r="B24" s="33" t="s">
        <v>91</v>
      </c>
      <c r="C24" s="33">
        <v>7.0000000000000007E-2</v>
      </c>
    </row>
    <row r="31" spans="1:8" ht="14.25">
      <c r="A31" s="34" t="s">
        <v>407</v>
      </c>
      <c r="B31" s="34" t="s">
        <v>411</v>
      </c>
      <c r="C31" s="34" t="s">
        <v>412</v>
      </c>
      <c r="E31" s="25" t="s">
        <v>416</v>
      </c>
      <c r="F31" s="25" t="s">
        <v>417</v>
      </c>
    </row>
    <row r="32" spans="1:8" ht="14.25">
      <c r="A32" s="244" t="s">
        <v>413</v>
      </c>
      <c r="B32" s="244">
        <v>0.15</v>
      </c>
      <c r="C32" s="244">
        <v>0.4</v>
      </c>
      <c r="E32" s="25" t="s">
        <v>418</v>
      </c>
      <c r="F32" s="269">
        <v>0.05</v>
      </c>
      <c r="H32" s="269"/>
    </row>
  </sheetData>
  <phoneticPr fontId="1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F030-1531-45AF-9B79-7C815EA99356}">
  <sheetPr codeName="Hoja3">
    <tabColor rgb="FFFF0000"/>
    <pageSetUpPr fitToPage="1"/>
  </sheetPr>
  <dimension ref="A1:K60"/>
  <sheetViews>
    <sheetView zoomScale="55" zoomScaleNormal="55" workbookViewId="0">
      <selection activeCell="H26" sqref="H26"/>
    </sheetView>
  </sheetViews>
  <sheetFormatPr baseColWidth="10" defaultRowHeight="14.25"/>
  <cols>
    <col min="1" max="7" width="10.6640625" style="4"/>
    <col min="8" max="8" width="10.6640625" style="4" customWidth="1"/>
    <col min="9" max="16384" width="10.6640625" style="4"/>
  </cols>
  <sheetData>
    <row r="1" spans="1:11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1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3" spans="1:11" ht="14.65" thickBot="1"/>
    <row r="4" spans="1:11" ht="25.9" thickBot="1">
      <c r="A4" s="276" t="s">
        <v>19</v>
      </c>
      <c r="B4" s="277"/>
      <c r="C4" s="277"/>
      <c r="D4" s="277"/>
      <c r="E4" s="278"/>
      <c r="G4" s="276" t="s">
        <v>20</v>
      </c>
      <c r="H4" s="277"/>
      <c r="I4" s="277"/>
      <c r="J4" s="277"/>
      <c r="K4" s="278"/>
    </row>
    <row r="5" spans="1:11" ht="14.65" thickBot="1">
      <c r="A5" s="2"/>
      <c r="B5" s="2"/>
      <c r="C5" s="2"/>
      <c r="D5" s="2"/>
      <c r="E5" s="2"/>
      <c r="G5" s="2"/>
      <c r="H5" s="2"/>
      <c r="I5" s="2"/>
      <c r="J5" s="2"/>
      <c r="K5" s="2"/>
    </row>
    <row r="6" spans="1:11" ht="17.25" thickBot="1">
      <c r="A6" s="14" t="s">
        <v>4</v>
      </c>
      <c r="B6" s="15" t="s">
        <v>116</v>
      </c>
      <c r="C6" s="16" t="s">
        <v>117</v>
      </c>
      <c r="D6" s="41" t="s">
        <v>118</v>
      </c>
      <c r="E6" s="17" t="s">
        <v>119</v>
      </c>
      <c r="G6" s="12" t="s">
        <v>4</v>
      </c>
      <c r="H6" s="23" t="s">
        <v>120</v>
      </c>
      <c r="I6" s="24" t="s">
        <v>117</v>
      </c>
      <c r="J6" s="23" t="s">
        <v>118</v>
      </c>
      <c r="K6" s="13" t="s">
        <v>18</v>
      </c>
    </row>
    <row r="7" spans="1:11">
      <c r="A7" s="18" t="s">
        <v>130</v>
      </c>
      <c r="B7" s="3">
        <v>23863</v>
      </c>
      <c r="C7" s="3">
        <v>6540</v>
      </c>
      <c r="D7" s="3">
        <v>8799</v>
      </c>
      <c r="E7" s="7">
        <v>2321</v>
      </c>
      <c r="G7" s="20" t="s">
        <v>130</v>
      </c>
      <c r="H7" s="267" cm="1">
        <f t="array" ref="H7">IFERROR(
ROUND(
IF($A$2="COSTO",
   ((B7*(1+IFERROR(VLOOKUP($D$2,COLORES[],2,FALSE),0)))+E7)
   *(1-_xlfn.XLOOKUP(1,(DESC_PROV[LINEA]=$B$2)*(DESC_PROV[LISTA]=$C$2),DESC_PROV[DESCUENTO])),
   ((B7*(1+IFERROR(VLOOKUP($D$2,COLORES[],2,FALSE),0)))+E7)
   *(1-_xlfn.XLOOKUP(1,(DESC_PROV[LINEA]=$B$2)*(DESC_PROV[LISTA]=$C$2),DESC_PROV[DESCUENTO]))
   *(1+VLOOKUP($C$2,LISTAS[],2,FALSE))
   *(1+0.1)
)
/5,0)*5,0)</f>
        <v>27475</v>
      </c>
      <c r="I7" s="267" cm="1">
        <f t="array" ref="I7">IFERROR(
ROUND(
IF($A$2="COSTO",
   ((B7*(1+IFERROR(VLOOKUP($D$2,COLORES[],2,FALSE),0)))+C7)
   *(1-_xlfn.XLOOKUP(1,(DESC_PROV[LINEA]=$B$2)*(DESC_PROV[LISTA]=$C$2),DESC_PROV[DESCUENTO])),
   ((B7*(1+IFERROR(VLOOKUP($D$2,COLORES[],2,FALSE),0)))+C7)
   *(1-_xlfn.XLOOKUP(1,(DESC_PROV[LINEA]=$B$2)*(DESC_PROV[LISTA]=$C$2),DESC_PROV[DESCUENTO]))
   *(1+VLOOKUP($C$2,LISTAS[],2,FALSE))
   *(1+0.1)
)
/5,0)*5,0)</f>
        <v>31905</v>
      </c>
      <c r="J7" s="267" cm="1">
        <f t="array" ref="J7">IFERROR(
ROUND(
IF($A$2="COSTO",
   (D7*(1+IFERROR(VLOOKUP($D$2,COLORES[],2,FALSE),0)))
   *(1-_xlfn.XLOOKUP(1,(DESC_PROV[LINEA]=$B$2)*(DESC_PROV[LISTA]=$C$2),DESC_PROV[DESCUENTO])),
   (D7*(1+IFERROR(VLOOKUP($D$2,COLORES[],2,FALSE),0)))
   *(1-_xlfn.XLOOKUP(1,(DESC_PROV[LINEA]=$B$2)*(DESC_PROV[LISTA]=$C$2),DESC_PROV[DESCUENTO]))
   *(1+VLOOKUP($C$2,LISTAS[],2,FALSE))
   *(1+0.1)
)
/5,0)*5,0)</f>
        <v>9235</v>
      </c>
      <c r="K7" s="268" cm="1">
        <f t="array" ref="K7">IFERROR(
ROUND(
IF($A$2="COSTO",
   ((B7*(1+IFERROR(VLOOKUP($D$2,COLORES[],2,FALSE),0)))+C7+E7)
   *(1-_xlfn.XLOOKUP(1,(DESC_PROV[LINEA]=$B$2)*(DESC_PROV[LISTA]=$C$2),DESC_PROV[DESCUENTO])),
   ((B7*(1+IFERROR(VLOOKUP($D$2,COLORES[],2,FALSE),0)))+C7+E7)
   *(1-_xlfn.XLOOKUP(1,(DESC_PROV[LINEA]=$B$2)*(DESC_PROV[LISTA]=$C$2),DESC_PROV[DESCUENTO]))
   *(1+VLOOKUP($C$2,LISTAS[],2,FALSE))
   *(1+0.1)
)
/5,0)*5,0)</f>
        <v>34340</v>
      </c>
    </row>
    <row r="8" spans="1:11">
      <c r="A8" s="18" t="s">
        <v>132</v>
      </c>
      <c r="B8" s="3">
        <v>29288</v>
      </c>
      <c r="C8" s="3">
        <v>6540</v>
      </c>
      <c r="D8" s="3">
        <v>9874</v>
      </c>
      <c r="E8" s="7">
        <v>3249</v>
      </c>
      <c r="G8" s="21" t="s">
        <v>132</v>
      </c>
      <c r="H8" s="5" cm="1">
        <f t="array" ref="H8">IFERROR(
ROUND(
IF($A$2="COSTO",
   ((B8*(1+IFERROR(VLOOKUP($D$2,COLORES[],2,FALSE),0)))+E8)
   *(1-_xlfn.XLOOKUP(1,(DESC_PROV[LINEA]=$B$2)*(DESC_PROV[LISTA]=$C$2),DESC_PROV[DESCUENTO])),
   ((B8*(1+IFERROR(VLOOKUP($D$2,COLORES[],2,FALSE),0)))+E8)
   *(1-_xlfn.XLOOKUP(1,(DESC_PROV[LINEA]=$B$2)*(DESC_PROV[LISTA]=$C$2),DESC_PROV[DESCUENTO]))
   *(1+VLOOKUP($C$2,LISTAS[],2,FALSE))
   *(1+VLOOKUP($C$2,LISTAS[],3,FALSE))
)
/5,0)*5,0)</f>
        <v>40350</v>
      </c>
      <c r="I8" s="5" cm="1">
        <f t="array" ref="I8">IFERROR(
ROUND(
IF($A$2="COSTO",
   ((B8*(1+IFERROR(VLOOKUP($D$2,COLORES[],2,FALSE),0)))
   + C8
   + E8)
   *(1-_xlfn.XLOOKUP(1,(DESC_PROV[LINEA]=$B$2)*(DESC_PROV[LISTA]=$C$2),DESC_PROV[DESCUENTO])),
   ((B8*(1+IFERROR(VLOOKUP($D$2,COLORES[],2,FALSE),0)))
   + C8
   + E8)
   *(1-_xlfn.XLOOKUP(1,(DESC_PROV[LINEA]=$B$2)*(DESC_PROV[LISTA]=$C$2),DESC_PROV[DESCUENTO]))
   *(1+VLOOKUP($C$2,LISTAS[],2,FALSE))
   *(1+VLOOKUP($C$2,LISTAS[],3,FALSE))
)
/5,0)*5,0)</f>
        <v>48465</v>
      </c>
      <c r="J8" s="5" cm="1">
        <f t="array" ref="J8">IFERROR(
ROUND(
IF($A$2="COSTO",
   (D8*(1+IFERROR(VLOOKUP($D$2,COLORES[],2,FALSE),0)))
   *(1-_xlfn.XLOOKUP(1,(DESC_PROV[LINEA]=$B$2)*(DESC_PROV[LISTA]=$C$2),DESC_PROV[DESCUENTO])),
   (D8*(1+IFERROR(VLOOKUP($D$2,COLORES[],2,FALSE),0)))
   *(1-_xlfn.XLOOKUP(1,(DESC_PROV[LINEA]=$B$2)*(DESC_PROV[LISTA]=$C$2),DESC_PROV[DESCUENTO]))
   *(1+VLOOKUP($C$2,LISTAS[],2,FALSE))
   *(1+VLOOKUP($C$2,LISTAS[],4,FALSE))
)
/5,0)*5,0)</f>
        <v>15070</v>
      </c>
      <c r="K8" s="6" cm="1">
        <f t="array" ref="K8">IFERROR(
ROUND(
IF($A$2="COSTO",
   (B8*(1+IFERROR(VLOOKUP($D$2,COLORES[],2,FALSE),0))+E8)
   *(1+VLOOKUP($C$2,LISTAS[],5,FALSE))
   *(1-_xlfn.XLOOKUP(1,(DESC_PROV[LINEA]=$B$2)*(DESC_PROV[LISTA]=$C$2),DESC_PROV[DESCUENTO])),
   (B8*(1+IFERROR(VLOOKUP($D$2,COLORES[],2,FALSE),0))+E8)
   *(1-_xlfn.XLOOKUP(1,(DESC_PROV[LINEA]=$B$2)*(DESC_PROV[LISTA]=$C$2),DESC_PROV[DESCUENTO]))
   *(1+VLOOKUP($C$2,LISTAS[],5,FALSE))
   *(1+VLOOKUP($C$2,LISTAS[],2,FALSE))
   *(1+VLOOKUP($C$2,LISTAS[],3,FALSE))
)
/5,0)*5,0)</f>
        <v>52460</v>
      </c>
    </row>
    <row r="9" spans="1:11">
      <c r="A9" s="18" t="s">
        <v>134</v>
      </c>
      <c r="B9" s="3">
        <v>31536</v>
      </c>
      <c r="C9" s="3">
        <v>6540</v>
      </c>
      <c r="D9" s="3">
        <v>11321</v>
      </c>
      <c r="E9" s="7">
        <v>4177</v>
      </c>
      <c r="G9" s="21" t="s">
        <v>134</v>
      </c>
      <c r="H9" s="5" cm="1">
        <f t="array" ref="H9">IFERROR(
ROUND(
IF($A$2="COSTO",
   ((B9*(1+IFERROR(VLOOKUP($D$2,COLORES[],2,FALSE),0)))+E9)
   *(1-_xlfn.XLOOKUP(1,(DESC_PROV[LINEA]=$B$2)*(DESC_PROV[LISTA]=$C$2),DESC_PROV[DESCUENTO])),
   ((B9*(1+IFERROR(VLOOKUP($D$2,COLORES[],2,FALSE),0)))+E9)
   *(1-_xlfn.XLOOKUP(1,(DESC_PROV[LINEA]=$B$2)*(DESC_PROV[LISTA]=$C$2),DESC_PROV[DESCUENTO]))
   *(1+VLOOKUP($C$2,LISTAS[],2,FALSE))
   *(1+VLOOKUP($C$2,LISTAS[],3,FALSE))
)
/5,0)*5,0)</f>
        <v>44290</v>
      </c>
      <c r="I9" s="5" cm="1">
        <f t="array" ref="I9">IFERROR(
ROUND(
IF($A$2="COSTO",
   ((B9*(1+IFERROR(VLOOKUP($D$2,COLORES[],2,FALSE),0)))
   + C9
   + E9)
   *(1-_xlfn.XLOOKUP(1,(DESC_PROV[LINEA]=$B$2)*(DESC_PROV[LISTA]=$C$2),DESC_PROV[DESCUENTO])),
   ((B9*(1+IFERROR(VLOOKUP($D$2,COLORES[],2,FALSE),0)))
   + C9
   + E9)
   *(1-_xlfn.XLOOKUP(1,(DESC_PROV[LINEA]=$B$2)*(DESC_PROV[LISTA]=$C$2),DESC_PROV[DESCUENTO]))
   *(1+VLOOKUP($C$2,LISTAS[],2,FALSE))
   *(1+VLOOKUP($C$2,LISTAS[],3,FALSE))
)
/5,0)*5,0)</f>
        <v>52400</v>
      </c>
      <c r="J9" s="5" cm="1">
        <f t="array" ref="J9">IFERROR(
ROUND(
IF($A$2="COSTO",
   (D9*(1+IFERROR(VLOOKUP($D$2,COLORES[],2,FALSE),0)))
   *(1-_xlfn.XLOOKUP(1,(DESC_PROV[LINEA]=$B$2)*(DESC_PROV[LISTA]=$C$2),DESC_PROV[DESCUENTO])),
   (D9*(1+IFERROR(VLOOKUP($D$2,COLORES[],2,FALSE),0)))
   *(1-_xlfn.XLOOKUP(1,(DESC_PROV[LINEA]=$B$2)*(DESC_PROV[LISTA]=$C$2),DESC_PROV[DESCUENTO]))
   *(1+VLOOKUP($C$2,LISTAS[],2,FALSE))
   *(1+VLOOKUP($C$2,LISTAS[],4,FALSE))
)
/5,0)*5,0)</f>
        <v>17280</v>
      </c>
      <c r="K9" s="6" cm="1">
        <f t="array" ref="K9">IFERROR(
ROUND(
IF($A$2="COSTO",
   (B9*(1+IFERROR(VLOOKUP($D$2,COLORES[],2,FALSE),0))+E9)
   *(1+VLOOKUP($C$2,LISTAS[],5,FALSE))
   *(1-_xlfn.XLOOKUP(1,(DESC_PROV[LINEA]=$B$2)*(DESC_PROV[LISTA]=$C$2),DESC_PROV[DESCUENTO])),
   (B9*(1+IFERROR(VLOOKUP($D$2,COLORES[],2,FALSE),0))+E9)
   *(1-_xlfn.XLOOKUP(1,(DESC_PROV[LINEA]=$B$2)*(DESC_PROV[LISTA]=$C$2),DESC_PROV[DESCUENTO]))
   *(1+VLOOKUP($C$2,LISTAS[],5,FALSE))
   *(1+VLOOKUP($C$2,LISTAS[],2,FALSE))
   *(1+VLOOKUP($C$2,LISTAS[],3,FALSE))
)
/5,0)*5,0)</f>
        <v>57580</v>
      </c>
    </row>
    <row r="10" spans="1:11">
      <c r="A10" s="18" t="s">
        <v>422</v>
      </c>
      <c r="B10" s="3">
        <v>34843</v>
      </c>
      <c r="C10" s="3">
        <v>6540</v>
      </c>
      <c r="D10" s="3">
        <v>12768</v>
      </c>
      <c r="E10" s="7">
        <v>5116</v>
      </c>
      <c r="G10" s="21" t="s">
        <v>422</v>
      </c>
      <c r="H10" s="5" cm="1">
        <f t="array" ref="H10">IFERROR(
ROUND(
IF($A$2="COSTO",
   ((B10*(1+IFERROR(VLOOKUP($D$2,COLORES[],2,FALSE),0)))+E10)
   *(1-_xlfn.XLOOKUP(1,(DESC_PROV[LINEA]=$B$2)*(DESC_PROV[LISTA]=$C$2),DESC_PROV[DESCUENTO])),
   ((B10*(1+IFERROR(VLOOKUP($D$2,COLORES[],2,FALSE),0)))+E10)
   *(1-_xlfn.XLOOKUP(1,(DESC_PROV[LINEA]=$B$2)*(DESC_PROV[LISTA]=$C$2),DESC_PROV[DESCUENTO]))
   *(1+VLOOKUP($C$2,LISTAS[],2,FALSE))
   *(1+VLOOKUP($C$2,LISTAS[],3,FALSE))
)
/5,0)*5,0)</f>
        <v>49555</v>
      </c>
      <c r="I10" s="5" cm="1">
        <f t="array" ref="I10">IFERROR(
ROUND(
IF($A$2="COSTO",
   ((B10*(1+IFERROR(VLOOKUP($D$2,COLORES[],2,FALSE),0)))
   + C10
   + E10)
   *(1-_xlfn.XLOOKUP(1,(DESC_PROV[LINEA]=$B$2)*(DESC_PROV[LISTA]=$C$2),DESC_PROV[DESCUENTO])),
   ((B10*(1+IFERROR(VLOOKUP($D$2,COLORES[],2,FALSE),0)))
   + C10
   + E10)
   *(1-_xlfn.XLOOKUP(1,(DESC_PROV[LINEA]=$B$2)*(DESC_PROV[LISTA]=$C$2),DESC_PROV[DESCUENTO]))
   *(1+VLOOKUP($C$2,LISTAS[],2,FALSE))
   *(1+VLOOKUP($C$2,LISTAS[],3,FALSE))
)
/5,0)*5,0)</f>
        <v>57670</v>
      </c>
      <c r="J10" s="5" cm="1">
        <f t="array" ref="J10">IFERROR(
ROUND(
IF($A$2="COSTO",
   (D10*(1+IFERROR(VLOOKUP($D$2,COLORES[],2,FALSE),0)))
   *(1-_xlfn.XLOOKUP(1,(DESC_PROV[LINEA]=$B$2)*(DESC_PROV[LISTA]=$C$2),DESC_PROV[DESCUENTO])),
   (D10*(1+IFERROR(VLOOKUP($D$2,COLORES[],2,FALSE),0)))
   *(1-_xlfn.XLOOKUP(1,(DESC_PROV[LINEA]=$B$2)*(DESC_PROV[LISTA]=$C$2),DESC_PROV[DESCUENTO]))
   *(1+VLOOKUP($C$2,LISTAS[],2,FALSE))
   *(1+VLOOKUP($C$2,LISTAS[],4,FALSE))
)
/5,0)*5,0)</f>
        <v>19490</v>
      </c>
      <c r="K10" s="6" cm="1">
        <f t="array" ref="K10">IFERROR(
ROUND(
IF($A$2="COSTO",
   (B10*(1+IFERROR(VLOOKUP($D$2,COLORES[],2,FALSE),0))+E10)
   *(1+VLOOKUP($C$2,LISTAS[],5,FALSE))
   *(1-_xlfn.XLOOKUP(1,(DESC_PROV[LINEA]=$B$2)*(DESC_PROV[LISTA]=$C$2),DESC_PROV[DESCUENTO])),
   (B10*(1+IFERROR(VLOOKUP($D$2,COLORES[],2,FALSE),0))+E10)
   *(1-_xlfn.XLOOKUP(1,(DESC_PROV[LINEA]=$B$2)*(DESC_PROV[LISTA]=$C$2),DESC_PROV[DESCUENTO]))
   *(1+VLOOKUP($C$2,LISTAS[],5,FALSE))
   *(1+VLOOKUP($C$2,LISTAS[],2,FALSE))
   *(1+VLOOKUP($C$2,LISTAS[],3,FALSE))
)
/5,0)*5,0)</f>
        <v>64425</v>
      </c>
    </row>
    <row r="11" spans="1:11">
      <c r="A11" s="18" t="s">
        <v>423</v>
      </c>
      <c r="B11" s="3">
        <v>40334</v>
      </c>
      <c r="C11" s="3">
        <v>6540</v>
      </c>
      <c r="D11" s="3">
        <v>14939</v>
      </c>
      <c r="E11" s="7">
        <v>6497</v>
      </c>
      <c r="G11" s="21" t="s">
        <v>423</v>
      </c>
      <c r="H11" s="5" cm="1">
        <f t="array" ref="H11">IFERROR(
ROUND(
IF($A$2="COSTO",
   ((B11*(1+IFERROR(VLOOKUP($D$2,COLORES[],2,FALSE),0)))+E11)
   *(1-_xlfn.XLOOKUP(1,(DESC_PROV[LINEA]=$B$2)*(DESC_PROV[LISTA]=$C$2),DESC_PROV[DESCUENTO])),
   ((B11*(1+IFERROR(VLOOKUP($D$2,COLORES[],2,FALSE),0)))+E11)
   *(1-_xlfn.XLOOKUP(1,(DESC_PROV[LINEA]=$B$2)*(DESC_PROV[LISTA]=$C$2),DESC_PROV[DESCUENTO]))
   *(1+VLOOKUP($C$2,LISTAS[],2,FALSE))
   *(1+VLOOKUP($C$2,LISTAS[],3,FALSE))
)
/5,0)*5,0)</f>
        <v>58080</v>
      </c>
      <c r="I11" s="5" cm="1">
        <f t="array" ref="I11">IFERROR(
ROUND(
IF($A$2="COSTO",
   ((B11*(1+IFERROR(VLOOKUP($D$2,COLORES[],2,FALSE),0)))
   + C11
   + E11)
   *(1-_xlfn.XLOOKUP(1,(DESC_PROV[LINEA]=$B$2)*(DESC_PROV[LISTA]=$C$2),DESC_PROV[DESCUENTO])),
   ((B11*(1+IFERROR(VLOOKUP($D$2,COLORES[],2,FALSE),0)))
   + C11
   + E11)
   *(1-_xlfn.XLOOKUP(1,(DESC_PROV[LINEA]=$B$2)*(DESC_PROV[LISTA]=$C$2),DESC_PROV[DESCUENTO]))
   *(1+VLOOKUP($C$2,LISTAS[],2,FALSE))
   *(1+VLOOKUP($C$2,LISTAS[],3,FALSE))
)
/5,0)*5,0)</f>
        <v>66190</v>
      </c>
      <c r="J11" s="5" cm="1">
        <f t="array" ref="J11">IFERROR(
ROUND(
IF($A$2="COSTO",
   (D11*(1+IFERROR(VLOOKUP($D$2,COLORES[],2,FALSE),0)))
   *(1-_xlfn.XLOOKUP(1,(DESC_PROV[LINEA]=$B$2)*(DESC_PROV[LISTA]=$C$2),DESC_PROV[DESCUENTO])),
   (D11*(1+IFERROR(VLOOKUP($D$2,COLORES[],2,FALSE),0)))
   *(1-_xlfn.XLOOKUP(1,(DESC_PROV[LINEA]=$B$2)*(DESC_PROV[LISTA]=$C$2),DESC_PROV[DESCUENTO]))
   *(1+VLOOKUP($C$2,LISTAS[],2,FALSE))
   *(1+VLOOKUP($C$2,LISTAS[],4,FALSE))
)
/5,0)*5,0)</f>
        <v>22805</v>
      </c>
      <c r="K11" s="6" cm="1">
        <f t="array" ref="K11">IFERROR(
ROUND(
IF($A$2="COSTO",
   (B11*(1+IFERROR(VLOOKUP($D$2,COLORES[],2,FALSE),0))+E11)
   *(1+VLOOKUP($C$2,LISTAS[],5,FALSE))
   *(1-_xlfn.XLOOKUP(1,(DESC_PROV[LINEA]=$B$2)*(DESC_PROV[LISTA]=$C$2),DESC_PROV[DESCUENTO])),
   (B11*(1+IFERROR(VLOOKUP($D$2,COLORES[],2,FALSE),0))+E11)
   *(1-_xlfn.XLOOKUP(1,(DESC_PROV[LINEA]=$B$2)*(DESC_PROV[LISTA]=$C$2),DESC_PROV[DESCUENTO]))
   *(1+VLOOKUP($C$2,LISTAS[],5,FALSE))
   *(1+VLOOKUP($C$2,LISTAS[],2,FALSE))
   *(1+VLOOKUP($C$2,LISTAS[],3,FALSE))
)
/5,0)*5,0)</f>
        <v>75505</v>
      </c>
    </row>
    <row r="12" spans="1:11">
      <c r="A12" s="18" t="s">
        <v>424</v>
      </c>
      <c r="B12" s="3">
        <v>44765</v>
      </c>
      <c r="C12" s="3">
        <v>6540</v>
      </c>
      <c r="D12" s="3">
        <v>17109</v>
      </c>
      <c r="E12" s="7">
        <v>7895</v>
      </c>
      <c r="G12" s="21" t="s">
        <v>424</v>
      </c>
      <c r="H12" s="5" cm="1">
        <f t="array" ref="H12">IFERROR(
ROUND(
IF($A$2="COSTO",
   ((B12*(1+IFERROR(VLOOKUP($D$2,COLORES[],2,FALSE),0)))+E12)
   *(1-_xlfn.XLOOKUP(1,(DESC_PROV[LINEA]=$B$2)*(DESC_PROV[LISTA]=$C$2),DESC_PROV[DESCUENTO])),
   ((B12*(1+IFERROR(VLOOKUP($D$2,COLORES[],2,FALSE),0)))+E12)
   *(1-_xlfn.XLOOKUP(1,(DESC_PROV[LINEA]=$B$2)*(DESC_PROV[LISTA]=$C$2),DESC_PROV[DESCUENTO]))
   *(1+VLOOKUP($C$2,LISTAS[],2,FALSE))
   *(1+VLOOKUP($C$2,LISTAS[],3,FALSE))
)
/5,0)*5,0)</f>
        <v>65310</v>
      </c>
      <c r="I12" s="5" cm="1">
        <f t="array" ref="I12">IFERROR(
ROUND(
IF($A$2="COSTO",
   ((B12*(1+IFERROR(VLOOKUP($D$2,COLORES[],2,FALSE),0)))
   + C12
   + E12)
   *(1-_xlfn.XLOOKUP(1,(DESC_PROV[LINEA]=$B$2)*(DESC_PROV[LISTA]=$C$2),DESC_PROV[DESCUENTO])),
   ((B12*(1+IFERROR(VLOOKUP($D$2,COLORES[],2,FALSE),0)))
   + C12
   + E12)
   *(1-_xlfn.XLOOKUP(1,(DESC_PROV[LINEA]=$B$2)*(DESC_PROV[LISTA]=$C$2),DESC_PROV[DESCUENTO]))
   *(1+VLOOKUP($C$2,LISTAS[],2,FALSE))
   *(1+VLOOKUP($C$2,LISTAS[],3,FALSE))
)
/5,0)*5,0)</f>
        <v>73420</v>
      </c>
      <c r="J12" s="5" cm="1">
        <f t="array" ref="J12">IFERROR(
ROUND(
IF($A$2="COSTO",
   (D12*(1+IFERROR(VLOOKUP($D$2,COLORES[],2,FALSE),0)))
   *(1-_xlfn.XLOOKUP(1,(DESC_PROV[LINEA]=$B$2)*(DESC_PROV[LISTA]=$C$2),DESC_PROV[DESCUENTO])),
   (D12*(1+IFERROR(VLOOKUP($D$2,COLORES[],2,FALSE),0)))
   *(1-_xlfn.XLOOKUP(1,(DESC_PROV[LINEA]=$B$2)*(DESC_PROV[LISTA]=$C$2),DESC_PROV[DESCUENTO]))
   *(1+VLOOKUP($C$2,LISTAS[],2,FALSE))
   *(1+VLOOKUP($C$2,LISTAS[],4,FALSE))
)
/5,0)*5,0)</f>
        <v>26115</v>
      </c>
      <c r="K12" s="6" cm="1">
        <f t="array" ref="K12">IFERROR(
ROUND(
IF($A$2="COSTO",
   (B12*(1+IFERROR(VLOOKUP($D$2,COLORES[],2,FALSE),0))+E12)
   *(1+VLOOKUP($C$2,LISTAS[],5,FALSE))
   *(1-_xlfn.XLOOKUP(1,(DESC_PROV[LINEA]=$B$2)*(DESC_PROV[LISTA]=$C$2),DESC_PROV[DESCUENTO])),
   (B12*(1+IFERROR(VLOOKUP($D$2,COLORES[],2,FALSE),0))+E12)
   *(1-_xlfn.XLOOKUP(1,(DESC_PROV[LINEA]=$B$2)*(DESC_PROV[LISTA]=$C$2),DESC_PROV[DESCUENTO]))
   *(1+VLOOKUP($C$2,LISTAS[],5,FALSE))
   *(1+VLOOKUP($C$2,LISTAS[],2,FALSE))
   *(1+VLOOKUP($C$2,LISTAS[],3,FALSE))
)
/5,0)*5,0)</f>
        <v>84900</v>
      </c>
    </row>
    <row r="13" spans="1:11">
      <c r="A13" s="18" t="s">
        <v>425</v>
      </c>
      <c r="B13" s="3">
        <v>49660</v>
      </c>
      <c r="C13" s="3">
        <v>6540</v>
      </c>
      <c r="D13" s="3">
        <v>18556</v>
      </c>
      <c r="E13" s="7">
        <v>8823</v>
      </c>
      <c r="G13" s="21" t="s">
        <v>425</v>
      </c>
      <c r="H13" s="5" cm="1">
        <f t="array" ref="H13">IFERROR(
ROUND(
IF($A$2="COSTO",
   ((B13*(1+IFERROR(VLOOKUP($D$2,COLORES[],2,FALSE),0)))+E13)
   *(1-_xlfn.XLOOKUP(1,(DESC_PROV[LINEA]=$B$2)*(DESC_PROV[LISTA]=$C$2),DESC_PROV[DESCUENTO])),
   ((B13*(1+IFERROR(VLOOKUP($D$2,COLORES[],2,FALSE),0)))+E13)
   *(1-_xlfn.XLOOKUP(1,(DESC_PROV[LINEA]=$B$2)*(DESC_PROV[LISTA]=$C$2),DESC_PROV[DESCUENTO]))
   *(1+VLOOKUP($C$2,LISTAS[],2,FALSE))
   *(1+VLOOKUP($C$2,LISTAS[],3,FALSE))
)
/5,0)*5,0)</f>
        <v>72530</v>
      </c>
      <c r="I13" s="5" cm="1">
        <f t="array" ref="I13">IFERROR(
ROUND(
IF($A$2="COSTO",
   ((B13*(1+IFERROR(VLOOKUP($D$2,COLORES[],2,FALSE),0)))
   + C13
   + E13)
   *(1-_xlfn.XLOOKUP(1,(DESC_PROV[LINEA]=$B$2)*(DESC_PROV[LISTA]=$C$2),DESC_PROV[DESCUENTO])),
   ((B13*(1+IFERROR(VLOOKUP($D$2,COLORES[],2,FALSE),0)))
   + C13
   + E13)
   *(1-_xlfn.XLOOKUP(1,(DESC_PROV[LINEA]=$B$2)*(DESC_PROV[LISTA]=$C$2),DESC_PROV[DESCUENTO]))
   *(1+VLOOKUP($C$2,LISTAS[],2,FALSE))
   *(1+VLOOKUP($C$2,LISTAS[],3,FALSE))
)
/5,0)*5,0)</f>
        <v>80640</v>
      </c>
      <c r="J13" s="5" cm="1">
        <f t="array" ref="J13">IFERROR(
ROUND(
IF($A$2="COSTO",
   (D13*(1+IFERROR(VLOOKUP($D$2,COLORES[],2,FALSE),0)))
   *(1-_xlfn.XLOOKUP(1,(DESC_PROV[LINEA]=$B$2)*(DESC_PROV[LISTA]=$C$2),DESC_PROV[DESCUENTO])),
   (D13*(1+IFERROR(VLOOKUP($D$2,COLORES[],2,FALSE),0)))
   *(1-_xlfn.XLOOKUP(1,(DESC_PROV[LINEA]=$B$2)*(DESC_PROV[LISTA]=$C$2),DESC_PROV[DESCUENTO]))
   *(1+VLOOKUP($C$2,LISTAS[],2,FALSE))
   *(1+VLOOKUP($C$2,LISTAS[],4,FALSE))
)
/5,0)*5,0)</f>
        <v>28325</v>
      </c>
      <c r="K13" s="6" cm="1">
        <f t="array" ref="K13">IFERROR(
ROUND(
IF($A$2="COSTO",
   (B13*(1+IFERROR(VLOOKUP($D$2,COLORES[],2,FALSE),0))+E13)
   *(1+VLOOKUP($C$2,LISTAS[],5,FALSE))
   *(1-_xlfn.XLOOKUP(1,(DESC_PROV[LINEA]=$B$2)*(DESC_PROV[LISTA]=$C$2),DESC_PROV[DESCUENTO])),
   (B13*(1+IFERROR(VLOOKUP($D$2,COLORES[],2,FALSE),0))+E13)
   *(1-_xlfn.XLOOKUP(1,(DESC_PROV[LINEA]=$B$2)*(DESC_PROV[LISTA]=$C$2),DESC_PROV[DESCUENTO]))
   *(1+VLOOKUP($C$2,LISTAS[],5,FALSE))
   *(1+VLOOKUP($C$2,LISTAS[],2,FALSE))
   *(1+VLOOKUP($C$2,LISTAS[],3,FALSE))
)
/5,0)*5,0)</f>
        <v>94290</v>
      </c>
    </row>
    <row r="14" spans="1:11">
      <c r="A14" s="18" t="s">
        <v>158</v>
      </c>
      <c r="B14" s="3">
        <v>28445</v>
      </c>
      <c r="C14" s="3">
        <v>9809</v>
      </c>
      <c r="D14" s="3">
        <v>11108</v>
      </c>
      <c r="E14" s="7">
        <v>3871</v>
      </c>
      <c r="G14" s="21" t="s">
        <v>158</v>
      </c>
      <c r="H14" s="5" cm="1">
        <f t="array" ref="H14">IFERROR(
ROUND(
IF($A$2="COSTO",
   ((B14*(1+IFERROR(VLOOKUP($D$2,COLORES[],2,FALSE),0)))+E14)
   *(1-_xlfn.XLOOKUP(1,(DESC_PROV[LINEA]=$B$2)*(DESC_PROV[LISTA]=$C$2),DESC_PROV[DESCUENTO])),
   ((B14*(1+IFERROR(VLOOKUP($D$2,COLORES[],2,FALSE),0)))+E14)
   *(1-_xlfn.XLOOKUP(1,(DESC_PROV[LINEA]=$B$2)*(DESC_PROV[LISTA]=$C$2),DESC_PROV[DESCUENTO]))
   *(1+VLOOKUP($C$2,LISTAS[],2,FALSE))
   *(1+VLOOKUP($C$2,LISTAS[],3,FALSE))
)
/5,0)*5,0)</f>
        <v>40080</v>
      </c>
      <c r="I14" s="5" cm="1">
        <f t="array" ref="I14">IFERROR(
ROUND(
IF($A$2="COSTO",
   ((B14*(1+IFERROR(VLOOKUP($D$2,COLORES[],2,FALSE),0)))
   + C14
   + E14)
   *(1-_xlfn.XLOOKUP(1,(DESC_PROV[LINEA]=$B$2)*(DESC_PROV[LISTA]=$C$2),DESC_PROV[DESCUENTO])),
   ((B14*(1+IFERROR(VLOOKUP($D$2,COLORES[],2,FALSE),0)))
   + C14
   + E14)
   *(1-_xlfn.XLOOKUP(1,(DESC_PROV[LINEA]=$B$2)*(DESC_PROV[LISTA]=$C$2),DESC_PROV[DESCUENTO]))
   *(1+VLOOKUP($C$2,LISTAS[],2,FALSE))
   *(1+VLOOKUP($C$2,LISTAS[],3,FALSE))
)
/5,0)*5,0)</f>
        <v>52245</v>
      </c>
      <c r="J14" s="5" cm="1">
        <f t="array" ref="J14">IFERROR(
ROUND(
IF($A$2="COSTO",
   (D14*(1+IFERROR(VLOOKUP($D$2,COLORES[],2,FALSE),0)))
   *(1-_xlfn.XLOOKUP(1,(DESC_PROV[LINEA]=$B$2)*(DESC_PROV[LISTA]=$C$2),DESC_PROV[DESCUENTO])),
   (D14*(1+IFERROR(VLOOKUP($D$2,COLORES[],2,FALSE),0)))
   *(1-_xlfn.XLOOKUP(1,(DESC_PROV[LINEA]=$B$2)*(DESC_PROV[LISTA]=$C$2),DESC_PROV[DESCUENTO]))
   *(1+VLOOKUP($C$2,LISTAS[],2,FALSE))
   *(1+VLOOKUP($C$2,LISTAS[],4,FALSE))
)
/5,0)*5,0)</f>
        <v>16955</v>
      </c>
      <c r="K14" s="6" cm="1">
        <f t="array" ref="K14">IFERROR(
ROUND(
IF($A$2="COSTO",
   (B14*(1+IFERROR(VLOOKUP($D$2,COLORES[],2,FALSE),0))+E14)
   *(1+VLOOKUP($C$2,LISTAS[],5,FALSE))
   *(1-_xlfn.XLOOKUP(1,(DESC_PROV[LINEA]=$B$2)*(DESC_PROV[LISTA]=$C$2),DESC_PROV[DESCUENTO])),
   (B14*(1+IFERROR(VLOOKUP($D$2,COLORES[],2,FALSE),0))+E14)
   *(1-_xlfn.XLOOKUP(1,(DESC_PROV[LINEA]=$B$2)*(DESC_PROV[LISTA]=$C$2),DESC_PROV[DESCUENTO]))
   *(1+VLOOKUP($C$2,LISTAS[],5,FALSE))
   *(1+VLOOKUP($C$2,LISTAS[],2,FALSE))
   *(1+VLOOKUP($C$2,LISTAS[],3,FALSE))
)
/5,0)*5,0)</f>
        <v>52100</v>
      </c>
    </row>
    <row r="15" spans="1:11">
      <c r="A15" s="18" t="s">
        <v>160</v>
      </c>
      <c r="B15" s="3">
        <v>34399</v>
      </c>
      <c r="C15" s="3">
        <v>9809</v>
      </c>
      <c r="D15" s="3">
        <v>12768</v>
      </c>
      <c r="E15" s="7">
        <v>5416</v>
      </c>
      <c r="G15" s="21" t="s">
        <v>160</v>
      </c>
      <c r="H15" s="5" cm="1">
        <f t="array" ref="H15">IFERROR(
ROUND(
IF($A$2="COSTO",
   ((B15*(1+IFERROR(VLOOKUP($D$2,COLORES[],2,FALSE),0)))+E15)
   *(1-_xlfn.XLOOKUP(1,(DESC_PROV[LINEA]=$B$2)*(DESC_PROV[LISTA]=$C$2),DESC_PROV[DESCUENTO])),
   ((B15*(1+IFERROR(VLOOKUP($D$2,COLORES[],2,FALSE),0)))+E15)
   *(1-_xlfn.XLOOKUP(1,(DESC_PROV[LINEA]=$B$2)*(DESC_PROV[LISTA]=$C$2),DESC_PROV[DESCUENTO]))
   *(1+VLOOKUP($C$2,LISTAS[],2,FALSE))
   *(1+VLOOKUP($C$2,LISTAS[],3,FALSE))
)
/5,0)*5,0)</f>
        <v>49380</v>
      </c>
      <c r="I15" s="5" cm="1">
        <f t="array" ref="I15">IFERROR(
ROUND(
IF($A$2="COSTO",
   ((B15*(1+IFERROR(VLOOKUP($D$2,COLORES[],2,FALSE),0)))
   + C15
   + E15)
   *(1-_xlfn.XLOOKUP(1,(DESC_PROV[LINEA]=$B$2)*(DESC_PROV[LISTA]=$C$2),DESC_PROV[DESCUENTO])),
   ((B15*(1+IFERROR(VLOOKUP($D$2,COLORES[],2,FALSE),0)))
   + C15
   + E15)
   *(1-_xlfn.XLOOKUP(1,(DESC_PROV[LINEA]=$B$2)*(DESC_PROV[LISTA]=$C$2),DESC_PROV[DESCUENTO]))
   *(1+VLOOKUP($C$2,LISTAS[],2,FALSE))
   *(1+VLOOKUP($C$2,LISTAS[],3,FALSE))
)
/5,0)*5,0)</f>
        <v>61545</v>
      </c>
      <c r="J15" s="5" cm="1">
        <f t="array" ref="J15">IFERROR(
ROUND(
IF($A$2="COSTO",
   (D15*(1+IFERROR(VLOOKUP($D$2,COLORES[],2,FALSE),0)))
   *(1-_xlfn.XLOOKUP(1,(DESC_PROV[LINEA]=$B$2)*(DESC_PROV[LISTA]=$C$2),DESC_PROV[DESCUENTO])),
   (D15*(1+IFERROR(VLOOKUP($D$2,COLORES[],2,FALSE),0)))
   *(1-_xlfn.XLOOKUP(1,(DESC_PROV[LINEA]=$B$2)*(DESC_PROV[LISTA]=$C$2),DESC_PROV[DESCUENTO]))
   *(1+VLOOKUP($C$2,LISTAS[],2,FALSE))
   *(1+VLOOKUP($C$2,LISTAS[],4,FALSE))
)
/5,0)*5,0)</f>
        <v>19490</v>
      </c>
      <c r="K15" s="6" cm="1">
        <f t="array" ref="K15">IFERROR(
ROUND(
IF($A$2="COSTO",
   (B15*(1+IFERROR(VLOOKUP($D$2,COLORES[],2,FALSE),0))+E15)
   *(1+VLOOKUP($C$2,LISTAS[],5,FALSE))
   *(1-_xlfn.XLOOKUP(1,(DESC_PROV[LINEA]=$B$2)*(DESC_PROV[LISTA]=$C$2),DESC_PROV[DESCUENTO])),
   (B15*(1+IFERROR(VLOOKUP($D$2,COLORES[],2,FALSE),0))+E15)
   *(1-_xlfn.XLOOKUP(1,(DESC_PROV[LINEA]=$B$2)*(DESC_PROV[LISTA]=$C$2),DESC_PROV[DESCUENTO]))
   *(1+VLOOKUP($C$2,LISTAS[],5,FALSE))
   *(1+VLOOKUP($C$2,LISTAS[],2,FALSE))
   *(1+VLOOKUP($C$2,LISTAS[],3,FALSE))
)
/5,0)*5,0)</f>
        <v>64190</v>
      </c>
    </row>
    <row r="16" spans="1:11">
      <c r="A16" s="18" t="s">
        <v>162</v>
      </c>
      <c r="B16" s="3">
        <v>37307</v>
      </c>
      <c r="C16" s="3">
        <v>9809</v>
      </c>
      <c r="D16" s="3">
        <v>14428</v>
      </c>
      <c r="E16" s="7">
        <v>6967</v>
      </c>
      <c r="G16" s="21" t="s">
        <v>162</v>
      </c>
      <c r="H16" s="5" cm="1">
        <f t="array" ref="H16">IFERROR(
ROUND(
IF($A$2="COSTO",
   ((B16*(1+IFERROR(VLOOKUP($D$2,COLORES[],2,FALSE),0)))+E16)
   *(1-_xlfn.XLOOKUP(1,(DESC_PROV[LINEA]=$B$2)*(DESC_PROV[LISTA]=$C$2),DESC_PROV[DESCUENTO])),
   ((B16*(1+IFERROR(VLOOKUP($D$2,COLORES[],2,FALSE),0)))+E16)
   *(1-_xlfn.XLOOKUP(1,(DESC_PROV[LINEA]=$B$2)*(DESC_PROV[LISTA]=$C$2),DESC_PROV[DESCUENTO]))
   *(1+VLOOKUP($C$2,LISTAS[],2,FALSE))
   *(1+VLOOKUP($C$2,LISTAS[],3,FALSE))
)
/5,0)*5,0)</f>
        <v>54910</v>
      </c>
      <c r="I16" s="5" cm="1">
        <f t="array" ref="I16">IFERROR(
ROUND(
IF($A$2="COSTO",
   ((B16*(1+IFERROR(VLOOKUP($D$2,COLORES[],2,FALSE),0)))
   + C16
   + E16)
   *(1-_xlfn.XLOOKUP(1,(DESC_PROV[LINEA]=$B$2)*(DESC_PROV[LISTA]=$C$2),DESC_PROV[DESCUENTO])),
   ((B16*(1+IFERROR(VLOOKUP($D$2,COLORES[],2,FALSE),0)))
   + C16
   + E16)
   *(1-_xlfn.XLOOKUP(1,(DESC_PROV[LINEA]=$B$2)*(DESC_PROV[LISTA]=$C$2),DESC_PROV[DESCUENTO]))
   *(1+VLOOKUP($C$2,LISTAS[],2,FALSE))
   *(1+VLOOKUP($C$2,LISTAS[],3,FALSE))
)
/5,0)*5,0)</f>
        <v>67075</v>
      </c>
      <c r="J16" s="5" cm="1">
        <f t="array" ref="J16">IFERROR(
ROUND(
IF($A$2="COSTO",
   (D16*(1+IFERROR(VLOOKUP($D$2,COLORES[],2,FALSE),0)))
   *(1-_xlfn.XLOOKUP(1,(DESC_PROV[LINEA]=$B$2)*(DESC_PROV[LISTA]=$C$2),DESC_PROV[DESCUENTO])),
   (D16*(1+IFERROR(VLOOKUP($D$2,COLORES[],2,FALSE),0)))
   *(1-_xlfn.XLOOKUP(1,(DESC_PROV[LINEA]=$B$2)*(DESC_PROV[LISTA]=$C$2),DESC_PROV[DESCUENTO]))
   *(1+VLOOKUP($C$2,LISTAS[],2,FALSE))
   *(1+VLOOKUP($C$2,LISTAS[],4,FALSE))
)
/5,0)*5,0)</f>
        <v>22025</v>
      </c>
      <c r="K16" s="6" cm="1">
        <f t="array" ref="K16">IFERROR(
ROUND(
IF($A$2="COSTO",
   (B16*(1+IFERROR(VLOOKUP($D$2,COLORES[],2,FALSE),0))+E16)
   *(1+VLOOKUP($C$2,LISTAS[],5,FALSE))
   *(1-_xlfn.XLOOKUP(1,(DESC_PROV[LINEA]=$B$2)*(DESC_PROV[LISTA]=$C$2),DESC_PROV[DESCUENTO])),
   (B16*(1+IFERROR(VLOOKUP($D$2,COLORES[],2,FALSE),0))+E16)
   *(1-_xlfn.XLOOKUP(1,(DESC_PROV[LINEA]=$B$2)*(DESC_PROV[LISTA]=$C$2),DESC_PROV[DESCUENTO]))
   *(1+VLOOKUP($C$2,LISTAS[],5,FALSE))
   *(1+VLOOKUP($C$2,LISTAS[],2,FALSE))
   *(1+VLOOKUP($C$2,LISTAS[],3,FALSE))
)
/5,0)*5,0)</f>
        <v>71380</v>
      </c>
    </row>
    <row r="17" spans="1:11">
      <c r="A17" s="18" t="s">
        <v>271</v>
      </c>
      <c r="B17" s="3">
        <v>40485</v>
      </c>
      <c r="C17" s="3">
        <v>9809</v>
      </c>
      <c r="D17" s="3">
        <v>16088</v>
      </c>
      <c r="E17" s="7">
        <v>8512</v>
      </c>
      <c r="G17" s="21" t="s">
        <v>271</v>
      </c>
      <c r="H17" s="5" cm="1">
        <f t="array" ref="H17">IFERROR(
ROUND(
IF($A$2="COSTO",
   ((B17*(1+IFERROR(VLOOKUP($D$2,COLORES[],2,FALSE),0)))+E17)
   *(1-_xlfn.XLOOKUP(1,(DESC_PROV[LINEA]=$B$2)*(DESC_PROV[LISTA]=$C$2),DESC_PROV[DESCUENTO])),
   ((B17*(1+IFERROR(VLOOKUP($D$2,COLORES[],2,FALSE),0)))+E17)
   *(1-_xlfn.XLOOKUP(1,(DESC_PROV[LINEA]=$B$2)*(DESC_PROV[LISTA]=$C$2),DESC_PROV[DESCUENTO]))
   *(1+VLOOKUP($C$2,LISTAS[],2,FALSE))
   *(1+VLOOKUP($C$2,LISTAS[],3,FALSE))
)
/5,0)*5,0)</f>
        <v>60765</v>
      </c>
      <c r="I17" s="5" cm="1">
        <f t="array" ref="I17">IFERROR(
ROUND(
IF($A$2="COSTO",
   ((B17*(1+IFERROR(VLOOKUP($D$2,COLORES[],2,FALSE),0)))
   + C17
   + E17)
   *(1-_xlfn.XLOOKUP(1,(DESC_PROV[LINEA]=$B$2)*(DESC_PROV[LISTA]=$C$2),DESC_PROV[DESCUENTO])),
   ((B17*(1+IFERROR(VLOOKUP($D$2,COLORES[],2,FALSE),0)))
   + C17
   + E17)
   *(1-_xlfn.XLOOKUP(1,(DESC_PROV[LINEA]=$B$2)*(DESC_PROV[LISTA]=$C$2),DESC_PROV[DESCUENTO]))
   *(1+VLOOKUP($C$2,LISTAS[],2,FALSE))
   *(1+VLOOKUP($C$2,LISTAS[],3,FALSE))
)
/5,0)*5,0)</f>
        <v>72930</v>
      </c>
      <c r="J17" s="5" cm="1">
        <f t="array" ref="J17">IFERROR(
ROUND(
IF($A$2="COSTO",
   (D17*(1+IFERROR(VLOOKUP($D$2,COLORES[],2,FALSE),0)))
   *(1-_xlfn.XLOOKUP(1,(DESC_PROV[LINEA]=$B$2)*(DESC_PROV[LISTA]=$C$2),DESC_PROV[DESCUENTO])),
   (D17*(1+IFERROR(VLOOKUP($D$2,COLORES[],2,FALSE),0)))
   *(1-_xlfn.XLOOKUP(1,(DESC_PROV[LINEA]=$B$2)*(DESC_PROV[LISTA]=$C$2),DESC_PROV[DESCUENTO]))
   *(1+VLOOKUP($C$2,LISTAS[],2,FALSE))
   *(1+VLOOKUP($C$2,LISTAS[],4,FALSE))
)
/5,0)*5,0)</f>
        <v>24555</v>
      </c>
      <c r="K17" s="6" cm="1">
        <f t="array" ref="K17">IFERROR(
ROUND(
IF($A$2="COSTO",
   (B17*(1+IFERROR(VLOOKUP($D$2,COLORES[],2,FALSE),0))+E17)
   *(1+VLOOKUP($C$2,LISTAS[],5,FALSE))
   *(1-_xlfn.XLOOKUP(1,(DESC_PROV[LINEA]=$B$2)*(DESC_PROV[LISTA]=$C$2),DESC_PROV[DESCUENTO])),
   (B17*(1+IFERROR(VLOOKUP($D$2,COLORES[],2,FALSE),0))+E17)
   *(1-_xlfn.XLOOKUP(1,(DESC_PROV[LINEA]=$B$2)*(DESC_PROV[LISTA]=$C$2),DESC_PROV[DESCUENTO]))
   *(1+VLOOKUP($C$2,LISTAS[],5,FALSE))
   *(1+VLOOKUP($C$2,LISTAS[],2,FALSE))
   *(1+VLOOKUP($C$2,LISTAS[],3,FALSE))
)
/5,0)*5,0)</f>
        <v>78995</v>
      </c>
    </row>
    <row r="18" spans="1:11">
      <c r="A18" s="18" t="s">
        <v>272</v>
      </c>
      <c r="B18" s="3">
        <v>45975</v>
      </c>
      <c r="C18" s="3">
        <v>9809</v>
      </c>
      <c r="D18" s="3">
        <v>18577</v>
      </c>
      <c r="E18" s="7">
        <v>10838</v>
      </c>
      <c r="G18" s="21" t="s">
        <v>272</v>
      </c>
      <c r="H18" s="5" cm="1">
        <f t="array" ref="H18">IFERROR(
ROUND(
IF($A$2="COSTO",
   ((B18*(1+IFERROR(VLOOKUP($D$2,COLORES[],2,FALSE),0)))+E18)
   *(1-_xlfn.XLOOKUP(1,(DESC_PROV[LINEA]=$B$2)*(DESC_PROV[LISTA]=$C$2),DESC_PROV[DESCUENTO])),
   ((B18*(1+IFERROR(VLOOKUP($D$2,COLORES[],2,FALSE),0)))+E18)
   *(1-_xlfn.XLOOKUP(1,(DESC_PROV[LINEA]=$B$2)*(DESC_PROV[LISTA]=$C$2),DESC_PROV[DESCUENTO]))
   *(1+VLOOKUP($C$2,LISTAS[],2,FALSE))
   *(1+VLOOKUP($C$2,LISTAS[],3,FALSE))
)
/5,0)*5,0)</f>
        <v>70460</v>
      </c>
      <c r="I18" s="5" cm="1">
        <f t="array" ref="I18">IFERROR(
ROUND(
IF($A$2="COSTO",
   ((B18*(1+IFERROR(VLOOKUP($D$2,COLORES[],2,FALSE),0)))
   + C18
   + E18)
   *(1-_xlfn.XLOOKUP(1,(DESC_PROV[LINEA]=$B$2)*(DESC_PROV[LISTA]=$C$2),DESC_PROV[DESCUENTO])),
   ((B18*(1+IFERROR(VLOOKUP($D$2,COLORES[],2,FALSE),0)))
   + C18
   + E18)
   *(1-_xlfn.XLOOKUP(1,(DESC_PROV[LINEA]=$B$2)*(DESC_PROV[LISTA]=$C$2),DESC_PROV[DESCUENTO]))
   *(1+VLOOKUP($C$2,LISTAS[],2,FALSE))
   *(1+VLOOKUP($C$2,LISTAS[],3,FALSE))
)
/5,0)*5,0)</f>
        <v>82625</v>
      </c>
      <c r="J18" s="5" cm="1">
        <f t="array" ref="J18">IFERROR(
ROUND(
IF($A$2="COSTO",
   (D18*(1+IFERROR(VLOOKUP($D$2,COLORES[],2,FALSE),0)))
   *(1-_xlfn.XLOOKUP(1,(DESC_PROV[LINEA]=$B$2)*(DESC_PROV[LISTA]=$C$2),DESC_PROV[DESCUENTO])),
   (D18*(1+IFERROR(VLOOKUP($D$2,COLORES[],2,FALSE),0)))
   *(1-_xlfn.XLOOKUP(1,(DESC_PROV[LINEA]=$B$2)*(DESC_PROV[LISTA]=$C$2),DESC_PROV[DESCUENTO]))
   *(1+VLOOKUP($C$2,LISTAS[],2,FALSE))
   *(1+VLOOKUP($C$2,LISTAS[],4,FALSE))
)
/5,0)*5,0)</f>
        <v>28355</v>
      </c>
      <c r="K18" s="6" cm="1">
        <f t="array" ref="K18">IFERROR(
ROUND(
IF($A$2="COSTO",
   (B18*(1+IFERROR(VLOOKUP($D$2,COLORES[],2,FALSE),0))+E18)
   *(1+VLOOKUP($C$2,LISTAS[],5,FALSE))
   *(1-_xlfn.XLOOKUP(1,(DESC_PROV[LINEA]=$B$2)*(DESC_PROV[LISTA]=$C$2),DESC_PROV[DESCUENTO])),
   (B18*(1+IFERROR(VLOOKUP($D$2,COLORES[],2,FALSE),0))+E18)
   *(1-_xlfn.XLOOKUP(1,(DESC_PROV[LINEA]=$B$2)*(DESC_PROV[LISTA]=$C$2),DESC_PROV[DESCUENTO]))
   *(1+VLOOKUP($C$2,LISTAS[],5,FALSE))
   *(1+VLOOKUP($C$2,LISTAS[],2,FALSE))
   *(1+VLOOKUP($C$2,LISTAS[],3,FALSE))
)
/5,0)*5,0)</f>
        <v>91595</v>
      </c>
    </row>
    <row r="19" spans="1:11">
      <c r="A19" s="18" t="s">
        <v>273</v>
      </c>
      <c r="B19" s="3">
        <v>50407</v>
      </c>
      <c r="C19" s="3">
        <v>9809</v>
      </c>
      <c r="D19" s="3">
        <v>21067</v>
      </c>
      <c r="E19" s="7">
        <v>13159</v>
      </c>
      <c r="G19" s="21" t="s">
        <v>273</v>
      </c>
      <c r="H19" s="5" cm="1">
        <f t="array" ref="H19">IFERROR(
ROUND(
IF($A$2="COSTO",
   ((B19*(1+IFERROR(VLOOKUP($D$2,COLORES[],2,FALSE),0)))+E19)
   *(1-_xlfn.XLOOKUP(1,(DESC_PROV[LINEA]=$B$2)*(DESC_PROV[LISTA]=$C$2),DESC_PROV[DESCUENTO])),
   ((B19*(1+IFERROR(VLOOKUP($D$2,COLORES[],2,FALSE),0)))+E19)
   *(1-_xlfn.XLOOKUP(1,(DESC_PROV[LINEA]=$B$2)*(DESC_PROV[LISTA]=$C$2),DESC_PROV[DESCUENTO]))
   *(1+VLOOKUP($C$2,LISTAS[],2,FALSE))
   *(1+VLOOKUP($C$2,LISTAS[],3,FALSE))
)
/5,0)*5,0)</f>
        <v>78835</v>
      </c>
      <c r="I19" s="5" cm="1">
        <f t="array" ref="I19">IFERROR(
ROUND(
IF($A$2="COSTO",
   ((B19*(1+IFERROR(VLOOKUP($D$2,COLORES[],2,FALSE),0)))
   + C19
   + E19)
   *(1-_xlfn.XLOOKUP(1,(DESC_PROV[LINEA]=$B$2)*(DESC_PROV[LISTA]=$C$2),DESC_PROV[DESCUENTO])),
   ((B19*(1+IFERROR(VLOOKUP($D$2,COLORES[],2,FALSE),0)))
   + C19
   + E19)
   *(1-_xlfn.XLOOKUP(1,(DESC_PROV[LINEA]=$B$2)*(DESC_PROV[LISTA]=$C$2),DESC_PROV[DESCUENTO]))
   *(1+VLOOKUP($C$2,LISTAS[],2,FALSE))
   *(1+VLOOKUP($C$2,LISTAS[],3,FALSE))
)
/5,0)*5,0)</f>
        <v>91000</v>
      </c>
      <c r="J19" s="5" cm="1">
        <f t="array" ref="J19">IFERROR(
ROUND(
IF($A$2="COSTO",
   (D19*(1+IFERROR(VLOOKUP($D$2,COLORES[],2,FALSE),0)))
   *(1-_xlfn.XLOOKUP(1,(DESC_PROV[LINEA]=$B$2)*(DESC_PROV[LISTA]=$C$2),DESC_PROV[DESCUENTO])),
   (D19*(1+IFERROR(VLOOKUP($D$2,COLORES[],2,FALSE),0)))
   *(1-_xlfn.XLOOKUP(1,(DESC_PROV[LINEA]=$B$2)*(DESC_PROV[LISTA]=$C$2),DESC_PROV[DESCUENTO]))
   *(1+VLOOKUP($C$2,LISTAS[],2,FALSE))
   *(1+VLOOKUP($C$2,LISTAS[],4,FALSE))
)
/5,0)*5,0)</f>
        <v>32155</v>
      </c>
      <c r="K19" s="6" cm="1">
        <f t="array" ref="K19">IFERROR(
ROUND(
IF($A$2="COSTO",
   (B19*(1+IFERROR(VLOOKUP($D$2,COLORES[],2,FALSE),0))+E19)
   *(1+VLOOKUP($C$2,LISTAS[],5,FALSE))
   *(1-_xlfn.XLOOKUP(1,(DESC_PROV[LINEA]=$B$2)*(DESC_PROV[LISTA]=$C$2),DESC_PROV[DESCUENTO])),
   (B19*(1+IFERROR(VLOOKUP($D$2,COLORES[],2,FALSE),0))+E19)
   *(1-_xlfn.XLOOKUP(1,(DESC_PROV[LINEA]=$B$2)*(DESC_PROV[LISTA]=$C$2),DESC_PROV[DESCUENTO]))
   *(1+VLOOKUP($C$2,LISTAS[],5,FALSE))
   *(1+VLOOKUP($C$2,LISTAS[],2,FALSE))
   *(1+VLOOKUP($C$2,LISTAS[],3,FALSE))
)
/5,0)*5,0)</f>
        <v>102485</v>
      </c>
    </row>
    <row r="20" spans="1:11">
      <c r="A20" s="18" t="s">
        <v>274</v>
      </c>
      <c r="B20" s="3">
        <v>57656</v>
      </c>
      <c r="C20" s="3">
        <v>9809</v>
      </c>
      <c r="D20" s="3">
        <v>22727</v>
      </c>
      <c r="E20" s="7">
        <v>14704</v>
      </c>
      <c r="G20" s="21" t="s">
        <v>274</v>
      </c>
      <c r="H20" s="5" cm="1">
        <f t="array" ref="H20">IFERROR(
ROUND(
IF($A$2="COSTO",
   ((B20*(1+IFERROR(VLOOKUP($D$2,COLORES[],2,FALSE),0)))+E20)
   *(1-_xlfn.XLOOKUP(1,(DESC_PROV[LINEA]=$B$2)*(DESC_PROV[LISTA]=$C$2),DESC_PROV[DESCUENTO])),
   ((B20*(1+IFERROR(VLOOKUP($D$2,COLORES[],2,FALSE),0)))+E20)
   *(1-_xlfn.XLOOKUP(1,(DESC_PROV[LINEA]=$B$2)*(DESC_PROV[LISTA]=$C$2),DESC_PROV[DESCUENTO]))
   *(1+VLOOKUP($C$2,LISTAS[],2,FALSE))
   *(1+VLOOKUP($C$2,LISTAS[],3,FALSE))
)
/5,0)*5,0)</f>
        <v>89740</v>
      </c>
      <c r="I20" s="5" cm="1">
        <f t="array" ref="I20">IFERROR(
ROUND(
IF($A$2="COSTO",
   ((B20*(1+IFERROR(VLOOKUP($D$2,COLORES[],2,FALSE),0)))
   + C20
   + E20)
   *(1-_xlfn.XLOOKUP(1,(DESC_PROV[LINEA]=$B$2)*(DESC_PROV[LISTA]=$C$2),DESC_PROV[DESCUENTO])),
   ((B20*(1+IFERROR(VLOOKUP($D$2,COLORES[],2,FALSE),0)))
   + C20
   + E20)
   *(1-_xlfn.XLOOKUP(1,(DESC_PROV[LINEA]=$B$2)*(DESC_PROV[LISTA]=$C$2),DESC_PROV[DESCUENTO]))
   *(1+VLOOKUP($C$2,LISTAS[],2,FALSE))
   *(1+VLOOKUP($C$2,LISTAS[],3,FALSE))
)
/5,0)*5,0)</f>
        <v>101905</v>
      </c>
      <c r="J20" s="5" cm="1">
        <f t="array" ref="J20">IFERROR(
ROUND(
IF($A$2="COSTO",
   (D20*(1+IFERROR(VLOOKUP($D$2,COLORES[],2,FALSE),0)))
   *(1-_xlfn.XLOOKUP(1,(DESC_PROV[LINEA]=$B$2)*(DESC_PROV[LISTA]=$C$2),DESC_PROV[DESCUENTO])),
   (D20*(1+IFERROR(VLOOKUP($D$2,COLORES[],2,FALSE),0)))
   *(1-_xlfn.XLOOKUP(1,(DESC_PROV[LINEA]=$B$2)*(DESC_PROV[LISTA]=$C$2),DESC_PROV[DESCUENTO]))
   *(1+VLOOKUP($C$2,LISTAS[],2,FALSE))
   *(1+VLOOKUP($C$2,LISTAS[],4,FALSE))
)
/5,0)*5,0)</f>
        <v>34690</v>
      </c>
      <c r="K20" s="6" cm="1">
        <f t="array" ref="K20">IFERROR(
ROUND(
IF($A$2="COSTO",
   (B20*(1+IFERROR(VLOOKUP($D$2,COLORES[],2,FALSE),0))+E20)
   *(1+VLOOKUP($C$2,LISTAS[],5,FALSE))
   *(1-_xlfn.XLOOKUP(1,(DESC_PROV[LINEA]=$B$2)*(DESC_PROV[LISTA]=$C$2),DESC_PROV[DESCUENTO])),
   (B20*(1+IFERROR(VLOOKUP($D$2,COLORES[],2,FALSE),0))+E20)
   *(1-_xlfn.XLOOKUP(1,(DESC_PROV[LINEA]=$B$2)*(DESC_PROV[LISTA]=$C$2),DESC_PROV[DESCUENTO]))
   *(1+VLOOKUP($C$2,LISTAS[],5,FALSE))
   *(1+VLOOKUP($C$2,LISTAS[],2,FALSE))
   *(1+VLOOKUP($C$2,LISTAS[],3,FALSE))
)
/5,0)*5,0)</f>
        <v>116665</v>
      </c>
    </row>
    <row r="21" spans="1:11">
      <c r="A21" s="18" t="s">
        <v>175</v>
      </c>
      <c r="B21" s="3">
        <v>44938</v>
      </c>
      <c r="C21" s="3">
        <v>13079</v>
      </c>
      <c r="D21" s="3">
        <v>17535</v>
      </c>
      <c r="E21" s="7">
        <v>9752</v>
      </c>
      <c r="G21" s="21" t="s">
        <v>175</v>
      </c>
      <c r="H21" s="5" cm="1">
        <f t="array" ref="H21">IFERROR(
ROUND(
IF($A$2="COSTO",
   ((B21*(1+IFERROR(VLOOKUP($D$2,COLORES[],2,FALSE),0)))+E21)
   *(1-_xlfn.XLOOKUP(1,(DESC_PROV[LINEA]=$B$2)*(DESC_PROV[LISTA]=$C$2),DESC_PROV[DESCUENTO])),
   ((B21*(1+IFERROR(VLOOKUP($D$2,COLORES[],2,FALSE),0)))+E21)
   *(1-_xlfn.XLOOKUP(1,(DESC_PROV[LINEA]=$B$2)*(DESC_PROV[LISTA]=$C$2),DESC_PROV[DESCUENTO]))
   *(1+VLOOKUP($C$2,LISTAS[],2,FALSE))
   *(1+VLOOKUP($C$2,LISTAS[],3,FALSE))
)
/5,0)*5,0)</f>
        <v>67825</v>
      </c>
      <c r="I21" s="5" cm="1">
        <f t="array" ref="I21">IFERROR(
ROUND(
IF($A$2="COSTO",
   ((B21*(1+IFERROR(VLOOKUP($D$2,COLORES[],2,FALSE),0)))
   + C21
   + E21)
   *(1-_xlfn.XLOOKUP(1,(DESC_PROV[LINEA]=$B$2)*(DESC_PROV[LISTA]=$C$2),DESC_PROV[DESCUENTO])),
   ((B21*(1+IFERROR(VLOOKUP($D$2,COLORES[],2,FALSE),0)))
   + C21
   + E21)
   *(1-_xlfn.XLOOKUP(1,(DESC_PROV[LINEA]=$B$2)*(DESC_PROV[LISTA]=$C$2),DESC_PROV[DESCUENTO]))
   *(1+VLOOKUP($C$2,LISTAS[],2,FALSE))
   *(1+VLOOKUP($C$2,LISTAS[],3,FALSE))
)
/5,0)*5,0)</f>
        <v>84045</v>
      </c>
      <c r="J21" s="5" cm="1">
        <f t="array" ref="J21">IFERROR(
ROUND(
IF($A$2="COSTO",
   (D21*(1+IFERROR(VLOOKUP($D$2,COLORES[],2,FALSE),0)))
   *(1-_xlfn.XLOOKUP(1,(DESC_PROV[LINEA]=$B$2)*(DESC_PROV[LISTA]=$C$2),DESC_PROV[DESCUENTO])),
   (D21*(1+IFERROR(VLOOKUP($D$2,COLORES[],2,FALSE),0)))
   *(1-_xlfn.XLOOKUP(1,(DESC_PROV[LINEA]=$B$2)*(DESC_PROV[LISTA]=$C$2),DESC_PROV[DESCUENTO]))
   *(1+VLOOKUP($C$2,LISTAS[],2,FALSE))
   *(1+VLOOKUP($C$2,LISTAS[],4,FALSE))
)
/5,0)*5,0)</f>
        <v>26765</v>
      </c>
      <c r="K21" s="6" cm="1">
        <f t="array" ref="K21">IFERROR(
ROUND(
IF($A$2="COSTO",
   (B21*(1+IFERROR(VLOOKUP($D$2,COLORES[],2,FALSE),0))+E21)
   *(1+VLOOKUP($C$2,LISTAS[],5,FALSE))
   *(1-_xlfn.XLOOKUP(1,(DESC_PROV[LINEA]=$B$2)*(DESC_PROV[LISTA]=$C$2),DESC_PROV[DESCUENTO])),
   (B21*(1+IFERROR(VLOOKUP($D$2,COLORES[],2,FALSE),0))+E21)
   *(1-_xlfn.XLOOKUP(1,(DESC_PROV[LINEA]=$B$2)*(DESC_PROV[LISTA]=$C$2),DESC_PROV[DESCUENTO]))
   *(1+VLOOKUP($C$2,LISTAS[],5,FALSE))
   *(1+VLOOKUP($C$2,LISTAS[],2,FALSE))
   *(1+VLOOKUP($C$2,LISTAS[],3,FALSE))
)
/5,0)*5,0)</f>
        <v>88175</v>
      </c>
    </row>
    <row r="22" spans="1:11">
      <c r="A22" s="18" t="s">
        <v>275</v>
      </c>
      <c r="B22" s="3">
        <v>47719</v>
      </c>
      <c r="C22" s="3">
        <v>13079</v>
      </c>
      <c r="D22" s="3">
        <v>19407</v>
      </c>
      <c r="E22" s="7">
        <v>11919</v>
      </c>
      <c r="G22" s="21" t="s">
        <v>275</v>
      </c>
      <c r="H22" s="5" cm="1">
        <f t="array" ref="H22">IFERROR(
ROUND(
IF($A$2="COSTO",
   ((B22*(1+IFERROR(VLOOKUP($D$2,COLORES[],2,FALSE),0)))+E22)
   *(1-_xlfn.XLOOKUP(1,(DESC_PROV[LINEA]=$B$2)*(DESC_PROV[LISTA]=$C$2),DESC_PROV[DESCUENTO])),
   ((B22*(1+IFERROR(VLOOKUP($D$2,COLORES[],2,FALSE),0)))+E22)
   *(1-_xlfn.XLOOKUP(1,(DESC_PROV[LINEA]=$B$2)*(DESC_PROV[LISTA]=$C$2),DESC_PROV[DESCUENTO]))
   *(1+VLOOKUP($C$2,LISTAS[],2,FALSE))
   *(1+VLOOKUP($C$2,LISTAS[],3,FALSE))
)
/5,0)*5,0)</f>
        <v>73965</v>
      </c>
      <c r="I22" s="5" cm="1">
        <f t="array" ref="I22">IFERROR(
ROUND(
IF($A$2="COSTO",
   ((B22*(1+IFERROR(VLOOKUP($D$2,COLORES[],2,FALSE),0)))
   + C22
   + E22)
   *(1-_xlfn.XLOOKUP(1,(DESC_PROV[LINEA]=$B$2)*(DESC_PROV[LISTA]=$C$2),DESC_PROV[DESCUENTO])),
   ((B22*(1+IFERROR(VLOOKUP($D$2,COLORES[],2,FALSE),0)))
   + C22
   + E22)
   *(1-_xlfn.XLOOKUP(1,(DESC_PROV[LINEA]=$B$2)*(DESC_PROV[LISTA]=$C$2),DESC_PROV[DESCUENTO]))
   *(1+VLOOKUP($C$2,LISTAS[],2,FALSE))
   *(1+VLOOKUP($C$2,LISTAS[],3,FALSE))
)
/5,0)*5,0)</f>
        <v>90185</v>
      </c>
      <c r="J22" s="5" cm="1">
        <f t="array" ref="J22">IFERROR(
ROUND(
IF($A$2="COSTO",
   (D22*(1+IFERROR(VLOOKUP($D$2,COLORES[],2,FALSE),0)))
   *(1-_xlfn.XLOOKUP(1,(DESC_PROV[LINEA]=$B$2)*(DESC_PROV[LISTA]=$C$2),DESC_PROV[DESCUENTO])),
   (D22*(1+IFERROR(VLOOKUP($D$2,COLORES[],2,FALSE),0)))
   *(1-_xlfn.XLOOKUP(1,(DESC_PROV[LINEA]=$B$2)*(DESC_PROV[LISTA]=$C$2),DESC_PROV[DESCUENTO]))
   *(1+VLOOKUP($C$2,LISTAS[],2,FALSE))
   *(1+VLOOKUP($C$2,LISTAS[],4,FALSE))
)
/5,0)*5,0)</f>
        <v>29625</v>
      </c>
      <c r="K22" s="6" cm="1">
        <f t="array" ref="K22">IFERROR(
ROUND(
IF($A$2="COSTO",
   (B22*(1+IFERROR(VLOOKUP($D$2,COLORES[],2,FALSE),0))+E22)
   *(1+VLOOKUP($C$2,LISTAS[],5,FALSE))
   *(1-_xlfn.XLOOKUP(1,(DESC_PROV[LINEA]=$B$2)*(DESC_PROV[LISTA]=$C$2),DESC_PROV[DESCUENTO])),
   (B22*(1+IFERROR(VLOOKUP($D$2,COLORES[],2,FALSE),0))+E22)
   *(1-_xlfn.XLOOKUP(1,(DESC_PROV[LINEA]=$B$2)*(DESC_PROV[LISTA]=$C$2),DESC_PROV[DESCUENTO]))
   *(1+VLOOKUP($C$2,LISTAS[],5,FALSE))
   *(1+VLOOKUP($C$2,LISTAS[],2,FALSE))
   *(1+VLOOKUP($C$2,LISTAS[],3,FALSE))
)
/5,0)*5,0)</f>
        <v>96150</v>
      </c>
    </row>
    <row r="23" spans="1:11">
      <c r="A23" s="18" t="s">
        <v>276</v>
      </c>
      <c r="B23" s="3">
        <v>53209</v>
      </c>
      <c r="C23" s="3">
        <v>13079</v>
      </c>
      <c r="D23" s="3">
        <v>22216</v>
      </c>
      <c r="E23" s="7">
        <v>15168</v>
      </c>
      <c r="G23" s="21" t="s">
        <v>276</v>
      </c>
      <c r="H23" s="5" cm="1">
        <f t="array" ref="H23">IFERROR(
ROUND(
IF($A$2="COSTO",
   ((B23*(1+IFERROR(VLOOKUP($D$2,COLORES[],2,FALSE),0)))+E23)
   *(1-_xlfn.XLOOKUP(1,(DESC_PROV[LINEA]=$B$2)*(DESC_PROV[LISTA]=$C$2),DESC_PROV[DESCUENTO])),
   ((B23*(1+IFERROR(VLOOKUP($D$2,COLORES[],2,FALSE),0)))+E23)
   *(1-_xlfn.XLOOKUP(1,(DESC_PROV[LINEA]=$B$2)*(DESC_PROV[LISTA]=$C$2),DESC_PROV[DESCUENTO]))
   *(1+VLOOKUP($C$2,LISTAS[],2,FALSE))
   *(1+VLOOKUP($C$2,LISTAS[],3,FALSE))
)
/5,0)*5,0)</f>
        <v>84800</v>
      </c>
      <c r="I23" s="5" cm="1">
        <f t="array" ref="I23">IFERROR(
ROUND(
IF($A$2="COSTO",
   ((B23*(1+IFERROR(VLOOKUP($D$2,COLORES[],2,FALSE),0)))
   + C23
   + E23)
   *(1-_xlfn.XLOOKUP(1,(DESC_PROV[LINEA]=$B$2)*(DESC_PROV[LISTA]=$C$2),DESC_PROV[DESCUENTO])),
   ((B23*(1+IFERROR(VLOOKUP($D$2,COLORES[],2,FALSE),0)))
   + C23
   + E23)
   *(1-_xlfn.XLOOKUP(1,(DESC_PROV[LINEA]=$B$2)*(DESC_PROV[LISTA]=$C$2),DESC_PROV[DESCUENTO]))
   *(1+VLOOKUP($C$2,LISTAS[],2,FALSE))
   *(1+VLOOKUP($C$2,LISTAS[],3,FALSE))
)
/5,0)*5,0)</f>
        <v>101020</v>
      </c>
      <c r="J23" s="5" cm="1">
        <f t="array" ref="J23">IFERROR(
ROUND(
IF($A$2="COSTO",
   (D23*(1+IFERROR(VLOOKUP($D$2,COLORES[],2,FALSE),0)))
   *(1-_xlfn.XLOOKUP(1,(DESC_PROV[LINEA]=$B$2)*(DESC_PROV[LISTA]=$C$2),DESC_PROV[DESCUENTO])),
   (D23*(1+IFERROR(VLOOKUP($D$2,COLORES[],2,FALSE),0)))
   *(1-_xlfn.XLOOKUP(1,(DESC_PROV[LINEA]=$B$2)*(DESC_PROV[LISTA]=$C$2),DESC_PROV[DESCUENTO]))
   *(1+VLOOKUP($C$2,LISTAS[],2,FALSE))
   *(1+VLOOKUP($C$2,LISTAS[],4,FALSE))
)
/5,0)*5,0)</f>
        <v>33910</v>
      </c>
      <c r="K23" s="6" cm="1">
        <f t="array" ref="K23">IFERROR(
ROUND(
IF($A$2="COSTO",
   (B23*(1+IFERROR(VLOOKUP($D$2,COLORES[],2,FALSE),0))+E23)
   *(1+VLOOKUP($C$2,LISTAS[],5,FALSE))
   *(1-_xlfn.XLOOKUP(1,(DESC_PROV[LINEA]=$B$2)*(DESC_PROV[LISTA]=$C$2),DESC_PROV[DESCUENTO])),
   (B23*(1+IFERROR(VLOOKUP($D$2,COLORES[],2,FALSE),0))+E23)
   *(1-_xlfn.XLOOKUP(1,(DESC_PROV[LINEA]=$B$2)*(DESC_PROV[LISTA]=$C$2),DESC_PROV[DESCUENTO]))
   *(1+VLOOKUP($C$2,LISTAS[],5,FALSE))
   *(1+VLOOKUP($C$2,LISTAS[],2,FALSE))
   *(1+VLOOKUP($C$2,LISTAS[],3,FALSE))
)
/5,0)*5,0)</f>
        <v>110240</v>
      </c>
    </row>
    <row r="24" spans="1:11">
      <c r="A24" s="18" t="s">
        <v>277</v>
      </c>
      <c r="B24" s="3">
        <v>57112</v>
      </c>
      <c r="C24" s="3">
        <v>13079</v>
      </c>
      <c r="D24" s="3">
        <v>25025</v>
      </c>
      <c r="E24" s="7">
        <v>18422</v>
      </c>
      <c r="G24" s="21" t="s">
        <v>277</v>
      </c>
      <c r="H24" s="5" cm="1">
        <f t="array" ref="H24">IFERROR(
ROUND(
IF($A$2="COSTO",
   ((B24*(1+IFERROR(VLOOKUP($D$2,COLORES[],2,FALSE),0)))+E24)
   *(1-_xlfn.XLOOKUP(1,(DESC_PROV[LINEA]=$B$2)*(DESC_PROV[LISTA]=$C$2),DESC_PROV[DESCUENTO])),
   ((B24*(1+IFERROR(VLOOKUP($D$2,COLORES[],2,FALSE),0)))+E24)
   *(1-_xlfn.XLOOKUP(1,(DESC_PROV[LINEA]=$B$2)*(DESC_PROV[LISTA]=$C$2),DESC_PROV[DESCUENTO]))
   *(1+VLOOKUP($C$2,LISTAS[],2,FALSE))
   *(1+VLOOKUP($C$2,LISTAS[],3,FALSE))
)
/5,0)*5,0)</f>
        <v>93675</v>
      </c>
      <c r="I24" s="5" cm="1">
        <f t="array" ref="I24">IFERROR(
ROUND(
IF($A$2="COSTO",
   ((B24*(1+IFERROR(VLOOKUP($D$2,COLORES[],2,FALSE),0)))
   + C24
   + E24)
   *(1-_xlfn.XLOOKUP(1,(DESC_PROV[LINEA]=$B$2)*(DESC_PROV[LISTA]=$C$2),DESC_PROV[DESCUENTO])),
   ((B24*(1+IFERROR(VLOOKUP($D$2,COLORES[],2,FALSE),0)))
   + C24
   + E24)
   *(1-_xlfn.XLOOKUP(1,(DESC_PROV[LINEA]=$B$2)*(DESC_PROV[LISTA]=$C$2),DESC_PROV[DESCUENTO]))
   *(1+VLOOKUP($C$2,LISTAS[],2,FALSE))
   *(1+VLOOKUP($C$2,LISTAS[],3,FALSE))
)
/5,0)*5,0)</f>
        <v>109900</v>
      </c>
      <c r="J24" s="5" cm="1">
        <f t="array" ref="J24">IFERROR(
ROUND(
IF($A$2="COSTO",
   (D24*(1+IFERROR(VLOOKUP($D$2,COLORES[],2,FALSE),0)))
   *(1-_xlfn.XLOOKUP(1,(DESC_PROV[LINEA]=$B$2)*(DESC_PROV[LISTA]=$C$2),DESC_PROV[DESCUENTO])),
   (D24*(1+IFERROR(VLOOKUP($D$2,COLORES[],2,FALSE),0)))
   *(1-_xlfn.XLOOKUP(1,(DESC_PROV[LINEA]=$B$2)*(DESC_PROV[LISTA]=$C$2),DESC_PROV[DESCUENTO]))
   *(1+VLOOKUP($C$2,LISTAS[],2,FALSE))
   *(1+VLOOKUP($C$2,LISTAS[],4,FALSE))
)
/5,0)*5,0)</f>
        <v>38200</v>
      </c>
      <c r="K24" s="6" cm="1">
        <f t="array" ref="K24">IFERROR(
ROUND(
IF($A$2="COSTO",
   (B24*(1+IFERROR(VLOOKUP($D$2,COLORES[],2,FALSE),0))+E24)
   *(1+VLOOKUP($C$2,LISTAS[],5,FALSE))
   *(1-_xlfn.XLOOKUP(1,(DESC_PROV[LINEA]=$B$2)*(DESC_PROV[LISTA]=$C$2),DESC_PROV[DESCUENTO])),
   (B24*(1+IFERROR(VLOOKUP($D$2,COLORES[],2,FALSE),0))+E24)
   *(1-_xlfn.XLOOKUP(1,(DESC_PROV[LINEA]=$B$2)*(DESC_PROV[LISTA]=$C$2),DESC_PROV[DESCUENTO]))
   *(1+VLOOKUP($C$2,LISTAS[],5,FALSE))
   *(1+VLOOKUP($C$2,LISTAS[],2,FALSE))
   *(1+VLOOKUP($C$2,LISTAS[],3,FALSE))
)
/5,0)*5,0)</f>
        <v>121780</v>
      </c>
    </row>
    <row r="25" spans="1:11">
      <c r="A25" s="18" t="s">
        <v>278</v>
      </c>
      <c r="B25" s="3">
        <v>64657</v>
      </c>
      <c r="C25" s="3">
        <v>13079</v>
      </c>
      <c r="D25" s="3">
        <v>26898</v>
      </c>
      <c r="E25" s="7">
        <v>20584</v>
      </c>
      <c r="G25" s="21" t="s">
        <v>278</v>
      </c>
      <c r="H25" s="5" cm="1">
        <f t="array" ref="H25">IFERROR(
ROUND(
IF($A$2="COSTO",
   ((B25*(1+IFERROR(VLOOKUP($D$2,COLORES[],2,FALSE),0)))+E25)
   *(1-_xlfn.XLOOKUP(1,(DESC_PROV[LINEA]=$B$2)*(DESC_PROV[LISTA]=$C$2),DESC_PROV[DESCUENTO])),
   ((B25*(1+IFERROR(VLOOKUP($D$2,COLORES[],2,FALSE),0)))+E25)
   *(1-_xlfn.XLOOKUP(1,(DESC_PROV[LINEA]=$B$2)*(DESC_PROV[LISTA]=$C$2),DESC_PROV[DESCUENTO]))
   *(1+VLOOKUP($C$2,LISTAS[],2,FALSE))
   *(1+VLOOKUP($C$2,LISTAS[],3,FALSE))
)
/5,0)*5,0)</f>
        <v>105715</v>
      </c>
      <c r="I25" s="5" cm="1">
        <f t="array" ref="I25">IFERROR(
ROUND(
IF($A$2="COSTO",
   ((B25*(1+IFERROR(VLOOKUP($D$2,COLORES[],2,FALSE),0)))
   + C25
   + E25)
   *(1-_xlfn.XLOOKUP(1,(DESC_PROV[LINEA]=$B$2)*(DESC_PROV[LISTA]=$C$2),DESC_PROV[DESCUENTO])),
   ((B25*(1+IFERROR(VLOOKUP($D$2,COLORES[],2,FALSE),0)))
   + C25
   + E25)
   *(1-_xlfn.XLOOKUP(1,(DESC_PROV[LINEA]=$B$2)*(DESC_PROV[LISTA]=$C$2),DESC_PROV[DESCUENTO]))
   *(1+VLOOKUP($C$2,LISTAS[],2,FALSE))
   *(1+VLOOKUP($C$2,LISTAS[],3,FALSE))
)
/5,0)*5,0)</f>
        <v>121935</v>
      </c>
      <c r="J25" s="5" cm="1">
        <f t="array" ref="J25">IFERROR(
ROUND(
IF($A$2="COSTO",
   (D25*(1+IFERROR(VLOOKUP($D$2,COLORES[],2,FALSE),0)))
   *(1-_xlfn.XLOOKUP(1,(DESC_PROV[LINEA]=$B$2)*(DESC_PROV[LISTA]=$C$2),DESC_PROV[DESCUENTO])),
   (D25*(1+IFERROR(VLOOKUP($D$2,COLORES[],2,FALSE),0)))
   *(1-_xlfn.XLOOKUP(1,(DESC_PROV[LINEA]=$B$2)*(DESC_PROV[LISTA]=$C$2),DESC_PROV[DESCUENTO]))
   *(1+VLOOKUP($C$2,LISTAS[],2,FALSE))
   *(1+VLOOKUP($C$2,LISTAS[],4,FALSE))
)
/5,0)*5,0)</f>
        <v>41055</v>
      </c>
      <c r="K25" s="6" cm="1">
        <f t="array" ref="K25">IFERROR(
ROUND(
IF($A$2="COSTO",
   (B25*(1+IFERROR(VLOOKUP($D$2,COLORES[],2,FALSE),0))+E25)
   *(1+VLOOKUP($C$2,LISTAS[],5,FALSE))
   *(1-_xlfn.XLOOKUP(1,(DESC_PROV[LINEA]=$B$2)*(DESC_PROV[LISTA]=$C$2),DESC_PROV[DESCUENTO])),
   (B25*(1+IFERROR(VLOOKUP($D$2,COLORES[],2,FALSE),0))+E25)
   *(1-_xlfn.XLOOKUP(1,(DESC_PROV[LINEA]=$B$2)*(DESC_PROV[LISTA]=$C$2),DESC_PROV[DESCUENTO]))
   *(1+VLOOKUP($C$2,LISTAS[],5,FALSE))
   *(1+VLOOKUP($C$2,LISTAS[],2,FALSE))
   *(1+VLOOKUP($C$2,LISTAS[],3,FALSE))
)
/5,0)*5,0)</f>
        <v>137430</v>
      </c>
    </row>
    <row r="26" spans="1:11">
      <c r="A26" s="18" t="s">
        <v>15</v>
      </c>
      <c r="B26" s="3">
        <v>50572</v>
      </c>
      <c r="C26" s="3">
        <v>16348</v>
      </c>
      <c r="D26" s="3">
        <v>20642</v>
      </c>
      <c r="E26" s="7">
        <v>12536</v>
      </c>
      <c r="G26" s="21" t="s">
        <v>15</v>
      </c>
      <c r="H26" s="5" cm="1">
        <f t="array" ref="H26">IFERROR(
ROUND(
IF($A$2="COSTO",
   ((B26*(1+IFERROR(VLOOKUP($D$2,COLORES[],2,FALSE),0)))+E26)
   *(1-_xlfn.XLOOKUP(1,(DESC_PROV[LINEA]=$B$2)*(DESC_PROV[LISTA]=$C$2),DESC_PROV[DESCUENTO])),
   ((B26*(1+IFERROR(VLOOKUP($D$2,COLORES[],2,FALSE),0)))+E26)
   *(1-_xlfn.XLOOKUP(1,(DESC_PROV[LINEA]=$B$2)*(DESC_PROV[LISTA]=$C$2),DESC_PROV[DESCUENTO]))
   *(1+VLOOKUP($C$2,LISTAS[],2,FALSE))
   *(1+VLOOKUP($C$2,LISTAS[],3,FALSE))
)
/5,0)*5,0)</f>
        <v>78265</v>
      </c>
      <c r="I26" s="5" cm="1">
        <f t="array" ref="I26">IFERROR(
ROUND(
IF($A$2="COSTO",
   ((B26*(1+IFERROR(VLOOKUP($D$2,COLORES[],2,FALSE),0)))
   + C26
   + E26)
   *(1-_xlfn.XLOOKUP(1,(DESC_PROV[LINEA]=$B$2)*(DESC_PROV[LISTA]=$C$2),DESC_PROV[DESCUENTO])),
   ((B26*(1+IFERROR(VLOOKUP($D$2,COLORES[],2,FALSE),0)))
   + C26
   + E26)
   *(1-_xlfn.XLOOKUP(1,(DESC_PROV[LINEA]=$B$2)*(DESC_PROV[LISTA]=$C$2),DESC_PROV[DESCUENTO]))
   *(1+VLOOKUP($C$2,LISTAS[],2,FALSE))
   *(1+VLOOKUP($C$2,LISTAS[],3,FALSE))
)
/5,0)*5,0)</f>
        <v>98540</v>
      </c>
      <c r="J26" s="5" cm="1">
        <f t="array" ref="J26">IFERROR(
ROUND(
IF($A$2="COSTO",
   (D26*(1+IFERROR(VLOOKUP($D$2,COLORES[],2,FALSE),0)))
   *(1-_xlfn.XLOOKUP(1,(DESC_PROV[LINEA]=$B$2)*(DESC_PROV[LISTA]=$C$2),DESC_PROV[DESCUENTO])),
   (D26*(1+IFERROR(VLOOKUP($D$2,COLORES[],2,FALSE),0)))
   *(1-_xlfn.XLOOKUP(1,(DESC_PROV[LINEA]=$B$2)*(DESC_PROV[LISTA]=$C$2),DESC_PROV[DESCUENTO]))
   *(1+VLOOKUP($C$2,LISTAS[],2,FALSE))
   *(1+VLOOKUP($C$2,LISTAS[],4,FALSE))
)
/5,0)*5,0)</f>
        <v>31510</v>
      </c>
      <c r="K26" s="6" cm="1">
        <f t="array" ref="K26">IFERROR(
ROUND(
IF($A$2="COSTO",
   (B26*(1+IFERROR(VLOOKUP($D$2,COLORES[],2,FALSE),0))+E26)
   *(1+VLOOKUP($C$2,LISTAS[],5,FALSE))
   *(1-_xlfn.XLOOKUP(1,(DESC_PROV[LINEA]=$B$2)*(DESC_PROV[LISTA]=$C$2),DESC_PROV[DESCUENTO])),
   (B26*(1+IFERROR(VLOOKUP($D$2,COLORES[],2,FALSE),0))+E26)
   *(1-_xlfn.XLOOKUP(1,(DESC_PROV[LINEA]=$B$2)*(DESC_PROV[LISTA]=$C$2),DESC_PROV[DESCUENTO]))
   *(1+VLOOKUP($C$2,LISTAS[],5,FALSE))
   *(1+VLOOKUP($C$2,LISTAS[],2,FALSE))
   *(1+VLOOKUP($C$2,LISTAS[],3,FALSE))
)
/5,0)*5,0)</f>
        <v>101745</v>
      </c>
    </row>
    <row r="27" spans="1:11">
      <c r="A27" s="18" t="s">
        <v>102</v>
      </c>
      <c r="B27" s="3">
        <v>53137</v>
      </c>
      <c r="C27" s="3">
        <v>16348</v>
      </c>
      <c r="D27" s="3">
        <v>22727</v>
      </c>
      <c r="E27" s="7">
        <v>15326</v>
      </c>
      <c r="G27" s="21" t="s">
        <v>102</v>
      </c>
      <c r="H27" s="5" cm="1">
        <f t="array" ref="H27">IFERROR(
ROUND(
IF($A$2="COSTO",
   ((B27*(1+IFERROR(VLOOKUP($D$2,COLORES[],2,FALSE),0)))+E27)
   *(1-_xlfn.XLOOKUP(1,(DESC_PROV[LINEA]=$B$2)*(DESC_PROV[LISTA]=$C$2),DESC_PROV[DESCUENTO])),
   ((B27*(1+IFERROR(VLOOKUP($D$2,COLORES[],2,FALSE),0)))+E27)
   *(1-_xlfn.XLOOKUP(1,(DESC_PROV[LINEA]=$B$2)*(DESC_PROV[LISTA]=$C$2),DESC_PROV[DESCUENTO]))
   *(1+VLOOKUP($C$2,LISTAS[],2,FALSE))
   *(1+VLOOKUP($C$2,LISTAS[],3,FALSE))
)
/5,0)*5,0)</f>
        <v>84910</v>
      </c>
      <c r="I27" s="5" cm="1">
        <f t="array" ref="I27">IFERROR(
ROUND(
IF($A$2="COSTO",
   ((B27*(1+IFERROR(VLOOKUP($D$2,COLORES[],2,FALSE),0)))
   + C27
   + E27)
   *(1-_xlfn.XLOOKUP(1,(DESC_PROV[LINEA]=$B$2)*(DESC_PROV[LISTA]=$C$2),DESC_PROV[DESCUENTO])),
   ((B27*(1+IFERROR(VLOOKUP($D$2,COLORES[],2,FALSE),0)))
   + C27
   + E27)
   *(1-_xlfn.XLOOKUP(1,(DESC_PROV[LINEA]=$B$2)*(DESC_PROV[LISTA]=$C$2),DESC_PROV[DESCUENTO]))
   *(1+VLOOKUP($C$2,LISTAS[],2,FALSE))
   *(1+VLOOKUP($C$2,LISTAS[],3,FALSE))
)
/5,0)*5,0)</f>
        <v>105185</v>
      </c>
      <c r="J27" s="5" cm="1">
        <f t="array" ref="J27">IFERROR(
ROUND(
IF($A$2="COSTO",
   (D27*(1+IFERROR(VLOOKUP($D$2,COLORES[],2,FALSE),0)))
   *(1-_xlfn.XLOOKUP(1,(DESC_PROV[LINEA]=$B$2)*(DESC_PROV[LISTA]=$C$2),DESC_PROV[DESCUENTO])),
   (D27*(1+IFERROR(VLOOKUP($D$2,COLORES[],2,FALSE),0)))
   *(1-_xlfn.XLOOKUP(1,(DESC_PROV[LINEA]=$B$2)*(DESC_PROV[LISTA]=$C$2),DESC_PROV[DESCUENTO]))
   *(1+VLOOKUP($C$2,LISTAS[],2,FALSE))
   *(1+VLOOKUP($C$2,LISTAS[],4,FALSE))
)
/5,0)*5,0)</f>
        <v>34690</v>
      </c>
      <c r="K27" s="6" cm="1">
        <f t="array" ref="K27">IFERROR(
ROUND(
IF($A$2="COSTO",
   (B27*(1+IFERROR(VLOOKUP($D$2,COLORES[],2,FALSE),0))+E27)
   *(1+VLOOKUP($C$2,LISTAS[],5,FALSE))
   *(1-_xlfn.XLOOKUP(1,(DESC_PROV[LINEA]=$B$2)*(DESC_PROV[LISTA]=$C$2),DESC_PROV[DESCUENTO])),
   (B27*(1+IFERROR(VLOOKUP($D$2,COLORES[],2,FALSE),0))+E27)
   *(1-_xlfn.XLOOKUP(1,(DESC_PROV[LINEA]=$B$2)*(DESC_PROV[LISTA]=$C$2),DESC_PROV[DESCUENTO]))
   *(1+VLOOKUP($C$2,LISTAS[],5,FALSE))
   *(1+VLOOKUP($C$2,LISTAS[],2,FALSE))
   *(1+VLOOKUP($C$2,LISTAS[],3,FALSE))
)
/5,0)*5,0)</f>
        <v>110380</v>
      </c>
    </row>
    <row r="28" spans="1:11">
      <c r="A28" s="18" t="s">
        <v>16</v>
      </c>
      <c r="B28" s="3">
        <v>58841</v>
      </c>
      <c r="C28" s="3">
        <v>16348</v>
      </c>
      <c r="D28" s="3">
        <v>25855</v>
      </c>
      <c r="E28" s="7">
        <v>19503</v>
      </c>
      <c r="G28" s="21" t="s">
        <v>16</v>
      </c>
      <c r="H28" s="5" cm="1">
        <f t="array" ref="H28">IFERROR(
ROUND(
IF($A$2="COSTO",
   ((B28*(1+IFERROR(VLOOKUP($D$2,COLORES[],2,FALSE),0)))+E28)
   *(1-_xlfn.XLOOKUP(1,(DESC_PROV[LINEA]=$B$2)*(DESC_PROV[LISTA]=$C$2),DESC_PROV[DESCUENTO])),
   ((B28*(1+IFERROR(VLOOKUP($D$2,COLORES[],2,FALSE),0)))+E28)
   *(1-_xlfn.XLOOKUP(1,(DESC_PROV[LINEA]=$B$2)*(DESC_PROV[LISTA]=$C$2),DESC_PROV[DESCUENTO]))
   *(1+VLOOKUP($C$2,LISTAS[],2,FALSE))
   *(1+VLOOKUP($C$2,LISTAS[],3,FALSE))
)
/5,0)*5,0)</f>
        <v>97160</v>
      </c>
      <c r="I28" s="5" cm="1">
        <f t="array" ref="I28">IFERROR(
ROUND(
IF($A$2="COSTO",
   ((B28*(1+IFERROR(VLOOKUP($D$2,COLORES[],2,FALSE),0)))
   + C28
   + E28)
   *(1-_xlfn.XLOOKUP(1,(DESC_PROV[LINEA]=$B$2)*(DESC_PROV[LISTA]=$C$2),DESC_PROV[DESCUENTO])),
   ((B28*(1+IFERROR(VLOOKUP($D$2,COLORES[],2,FALSE),0)))
   + C28
   + E28)
   *(1-_xlfn.XLOOKUP(1,(DESC_PROV[LINEA]=$B$2)*(DESC_PROV[LISTA]=$C$2),DESC_PROV[DESCUENTO]))
   *(1+VLOOKUP($C$2,LISTAS[],2,FALSE))
   *(1+VLOOKUP($C$2,LISTAS[],3,FALSE))
)
/5,0)*5,0)</f>
        <v>117435</v>
      </c>
      <c r="J28" s="5" cm="1">
        <f t="array" ref="J28">IFERROR(
ROUND(
IF($A$2="COSTO",
   (D28*(1+IFERROR(VLOOKUP($D$2,COLORES[],2,FALSE),0)))
   *(1-_xlfn.XLOOKUP(1,(DESC_PROV[LINEA]=$B$2)*(DESC_PROV[LISTA]=$C$2),DESC_PROV[DESCUENTO])),
   (D28*(1+IFERROR(VLOOKUP($D$2,COLORES[],2,FALSE),0)))
   *(1-_xlfn.XLOOKUP(1,(DESC_PROV[LINEA]=$B$2)*(DESC_PROV[LISTA]=$C$2),DESC_PROV[DESCUENTO]))
   *(1+VLOOKUP($C$2,LISTAS[],2,FALSE))
   *(1+VLOOKUP($C$2,LISTAS[],4,FALSE))
)
/5,0)*5,0)</f>
        <v>39465</v>
      </c>
      <c r="K28" s="6" cm="1">
        <f t="array" ref="K28">IFERROR(
ROUND(
IF($A$2="COSTO",
   (B28*(1+IFERROR(VLOOKUP($D$2,COLORES[],2,FALSE),0))+E28)
   *(1+VLOOKUP($C$2,LISTAS[],5,FALSE))
   *(1-_xlfn.XLOOKUP(1,(DESC_PROV[LINEA]=$B$2)*(DESC_PROV[LISTA]=$C$2),DESC_PROV[DESCUENTO])),
   (B28*(1+IFERROR(VLOOKUP($D$2,COLORES[],2,FALSE),0))+E28)
   *(1-_xlfn.XLOOKUP(1,(DESC_PROV[LINEA]=$B$2)*(DESC_PROV[LISTA]=$C$2),DESC_PROV[DESCUENTO]))
   *(1+VLOOKUP($C$2,LISTAS[],5,FALSE))
   *(1+VLOOKUP($C$2,LISTAS[],2,FALSE))
   *(1+VLOOKUP($C$2,LISTAS[],3,FALSE))
)
/5,0)*5,0)</f>
        <v>126310</v>
      </c>
    </row>
    <row r="29" spans="1:11">
      <c r="A29" s="18" t="s">
        <v>103</v>
      </c>
      <c r="B29" s="3">
        <v>62741</v>
      </c>
      <c r="C29" s="3">
        <v>16348</v>
      </c>
      <c r="D29" s="3">
        <v>28983</v>
      </c>
      <c r="E29" s="7">
        <v>23680</v>
      </c>
      <c r="G29" s="21" t="s">
        <v>103</v>
      </c>
      <c r="H29" s="5" cm="1">
        <f t="array" ref="H29">IFERROR(
ROUND(
IF($A$2="COSTO",
   ((B29*(1+IFERROR(VLOOKUP($D$2,COLORES[],2,FALSE),0)))+E29)
   *(1-_xlfn.XLOOKUP(1,(DESC_PROV[LINEA]=$B$2)*(DESC_PROV[LISTA]=$C$2),DESC_PROV[DESCUENTO])),
   ((B29*(1+IFERROR(VLOOKUP($D$2,COLORES[],2,FALSE),0)))+E29)
   *(1-_xlfn.XLOOKUP(1,(DESC_PROV[LINEA]=$B$2)*(DESC_PROV[LISTA]=$C$2),DESC_PROV[DESCUENTO]))
   *(1+VLOOKUP($C$2,LISTAS[],2,FALSE))
   *(1+VLOOKUP($C$2,LISTAS[],3,FALSE))
)
/5,0)*5,0)</f>
        <v>107180</v>
      </c>
      <c r="I29" s="5" cm="1">
        <f t="array" ref="I29">IFERROR(
ROUND(
IF($A$2="COSTO",
   ((B29*(1+IFERROR(VLOOKUP($D$2,COLORES[],2,FALSE),0)))
   + C29
   + E29)
   *(1-_xlfn.XLOOKUP(1,(DESC_PROV[LINEA]=$B$2)*(DESC_PROV[LISTA]=$C$2),DESC_PROV[DESCUENTO])),
   ((B29*(1+IFERROR(VLOOKUP($D$2,COLORES[],2,FALSE),0)))
   + C29
   + E29)
   *(1-_xlfn.XLOOKUP(1,(DESC_PROV[LINEA]=$B$2)*(DESC_PROV[LISTA]=$C$2),DESC_PROV[DESCUENTO]))
   *(1+VLOOKUP($C$2,LISTAS[],2,FALSE))
   *(1+VLOOKUP($C$2,LISTAS[],3,FALSE))
)
/5,0)*5,0)</f>
        <v>127455</v>
      </c>
      <c r="J29" s="5" cm="1">
        <f t="array" ref="J29">IFERROR(
ROUND(
IF($A$2="COSTO",
   (D29*(1+IFERROR(VLOOKUP($D$2,COLORES[],2,FALSE),0)))
   *(1-_xlfn.XLOOKUP(1,(DESC_PROV[LINEA]=$B$2)*(DESC_PROV[LISTA]=$C$2),DESC_PROV[DESCUENTO])),
   (D29*(1+IFERROR(VLOOKUP($D$2,COLORES[],2,FALSE),0)))
   *(1-_xlfn.XLOOKUP(1,(DESC_PROV[LINEA]=$B$2)*(DESC_PROV[LISTA]=$C$2),DESC_PROV[DESCUENTO]))
   *(1+VLOOKUP($C$2,LISTAS[],2,FALSE))
   *(1+VLOOKUP($C$2,LISTAS[],4,FALSE))
)
/5,0)*5,0)</f>
        <v>44240</v>
      </c>
      <c r="K29" s="6" cm="1">
        <f t="array" ref="K29">IFERROR(
ROUND(
IF($A$2="COSTO",
   (B29*(1+IFERROR(VLOOKUP($D$2,COLORES[],2,FALSE),0))+E29)
   *(1+VLOOKUP($C$2,LISTAS[],5,FALSE))
   *(1-_xlfn.XLOOKUP(1,(DESC_PROV[LINEA]=$B$2)*(DESC_PROV[LISTA]=$C$2),DESC_PROV[DESCUENTO])),
   (B29*(1+IFERROR(VLOOKUP($D$2,COLORES[],2,FALSE),0))+E29)
   *(1-_xlfn.XLOOKUP(1,(DESC_PROV[LINEA]=$B$2)*(DESC_PROV[LISTA]=$C$2),DESC_PROV[DESCUENTO]))
   *(1+VLOOKUP($C$2,LISTAS[],5,FALSE))
   *(1+VLOOKUP($C$2,LISTAS[],2,FALSE))
   *(1+VLOOKUP($C$2,LISTAS[],3,FALSE))
)
/5,0)*5,0)</f>
        <v>139335</v>
      </c>
    </row>
    <row r="30" spans="1:11">
      <c r="A30" s="18" t="s">
        <v>104</v>
      </c>
      <c r="B30" s="3">
        <v>70287</v>
      </c>
      <c r="C30" s="3">
        <v>16348</v>
      </c>
      <c r="D30" s="3">
        <v>31069</v>
      </c>
      <c r="E30" s="7">
        <v>26470</v>
      </c>
      <c r="G30" s="21" t="s">
        <v>104</v>
      </c>
      <c r="H30" s="5" cm="1">
        <f t="array" ref="H30">IFERROR(
ROUND(
IF($A$2="COSTO",
   ((B30*(1+IFERROR(VLOOKUP($D$2,COLORES[],2,FALSE),0)))+E30)
   *(1-_xlfn.XLOOKUP(1,(DESC_PROV[LINEA]=$B$2)*(DESC_PROV[LISTA]=$C$2),DESC_PROV[DESCUENTO])),
   ((B30*(1+IFERROR(VLOOKUP($D$2,COLORES[],2,FALSE),0)))+E30)
   *(1-_xlfn.XLOOKUP(1,(DESC_PROV[LINEA]=$B$2)*(DESC_PROV[LISTA]=$C$2),DESC_PROV[DESCUENTO]))
   *(1+VLOOKUP($C$2,LISTAS[],2,FALSE))
   *(1+VLOOKUP($C$2,LISTAS[],3,FALSE))
)
/5,0)*5,0)</f>
        <v>120000</v>
      </c>
      <c r="I30" s="5" cm="1">
        <f t="array" ref="I30">IFERROR(
ROUND(
IF($A$2="COSTO",
   ((B30*(1+IFERROR(VLOOKUP($D$2,COLORES[],2,FALSE),0)))
   + C30
   + E30)
   *(1-_xlfn.XLOOKUP(1,(DESC_PROV[LINEA]=$B$2)*(DESC_PROV[LISTA]=$C$2),DESC_PROV[DESCUENTO])),
   ((B30*(1+IFERROR(VLOOKUP($D$2,COLORES[],2,FALSE),0)))
   + C30
   + E30)
   *(1-_xlfn.XLOOKUP(1,(DESC_PROV[LINEA]=$B$2)*(DESC_PROV[LISTA]=$C$2),DESC_PROV[DESCUENTO]))
   *(1+VLOOKUP($C$2,LISTAS[],2,FALSE))
   *(1+VLOOKUP($C$2,LISTAS[],3,FALSE))
)
/5,0)*5,0)</f>
        <v>140275</v>
      </c>
      <c r="J30" s="5" cm="1">
        <f t="array" ref="J30">IFERROR(
ROUND(
IF($A$2="COSTO",
   (D30*(1+IFERROR(VLOOKUP($D$2,COLORES[],2,FALSE),0)))
   *(1-_xlfn.XLOOKUP(1,(DESC_PROV[LINEA]=$B$2)*(DESC_PROV[LISTA]=$C$2),DESC_PROV[DESCUENTO])),
   (D30*(1+IFERROR(VLOOKUP($D$2,COLORES[],2,FALSE),0)))
   *(1-_xlfn.XLOOKUP(1,(DESC_PROV[LINEA]=$B$2)*(DESC_PROV[LISTA]=$C$2),DESC_PROV[DESCUENTO]))
   *(1+VLOOKUP($C$2,LISTAS[],2,FALSE))
   *(1+VLOOKUP($C$2,LISTAS[],4,FALSE))
)
/5,0)*5,0)</f>
        <v>47425</v>
      </c>
      <c r="K30" s="6" cm="1">
        <f t="array" ref="K30">IFERROR(
ROUND(
IF($A$2="COSTO",
   (B30*(1+IFERROR(VLOOKUP($D$2,COLORES[],2,FALSE),0))+E30)
   *(1+VLOOKUP($C$2,LISTAS[],5,FALSE))
   *(1-_xlfn.XLOOKUP(1,(DESC_PROV[LINEA]=$B$2)*(DESC_PROV[LISTA]=$C$2),DESC_PROV[DESCUENTO])),
   (B30*(1+IFERROR(VLOOKUP($D$2,COLORES[],2,FALSE),0))+E30)
   *(1-_xlfn.XLOOKUP(1,(DESC_PROV[LINEA]=$B$2)*(DESC_PROV[LISTA]=$C$2),DESC_PROV[DESCUENTO]))
   *(1+VLOOKUP($C$2,LISTAS[],5,FALSE))
   *(1+VLOOKUP($C$2,LISTAS[],2,FALSE))
   *(1+VLOOKUP($C$2,LISTAS[],3,FALSE))
)
/5,0)*5,0)</f>
        <v>155995</v>
      </c>
    </row>
    <row r="31" spans="1:11">
      <c r="A31" s="18" t="s">
        <v>105</v>
      </c>
      <c r="B31" s="3">
        <v>72536</v>
      </c>
      <c r="C31" s="3">
        <v>16348</v>
      </c>
      <c r="D31" s="3">
        <v>33154</v>
      </c>
      <c r="E31" s="7">
        <v>29255</v>
      </c>
      <c r="G31" s="21" t="s">
        <v>105</v>
      </c>
      <c r="H31" s="5" cm="1">
        <f t="array" ref="H31">IFERROR(
ROUND(
IF($A$2="COSTO",
   ((B31*(1+IFERROR(VLOOKUP($D$2,COLORES[],2,FALSE),0)))+E31)
   *(1-_xlfn.XLOOKUP(1,(DESC_PROV[LINEA]=$B$2)*(DESC_PROV[LISTA]=$C$2),DESC_PROV[DESCUENTO])),
   ((B31*(1+IFERROR(VLOOKUP($D$2,COLORES[],2,FALSE),0)))+E31)
   *(1-_xlfn.XLOOKUP(1,(DESC_PROV[LINEA]=$B$2)*(DESC_PROV[LISTA]=$C$2),DESC_PROV[DESCUENTO]))
   *(1+VLOOKUP($C$2,LISTAS[],2,FALSE))
   *(1+VLOOKUP($C$2,LISTAS[],3,FALSE))
)
/5,0)*5,0)</f>
        <v>126240</v>
      </c>
      <c r="I31" s="5" cm="1">
        <f t="array" ref="I31">IFERROR(
ROUND(
IF($A$2="COSTO",
   ((B31*(1+IFERROR(VLOOKUP($D$2,COLORES[],2,FALSE),0)))
   + C31
   + E31)
   *(1-_xlfn.XLOOKUP(1,(DESC_PROV[LINEA]=$B$2)*(DESC_PROV[LISTA]=$C$2),DESC_PROV[DESCUENTO])),
   ((B31*(1+IFERROR(VLOOKUP($D$2,COLORES[],2,FALSE),0)))
   + C31
   + E31)
   *(1-_xlfn.XLOOKUP(1,(DESC_PROV[LINEA]=$B$2)*(DESC_PROV[LISTA]=$C$2),DESC_PROV[DESCUENTO]))
   *(1+VLOOKUP($C$2,LISTAS[],2,FALSE))
   *(1+VLOOKUP($C$2,LISTAS[],3,FALSE))
)
/5,0)*5,0)</f>
        <v>146515</v>
      </c>
      <c r="J31" s="5" cm="1">
        <f t="array" ref="J31">IFERROR(
ROUND(
IF($A$2="COSTO",
   (D31*(1+IFERROR(VLOOKUP($D$2,COLORES[],2,FALSE),0)))
   *(1-_xlfn.XLOOKUP(1,(DESC_PROV[LINEA]=$B$2)*(DESC_PROV[LISTA]=$C$2),DESC_PROV[DESCUENTO])),
   (D31*(1+IFERROR(VLOOKUP($D$2,COLORES[],2,FALSE),0)))
   *(1-_xlfn.XLOOKUP(1,(DESC_PROV[LINEA]=$B$2)*(DESC_PROV[LISTA]=$C$2),DESC_PROV[DESCUENTO]))
   *(1+VLOOKUP($C$2,LISTAS[],2,FALSE))
   *(1+VLOOKUP($C$2,LISTAS[],4,FALSE))
)
/5,0)*5,0)</f>
        <v>50605</v>
      </c>
      <c r="K31" s="6" cm="1">
        <f t="array" ref="K31">IFERROR(
ROUND(
IF($A$2="COSTO",
   (B31*(1+IFERROR(VLOOKUP($D$2,COLORES[],2,FALSE),0))+E31)
   *(1+VLOOKUP($C$2,LISTAS[],5,FALSE))
   *(1-_xlfn.XLOOKUP(1,(DESC_PROV[LINEA]=$B$2)*(DESC_PROV[LISTA]=$C$2),DESC_PROV[DESCUENTO])),
   (B31*(1+IFERROR(VLOOKUP($D$2,COLORES[],2,FALSE),0))+E31)
   *(1-_xlfn.XLOOKUP(1,(DESC_PROV[LINEA]=$B$2)*(DESC_PROV[LISTA]=$C$2),DESC_PROV[DESCUENTO]))
   *(1+VLOOKUP($C$2,LISTAS[],5,FALSE))
   *(1+VLOOKUP($C$2,LISTAS[],2,FALSE))
   *(1+VLOOKUP($C$2,LISTAS[],3,FALSE))
)
/5,0)*5,0)</f>
        <v>164115</v>
      </c>
    </row>
    <row r="32" spans="1:11">
      <c r="A32" s="18" t="s">
        <v>106</v>
      </c>
      <c r="B32" s="3">
        <v>75842</v>
      </c>
      <c r="C32" s="3">
        <v>16348</v>
      </c>
      <c r="D32" s="3">
        <v>35240</v>
      </c>
      <c r="E32" s="7">
        <v>32039</v>
      </c>
      <c r="G32" s="21" t="s">
        <v>106</v>
      </c>
      <c r="H32" s="5" cm="1">
        <f t="array" ref="H32">IFERROR(
ROUND(
IF($A$2="COSTO",
   ((B32*(1+IFERROR(VLOOKUP($D$2,COLORES[],2,FALSE),0)))+E32)
   *(1-_xlfn.XLOOKUP(1,(DESC_PROV[LINEA]=$B$2)*(DESC_PROV[LISTA]=$C$2),DESC_PROV[DESCUENTO])),
   ((B32*(1+IFERROR(VLOOKUP($D$2,COLORES[],2,FALSE),0)))+E32)
   *(1-_xlfn.XLOOKUP(1,(DESC_PROV[LINEA]=$B$2)*(DESC_PROV[LISTA]=$C$2),DESC_PROV[DESCUENTO]))
   *(1+VLOOKUP($C$2,LISTAS[],2,FALSE))
   *(1+VLOOKUP($C$2,LISTAS[],3,FALSE))
)
/5,0)*5,0)</f>
        <v>133795</v>
      </c>
      <c r="I32" s="5" cm="1">
        <f t="array" ref="I32">IFERROR(
ROUND(
IF($A$2="COSTO",
   ((B32*(1+IFERROR(VLOOKUP($D$2,COLORES[],2,FALSE),0)))
   + C32
   + E32)
   *(1-_xlfn.XLOOKUP(1,(DESC_PROV[LINEA]=$B$2)*(DESC_PROV[LISTA]=$C$2),DESC_PROV[DESCUENTO])),
   ((B32*(1+IFERROR(VLOOKUP($D$2,COLORES[],2,FALSE),0)))
   + C32
   + E32)
   *(1-_xlfn.XLOOKUP(1,(DESC_PROV[LINEA]=$B$2)*(DESC_PROV[LISTA]=$C$2),DESC_PROV[DESCUENTO]))
   *(1+VLOOKUP($C$2,LISTAS[],2,FALSE))
   *(1+VLOOKUP($C$2,LISTAS[],3,FALSE))
)
/5,0)*5,0)</f>
        <v>154070</v>
      </c>
      <c r="J32" s="5" cm="1">
        <f t="array" ref="J32">IFERROR(
ROUND(
IF($A$2="COSTO",
   (D32*(1+IFERROR(VLOOKUP($D$2,COLORES[],2,FALSE),0)))
   *(1-_xlfn.XLOOKUP(1,(DESC_PROV[LINEA]=$B$2)*(DESC_PROV[LISTA]=$C$2),DESC_PROV[DESCUENTO])),
   (D32*(1+IFERROR(VLOOKUP($D$2,COLORES[],2,FALSE),0)))
   *(1-_xlfn.XLOOKUP(1,(DESC_PROV[LINEA]=$B$2)*(DESC_PROV[LISTA]=$C$2),DESC_PROV[DESCUENTO]))
   *(1+VLOOKUP($C$2,LISTAS[],2,FALSE))
   *(1+VLOOKUP($C$2,LISTAS[],4,FALSE))
)
/5,0)*5,0)</f>
        <v>53790</v>
      </c>
      <c r="K32" s="6" cm="1">
        <f t="array" ref="K32">IFERROR(
ROUND(
IF($A$2="COSTO",
   (B32*(1+IFERROR(VLOOKUP($D$2,COLORES[],2,FALSE),0))+E32)
   *(1+VLOOKUP($C$2,LISTAS[],5,FALSE))
   *(1-_xlfn.XLOOKUP(1,(DESC_PROV[LINEA]=$B$2)*(DESC_PROV[LISTA]=$C$2),DESC_PROV[DESCUENTO])),
   (B32*(1+IFERROR(VLOOKUP($D$2,COLORES[],2,FALSE),0))+E32)
   *(1-_xlfn.XLOOKUP(1,(DESC_PROV[LINEA]=$B$2)*(DESC_PROV[LISTA]=$C$2),DESC_PROV[DESCUENTO]))
   *(1+VLOOKUP($C$2,LISTAS[],5,FALSE))
   *(1+VLOOKUP($C$2,LISTAS[],2,FALSE))
   *(1+VLOOKUP($C$2,LISTAS[],3,FALSE))
)
/5,0)*5,0)</f>
        <v>173930</v>
      </c>
    </row>
    <row r="33" spans="1:11">
      <c r="A33" s="18" t="s">
        <v>58</v>
      </c>
      <c r="B33" s="3">
        <v>53930</v>
      </c>
      <c r="C33" s="3">
        <v>17983</v>
      </c>
      <c r="D33" s="3">
        <v>22195</v>
      </c>
      <c r="E33" s="7">
        <v>13934</v>
      </c>
      <c r="G33" s="21" t="s">
        <v>58</v>
      </c>
      <c r="H33" s="5" cm="1">
        <f t="array" ref="H33">IFERROR(
ROUND(
IF($A$2="COSTO",
   ((B33*(1+IFERROR(VLOOKUP($D$2,COLORES[],2,FALSE),0)))+E33)
   *(1-_xlfn.XLOOKUP(1,(DESC_PROV[LINEA]=$B$2)*(DESC_PROV[LISTA]=$C$2),DESC_PROV[DESCUENTO])),
   ((B33*(1+IFERROR(VLOOKUP($D$2,COLORES[],2,FALSE),0)))+E33)
   *(1-_xlfn.XLOOKUP(1,(DESC_PROV[LINEA]=$B$2)*(DESC_PROV[LISTA]=$C$2),DESC_PROV[DESCUENTO]))
   *(1+VLOOKUP($C$2,LISTAS[],2,FALSE))
   *(1+VLOOKUP($C$2,LISTAS[],3,FALSE))
)
/5,0)*5,0)</f>
        <v>84165</v>
      </c>
      <c r="I33" s="5" cm="1">
        <f t="array" ref="I33">IFERROR(
ROUND(
IF($A$2="COSTO",
   ((B33*(1+IFERROR(VLOOKUP($D$2,COLORES[],2,FALSE),0)))
   + C33
   + E33)
   *(1-_xlfn.XLOOKUP(1,(DESC_PROV[LINEA]=$B$2)*(DESC_PROV[LISTA]=$C$2),DESC_PROV[DESCUENTO])),
   ((B33*(1+IFERROR(VLOOKUP($D$2,COLORES[],2,FALSE),0)))
   + C33
   + E33)
   *(1-_xlfn.XLOOKUP(1,(DESC_PROV[LINEA]=$B$2)*(DESC_PROV[LISTA]=$C$2),DESC_PROV[DESCUENTO]))
   *(1+VLOOKUP($C$2,LISTAS[],2,FALSE))
   *(1+VLOOKUP($C$2,LISTAS[],3,FALSE))
)
/5,0)*5,0)</f>
        <v>106465</v>
      </c>
      <c r="J33" s="5" cm="1">
        <f t="array" ref="J33">IFERROR(
ROUND(
IF($A$2="COSTO",
   (D33*(1+IFERROR(VLOOKUP($D$2,COLORES[],2,FALSE),0)))
   *(1-_xlfn.XLOOKUP(1,(DESC_PROV[LINEA]=$B$2)*(DESC_PROV[LISTA]=$C$2),DESC_PROV[DESCUENTO])),
   (D33*(1+IFERROR(VLOOKUP($D$2,COLORES[],2,FALSE),0)))
   *(1-_xlfn.XLOOKUP(1,(DESC_PROV[LINEA]=$B$2)*(DESC_PROV[LISTA]=$C$2),DESC_PROV[DESCUENTO]))
   *(1+VLOOKUP($C$2,LISTAS[],2,FALSE))
   *(1+VLOOKUP($C$2,LISTAS[],4,FALSE))
)
/5,0)*5,0)</f>
        <v>33880</v>
      </c>
      <c r="K33" s="6" cm="1">
        <f t="array" ref="K33">IFERROR(
ROUND(
IF($A$2="COSTO",
   (B33*(1+IFERROR(VLOOKUP($D$2,COLORES[],2,FALSE),0))+E33)
   *(1+VLOOKUP($C$2,LISTAS[],5,FALSE))
   *(1-_xlfn.XLOOKUP(1,(DESC_PROV[LINEA]=$B$2)*(DESC_PROV[LISTA]=$C$2),DESC_PROV[DESCUENTO])),
   (B33*(1+IFERROR(VLOOKUP($D$2,COLORES[],2,FALSE),0))+E33)
   *(1-_xlfn.XLOOKUP(1,(DESC_PROV[LINEA]=$B$2)*(DESC_PROV[LISTA]=$C$2),DESC_PROV[DESCUENTO]))
   *(1+VLOOKUP($C$2,LISTAS[],5,FALSE))
   *(1+VLOOKUP($C$2,LISTAS[],2,FALSE))
   *(1+VLOOKUP($C$2,LISTAS[],3,FALSE))
)
/5,0)*5,0)</f>
        <v>109415</v>
      </c>
    </row>
    <row r="34" spans="1:11">
      <c r="A34" s="18" t="s">
        <v>59</v>
      </c>
      <c r="B34" s="3">
        <v>57237</v>
      </c>
      <c r="C34" s="3">
        <v>17983</v>
      </c>
      <c r="D34" s="3">
        <v>24387</v>
      </c>
      <c r="E34" s="7">
        <v>17024</v>
      </c>
      <c r="G34" s="21" t="s">
        <v>59</v>
      </c>
      <c r="H34" s="5" cm="1">
        <f t="array" ref="H34">IFERROR(
ROUND(
IF($A$2="COSTO",
   ((B34*(1+IFERROR(VLOOKUP($D$2,COLORES[],2,FALSE),0)))+E34)
   *(1-_xlfn.XLOOKUP(1,(DESC_PROV[LINEA]=$B$2)*(DESC_PROV[LISTA]=$C$2),DESC_PROV[DESCUENTO])),
   ((B34*(1+IFERROR(VLOOKUP($D$2,COLORES[],2,FALSE),0)))+E34)
   *(1-_xlfn.XLOOKUP(1,(DESC_PROV[LINEA]=$B$2)*(DESC_PROV[LISTA]=$C$2),DESC_PROV[DESCUENTO]))
   *(1+VLOOKUP($C$2,LISTAS[],2,FALSE))
   *(1+VLOOKUP($C$2,LISTAS[],3,FALSE))
)
/5,0)*5,0)</f>
        <v>92100</v>
      </c>
      <c r="I34" s="5" cm="1">
        <f t="array" ref="I34">IFERROR(
ROUND(
IF($A$2="COSTO",
   ((B34*(1+IFERROR(VLOOKUP($D$2,COLORES[],2,FALSE),0)))
   + C34
   + E34)
   *(1-_xlfn.XLOOKUP(1,(DESC_PROV[LINEA]=$B$2)*(DESC_PROV[LISTA]=$C$2),DESC_PROV[DESCUENTO])),
   ((B34*(1+IFERROR(VLOOKUP($D$2,COLORES[],2,FALSE),0)))
   + C34
   + E34)
   *(1-_xlfn.XLOOKUP(1,(DESC_PROV[LINEA]=$B$2)*(DESC_PROV[LISTA]=$C$2),DESC_PROV[DESCUENTO]))
   *(1+VLOOKUP($C$2,LISTAS[],2,FALSE))
   *(1+VLOOKUP($C$2,LISTAS[],3,FALSE))
)
/5,0)*5,0)</f>
        <v>114400</v>
      </c>
      <c r="J34" s="5" cm="1">
        <f t="array" ref="J34">IFERROR(
ROUND(
IF($A$2="COSTO",
   (D34*(1+IFERROR(VLOOKUP($D$2,COLORES[],2,FALSE),0)))
   *(1-_xlfn.XLOOKUP(1,(DESC_PROV[LINEA]=$B$2)*(DESC_PROV[LISTA]=$C$2),DESC_PROV[DESCUENTO])),
   (D34*(1+IFERROR(VLOOKUP($D$2,COLORES[],2,FALSE),0)))
   *(1-_xlfn.XLOOKUP(1,(DESC_PROV[LINEA]=$B$2)*(DESC_PROV[LISTA]=$C$2),DESC_PROV[DESCUENTO]))
   *(1+VLOOKUP($C$2,LISTAS[],2,FALSE))
   *(1+VLOOKUP($C$2,LISTAS[],4,FALSE))
)
/5,0)*5,0)</f>
        <v>37225</v>
      </c>
      <c r="K34" s="6" cm="1">
        <f t="array" ref="K34">IFERROR(
ROUND(
IF($A$2="COSTO",
   (B34*(1+IFERROR(VLOOKUP($D$2,COLORES[],2,FALSE),0))+E34)
   *(1+VLOOKUP($C$2,LISTAS[],5,FALSE))
   *(1-_xlfn.XLOOKUP(1,(DESC_PROV[LINEA]=$B$2)*(DESC_PROV[LISTA]=$C$2),DESC_PROV[DESCUENTO])),
   (B34*(1+IFERROR(VLOOKUP($D$2,COLORES[],2,FALSE),0))+E34)
   *(1-_xlfn.XLOOKUP(1,(DESC_PROV[LINEA]=$B$2)*(DESC_PROV[LISTA]=$C$2),DESC_PROV[DESCUENTO]))
   *(1+VLOOKUP($C$2,LISTAS[],5,FALSE))
   *(1+VLOOKUP($C$2,LISTAS[],2,FALSE))
   *(1+VLOOKUP($C$2,LISTAS[],3,FALSE))
)
/5,0)*5,0)</f>
        <v>119730</v>
      </c>
    </row>
    <row r="35" spans="1:11">
      <c r="A35" s="18" t="s">
        <v>60</v>
      </c>
      <c r="B35" s="3">
        <v>62777</v>
      </c>
      <c r="C35" s="3">
        <v>17983</v>
      </c>
      <c r="D35" s="3">
        <v>27675</v>
      </c>
      <c r="E35" s="7">
        <v>21671</v>
      </c>
      <c r="G35" s="21" t="s">
        <v>60</v>
      </c>
      <c r="H35" s="5" cm="1">
        <f t="array" ref="H35">IFERROR(
ROUND(
IF($A$2="COSTO",
   ((B35*(1+IFERROR(VLOOKUP($D$2,COLORES[],2,FALSE),0)))+E35)
   *(1-_xlfn.XLOOKUP(1,(DESC_PROV[LINEA]=$B$2)*(DESC_PROV[LISTA]=$C$2),DESC_PROV[DESCUENTO])),
   ((B35*(1+IFERROR(VLOOKUP($D$2,COLORES[],2,FALSE),0)))+E35)
   *(1-_xlfn.XLOOKUP(1,(DESC_PROV[LINEA]=$B$2)*(DESC_PROV[LISTA]=$C$2),DESC_PROV[DESCUENTO]))
   *(1+VLOOKUP($C$2,LISTAS[],2,FALSE))
   *(1+VLOOKUP($C$2,LISTAS[],3,FALSE))
)
/5,0)*5,0)</f>
        <v>104730</v>
      </c>
      <c r="I35" s="5" cm="1">
        <f t="array" ref="I35">IFERROR(
ROUND(
IF($A$2="COSTO",
   ((B35*(1+IFERROR(VLOOKUP($D$2,COLORES[],2,FALSE),0)))
   + C35
   + E35)
   *(1-_xlfn.XLOOKUP(1,(DESC_PROV[LINEA]=$B$2)*(DESC_PROV[LISTA]=$C$2),DESC_PROV[DESCUENTO])),
   ((B35*(1+IFERROR(VLOOKUP($D$2,COLORES[],2,FALSE),0)))
   + C35
   + E35)
   *(1-_xlfn.XLOOKUP(1,(DESC_PROV[LINEA]=$B$2)*(DESC_PROV[LISTA]=$C$2),DESC_PROV[DESCUENTO]))
   *(1+VLOOKUP($C$2,LISTAS[],2,FALSE))
   *(1+VLOOKUP($C$2,LISTAS[],3,FALSE))
)
/5,0)*5,0)</f>
        <v>127035</v>
      </c>
      <c r="J35" s="5" cm="1">
        <f t="array" ref="J35">IFERROR(
ROUND(
IF($A$2="COSTO",
   (D35*(1+IFERROR(VLOOKUP($D$2,COLORES[],2,FALSE),0)))
   *(1-_xlfn.XLOOKUP(1,(DESC_PROV[LINEA]=$B$2)*(DESC_PROV[LISTA]=$C$2),DESC_PROV[DESCUENTO])),
   (D35*(1+IFERROR(VLOOKUP($D$2,COLORES[],2,FALSE),0)))
   *(1-_xlfn.XLOOKUP(1,(DESC_PROV[LINEA]=$B$2)*(DESC_PROV[LISTA]=$C$2),DESC_PROV[DESCUENTO]))
   *(1+VLOOKUP($C$2,LISTAS[],2,FALSE))
   *(1+VLOOKUP($C$2,LISTAS[],4,FALSE))
)
/5,0)*5,0)</f>
        <v>42245</v>
      </c>
      <c r="K35" s="6" cm="1">
        <f t="array" ref="K35">IFERROR(
ROUND(
IF($A$2="COSTO",
   (B35*(1+IFERROR(VLOOKUP($D$2,COLORES[],2,FALSE),0))+E35)
   *(1+VLOOKUP($C$2,LISTAS[],5,FALSE))
   *(1-_xlfn.XLOOKUP(1,(DESC_PROV[LINEA]=$B$2)*(DESC_PROV[LISTA]=$C$2),DESC_PROV[DESCUENTO])),
   (B35*(1+IFERROR(VLOOKUP($D$2,COLORES[],2,FALSE),0))+E35)
   *(1-_xlfn.XLOOKUP(1,(DESC_PROV[LINEA]=$B$2)*(DESC_PROV[LISTA]=$C$2),DESC_PROV[DESCUENTO]))
   *(1+VLOOKUP($C$2,LISTAS[],5,FALSE))
   *(1+VLOOKUP($C$2,LISTAS[],2,FALSE))
   *(1+VLOOKUP($C$2,LISTAS[],3,FALSE))
)
/5,0)*5,0)</f>
        <v>136150</v>
      </c>
    </row>
    <row r="36" spans="1:11">
      <c r="A36" s="18" t="s">
        <v>61</v>
      </c>
      <c r="B36" s="3">
        <v>67209</v>
      </c>
      <c r="C36" s="3">
        <v>17983</v>
      </c>
      <c r="D36" s="3">
        <v>30962</v>
      </c>
      <c r="E36" s="7">
        <v>26317</v>
      </c>
      <c r="G36" s="21" t="s">
        <v>61</v>
      </c>
      <c r="H36" s="5" cm="1">
        <f t="array" ref="H36">IFERROR(
ROUND(
IF($A$2="COSTO",
   ((B36*(1+IFERROR(VLOOKUP($D$2,COLORES[],2,FALSE),0)))+E36)
   *(1-_xlfn.XLOOKUP(1,(DESC_PROV[LINEA]=$B$2)*(DESC_PROV[LISTA]=$C$2),DESC_PROV[DESCUENTO])),
   ((B36*(1+IFERROR(VLOOKUP($D$2,COLORES[],2,FALSE),0)))+E36)
   *(1-_xlfn.XLOOKUP(1,(DESC_PROV[LINEA]=$B$2)*(DESC_PROV[LISTA]=$C$2),DESC_PROV[DESCUENTO]))
   *(1+VLOOKUP($C$2,LISTAS[],2,FALSE))
   *(1+VLOOKUP($C$2,LISTAS[],3,FALSE))
)
/5,0)*5,0)</f>
        <v>115990</v>
      </c>
      <c r="I36" s="5" cm="1">
        <f t="array" ref="I36">IFERROR(
ROUND(
IF($A$2="COSTO",
   ((B36*(1+IFERROR(VLOOKUP($D$2,COLORES[],2,FALSE),0)))
   + C36
   + E36)
   *(1-_xlfn.XLOOKUP(1,(DESC_PROV[LINEA]=$B$2)*(DESC_PROV[LISTA]=$C$2),DESC_PROV[DESCUENTO])),
   ((B36*(1+IFERROR(VLOOKUP($D$2,COLORES[],2,FALSE),0)))
   + C36
   + E36)
   *(1-_xlfn.XLOOKUP(1,(DESC_PROV[LINEA]=$B$2)*(DESC_PROV[LISTA]=$C$2),DESC_PROV[DESCUENTO]))
   *(1+VLOOKUP($C$2,LISTAS[],2,FALSE))
   *(1+VLOOKUP($C$2,LISTAS[],3,FALSE))
)
/5,0)*5,0)</f>
        <v>138295</v>
      </c>
      <c r="J36" s="5" cm="1">
        <f t="array" ref="J36">IFERROR(
ROUND(
IF($A$2="COSTO",
   (D36*(1+IFERROR(VLOOKUP($D$2,COLORES[],2,FALSE),0)))
   *(1-_xlfn.XLOOKUP(1,(DESC_PROV[LINEA]=$B$2)*(DESC_PROV[LISTA]=$C$2),DESC_PROV[DESCUENTO])),
   (D36*(1+IFERROR(VLOOKUP($D$2,COLORES[],2,FALSE),0)))
   *(1-_xlfn.XLOOKUP(1,(DESC_PROV[LINEA]=$B$2)*(DESC_PROV[LISTA]=$C$2),DESC_PROV[DESCUENTO]))
   *(1+VLOOKUP($C$2,LISTAS[],2,FALSE))
   *(1+VLOOKUP($C$2,LISTAS[],4,FALSE))
)
/5,0)*5,0)</f>
        <v>47260</v>
      </c>
      <c r="K36" s="6" cm="1">
        <f t="array" ref="K36">IFERROR(
ROUND(
IF($A$2="COSTO",
   (B36*(1+IFERROR(VLOOKUP($D$2,COLORES[],2,FALSE),0))+E36)
   *(1+VLOOKUP($C$2,LISTAS[],5,FALSE))
   *(1-_xlfn.XLOOKUP(1,(DESC_PROV[LINEA]=$B$2)*(DESC_PROV[LISTA]=$C$2),DESC_PROV[DESCUENTO])),
   (B36*(1+IFERROR(VLOOKUP($D$2,COLORES[],2,FALSE),0))+E36)
   *(1-_xlfn.XLOOKUP(1,(DESC_PROV[LINEA]=$B$2)*(DESC_PROV[LISTA]=$C$2),DESC_PROV[DESCUENTO]))
   *(1+VLOOKUP($C$2,LISTAS[],5,FALSE))
   *(1+VLOOKUP($C$2,LISTAS[],2,FALSE))
   *(1+VLOOKUP($C$2,LISTAS[],3,FALSE))
)
/5,0)*5,0)</f>
        <v>150790</v>
      </c>
    </row>
    <row r="37" spans="1:11">
      <c r="A37" s="18" t="s">
        <v>63</v>
      </c>
      <c r="B37" s="3">
        <v>77140</v>
      </c>
      <c r="C37" s="3">
        <v>17983</v>
      </c>
      <c r="D37" s="3">
        <v>37538</v>
      </c>
      <c r="E37" s="7">
        <v>32503</v>
      </c>
      <c r="G37" s="21" t="s">
        <v>63</v>
      </c>
      <c r="H37" s="5" cm="1">
        <f t="array" ref="H37">IFERROR(
ROUND(
IF($A$2="COSTO",
   ((B37*(1+IFERROR(VLOOKUP($D$2,COLORES[],2,FALSE),0)))+E37)
   *(1-_xlfn.XLOOKUP(1,(DESC_PROV[LINEA]=$B$2)*(DESC_PROV[LISTA]=$C$2),DESC_PROV[DESCUENTO])),
   ((B37*(1+IFERROR(VLOOKUP($D$2,COLORES[],2,FALSE),0)))+E37)
   *(1-_xlfn.XLOOKUP(1,(DESC_PROV[LINEA]=$B$2)*(DESC_PROV[LISTA]=$C$2),DESC_PROV[DESCUENTO]))
   *(1+VLOOKUP($C$2,LISTAS[],2,FALSE))
   *(1+VLOOKUP($C$2,LISTAS[],3,FALSE))
)
/5,0)*5,0)</f>
        <v>135980</v>
      </c>
      <c r="I37" s="5" cm="1">
        <f t="array" ref="I37">IFERROR(
ROUND(
IF($A$2="COSTO",
   ((B37*(1+IFERROR(VLOOKUP($D$2,COLORES[],2,FALSE),0)))
   + C37
   + E37)
   *(1-_xlfn.XLOOKUP(1,(DESC_PROV[LINEA]=$B$2)*(DESC_PROV[LISTA]=$C$2),DESC_PROV[DESCUENTO])),
   ((B37*(1+IFERROR(VLOOKUP($D$2,COLORES[],2,FALSE),0)))
   + C37
   + E37)
   *(1-_xlfn.XLOOKUP(1,(DESC_PROV[LINEA]=$B$2)*(DESC_PROV[LISTA]=$C$2),DESC_PROV[DESCUENTO]))
   *(1+VLOOKUP($C$2,LISTAS[],2,FALSE))
   *(1+VLOOKUP($C$2,LISTAS[],3,FALSE))
)
/5,0)*5,0)</f>
        <v>158280</v>
      </c>
      <c r="J37" s="5" cm="1">
        <f t="array" ref="J37">IFERROR(
ROUND(
IF($A$2="COSTO",
   (D37*(1+IFERROR(VLOOKUP($D$2,COLORES[],2,FALSE),0)))
   *(1-_xlfn.XLOOKUP(1,(DESC_PROV[LINEA]=$B$2)*(DESC_PROV[LISTA]=$C$2),DESC_PROV[DESCUENTO])),
   (D37*(1+IFERROR(VLOOKUP($D$2,COLORES[],2,FALSE),0)))
   *(1-_xlfn.XLOOKUP(1,(DESC_PROV[LINEA]=$B$2)*(DESC_PROV[LISTA]=$C$2),DESC_PROV[DESCUENTO]))
   *(1+VLOOKUP($C$2,LISTAS[],2,FALSE))
   *(1+VLOOKUP($C$2,LISTAS[],4,FALSE))
)
/5,0)*5,0)</f>
        <v>57300</v>
      </c>
      <c r="K37" s="6" cm="1">
        <f t="array" ref="K37">IFERROR(
ROUND(
IF($A$2="COSTO",
   (B37*(1+IFERROR(VLOOKUP($D$2,COLORES[],2,FALSE),0))+E37)
   *(1+VLOOKUP($C$2,LISTAS[],5,FALSE))
   *(1-_xlfn.XLOOKUP(1,(DESC_PROV[LINEA]=$B$2)*(DESC_PROV[LISTA]=$C$2),DESC_PROV[DESCUENTO])),
   (B37*(1+IFERROR(VLOOKUP($D$2,COLORES[],2,FALSE),0))+E37)
   *(1-_xlfn.XLOOKUP(1,(DESC_PROV[LINEA]=$B$2)*(DESC_PROV[LISTA]=$C$2),DESC_PROV[DESCUENTO]))
   *(1+VLOOKUP($C$2,LISTAS[],5,FALSE))
   *(1+VLOOKUP($C$2,LISTAS[],2,FALSE))
   *(1+VLOOKUP($C$2,LISTAS[],3,FALSE))
)
/5,0)*5,0)</f>
        <v>176775</v>
      </c>
    </row>
    <row r="38" spans="1:11">
      <c r="A38" s="18" t="s">
        <v>64</v>
      </c>
      <c r="B38" s="3">
        <v>77140</v>
      </c>
      <c r="C38" s="3">
        <v>17983</v>
      </c>
      <c r="D38" s="3">
        <v>37538</v>
      </c>
      <c r="E38" s="7">
        <v>35599</v>
      </c>
      <c r="G38" s="21" t="s">
        <v>64</v>
      </c>
      <c r="H38" s="5" cm="1">
        <f t="array" ref="H38">IFERROR(
ROUND(
IF($A$2="COSTO",
   ((B38*(1+IFERROR(VLOOKUP($D$2,COLORES[],2,FALSE),0)))+E38)
   *(1-_xlfn.XLOOKUP(1,(DESC_PROV[LINEA]=$B$2)*(DESC_PROV[LISTA]=$C$2),DESC_PROV[DESCUENTO])),
   ((B38*(1+IFERROR(VLOOKUP($D$2,COLORES[],2,FALSE),0)))+E38)
   *(1-_xlfn.XLOOKUP(1,(DESC_PROV[LINEA]=$B$2)*(DESC_PROV[LISTA]=$C$2),DESC_PROV[DESCUENTO]))
   *(1+VLOOKUP($C$2,LISTAS[],2,FALSE))
   *(1+VLOOKUP($C$2,LISTAS[],3,FALSE))
)
/5,0)*5,0)</f>
        <v>139820</v>
      </c>
      <c r="I38" s="5" cm="1">
        <f t="array" ref="I38">IFERROR(
ROUND(
IF($A$2="COSTO",
   ((B38*(1+IFERROR(VLOOKUP($D$2,COLORES[],2,FALSE),0)))
   + C38
   + E38)
   *(1-_xlfn.XLOOKUP(1,(DESC_PROV[LINEA]=$B$2)*(DESC_PROV[LISTA]=$C$2),DESC_PROV[DESCUENTO])),
   ((B38*(1+IFERROR(VLOOKUP($D$2,COLORES[],2,FALSE),0)))
   + C38
   + E38)
   *(1-_xlfn.XLOOKUP(1,(DESC_PROV[LINEA]=$B$2)*(DESC_PROV[LISTA]=$C$2),DESC_PROV[DESCUENTO]))
   *(1+VLOOKUP($C$2,LISTAS[],2,FALSE))
   *(1+VLOOKUP($C$2,LISTAS[],3,FALSE))
)
/5,0)*5,0)</f>
        <v>162120</v>
      </c>
      <c r="J38" s="5" cm="1">
        <f t="array" ref="J38">IFERROR(
ROUND(
IF($A$2="COSTO",
   (D38*(1+IFERROR(VLOOKUP($D$2,COLORES[],2,FALSE),0)))
   *(1-_xlfn.XLOOKUP(1,(DESC_PROV[LINEA]=$B$2)*(DESC_PROV[LISTA]=$C$2),DESC_PROV[DESCUENTO])),
   (D38*(1+IFERROR(VLOOKUP($D$2,COLORES[],2,FALSE),0)))
   *(1-_xlfn.XLOOKUP(1,(DESC_PROV[LINEA]=$B$2)*(DESC_PROV[LISTA]=$C$2),DESC_PROV[DESCUENTO]))
   *(1+VLOOKUP($C$2,LISTAS[],2,FALSE))
   *(1+VLOOKUP($C$2,LISTAS[],4,FALSE))
)
/5,0)*5,0)</f>
        <v>57300</v>
      </c>
      <c r="K38" s="6" cm="1">
        <f t="array" ref="K38">IFERROR(
ROUND(
IF($A$2="COSTO",
   (B38*(1+IFERROR(VLOOKUP($D$2,COLORES[],2,FALSE),0))+E38)
   *(1+VLOOKUP($C$2,LISTAS[],5,FALSE))
   *(1-_xlfn.XLOOKUP(1,(DESC_PROV[LINEA]=$B$2)*(DESC_PROV[LISTA]=$C$2),DESC_PROV[DESCUENTO])),
   (B38*(1+IFERROR(VLOOKUP($D$2,COLORES[],2,FALSE),0))+E38)
   *(1-_xlfn.XLOOKUP(1,(DESC_PROV[LINEA]=$B$2)*(DESC_PROV[LISTA]=$C$2),DESC_PROV[DESCUENTO]))
   *(1+VLOOKUP($C$2,LISTAS[],5,FALSE))
   *(1+VLOOKUP($C$2,LISTAS[],2,FALSE))
   *(1+VLOOKUP($C$2,LISTAS[],3,FALSE))
)
/5,0)*5,0)</f>
        <v>181765</v>
      </c>
    </row>
    <row r="39" spans="1:11">
      <c r="A39" s="18" t="s">
        <v>107</v>
      </c>
      <c r="B39" s="3">
        <v>56271</v>
      </c>
      <c r="C39" s="3">
        <v>19618</v>
      </c>
      <c r="D39" s="3">
        <v>23748</v>
      </c>
      <c r="E39" s="7">
        <v>15326</v>
      </c>
      <c r="G39" s="21" t="s">
        <v>107</v>
      </c>
      <c r="H39" s="5" cm="1">
        <f t="array" ref="H39">IFERROR(
ROUND(
IF($A$2="COSTO",
   ((B39*(1+IFERROR(VLOOKUP($D$2,COLORES[],2,FALSE),0)))+E39)
   *(1-_xlfn.XLOOKUP(1,(DESC_PROV[LINEA]=$B$2)*(DESC_PROV[LISTA]=$C$2),DESC_PROV[DESCUENTO])),
   ((B39*(1+IFERROR(VLOOKUP($D$2,COLORES[],2,FALSE),0)))+E39)
   *(1-_xlfn.XLOOKUP(1,(DESC_PROV[LINEA]=$B$2)*(DESC_PROV[LISTA]=$C$2),DESC_PROV[DESCUENTO]))
   *(1+VLOOKUP($C$2,LISTAS[],2,FALSE))
   *(1+VLOOKUP($C$2,LISTAS[],3,FALSE))
)
/5,0)*5,0)</f>
        <v>88795</v>
      </c>
      <c r="I39" s="5" cm="1">
        <f t="array" ref="I39">IFERROR(
ROUND(
IF($A$2="COSTO",
   ((B39*(1+IFERROR(VLOOKUP($D$2,COLORES[],2,FALSE),0)))
   + C39
   + E39)
   *(1-_xlfn.XLOOKUP(1,(DESC_PROV[LINEA]=$B$2)*(DESC_PROV[LISTA]=$C$2),DESC_PROV[DESCUENTO])),
   ((B39*(1+IFERROR(VLOOKUP($D$2,COLORES[],2,FALSE),0)))
   + C39
   + E39)
   *(1-_xlfn.XLOOKUP(1,(DESC_PROV[LINEA]=$B$2)*(DESC_PROV[LISTA]=$C$2),DESC_PROV[DESCUENTO]))
   *(1+VLOOKUP($C$2,LISTAS[],2,FALSE))
   *(1+VLOOKUP($C$2,LISTAS[],3,FALSE))
)
/5,0)*5,0)</f>
        <v>113125</v>
      </c>
      <c r="J39" s="5" cm="1">
        <f t="array" ref="J39">IFERROR(
ROUND(
IF($A$2="COSTO",
   (D39*(1+IFERROR(VLOOKUP($D$2,COLORES[],2,FALSE),0)))
   *(1-_xlfn.XLOOKUP(1,(DESC_PROV[LINEA]=$B$2)*(DESC_PROV[LISTA]=$C$2),DESC_PROV[DESCUENTO])),
   (D39*(1+IFERROR(VLOOKUP($D$2,COLORES[],2,FALSE),0)))
   *(1-_xlfn.XLOOKUP(1,(DESC_PROV[LINEA]=$B$2)*(DESC_PROV[LISTA]=$C$2),DESC_PROV[DESCUENTO]))
   *(1+VLOOKUP($C$2,LISTAS[],2,FALSE))
   *(1+VLOOKUP($C$2,LISTAS[],4,FALSE))
)
/5,0)*5,0)</f>
        <v>36250</v>
      </c>
      <c r="K39" s="6" cm="1">
        <f t="array" ref="K39">IFERROR(
ROUND(
IF($A$2="COSTO",
   (B39*(1+IFERROR(VLOOKUP($D$2,COLORES[],2,FALSE),0))+E39)
   *(1+VLOOKUP($C$2,LISTAS[],5,FALSE))
   *(1-_xlfn.XLOOKUP(1,(DESC_PROV[LINEA]=$B$2)*(DESC_PROV[LISTA]=$C$2),DESC_PROV[DESCUENTO])),
   (B39*(1+IFERROR(VLOOKUP($D$2,COLORES[],2,FALSE),0))+E39)
   *(1-_xlfn.XLOOKUP(1,(DESC_PROV[LINEA]=$B$2)*(DESC_PROV[LISTA]=$C$2),DESC_PROV[DESCUENTO]))
   *(1+VLOOKUP($C$2,LISTAS[],5,FALSE))
   *(1+VLOOKUP($C$2,LISTAS[],2,FALSE))
   *(1+VLOOKUP($C$2,LISTAS[],3,FALSE))
)
/5,0)*5,0)</f>
        <v>115435</v>
      </c>
    </row>
    <row r="40" spans="1:11">
      <c r="A40" s="18" t="s">
        <v>108</v>
      </c>
      <c r="B40" s="3">
        <v>59579</v>
      </c>
      <c r="C40" s="3">
        <v>19618</v>
      </c>
      <c r="D40" s="3">
        <v>26047</v>
      </c>
      <c r="E40" s="7">
        <v>18728</v>
      </c>
      <c r="G40" s="21" t="s">
        <v>108</v>
      </c>
      <c r="H40" s="5" cm="1">
        <f t="array" ref="H40">IFERROR(
ROUND(
IF($A$2="COSTO",
   ((B40*(1+IFERROR(VLOOKUP($D$2,COLORES[],2,FALSE),0)))+E40)
   *(1-_xlfn.XLOOKUP(1,(DESC_PROV[LINEA]=$B$2)*(DESC_PROV[LISTA]=$C$2),DESC_PROV[DESCUENTO])),
   ((B40*(1+IFERROR(VLOOKUP($D$2,COLORES[],2,FALSE),0)))+E40)
   *(1-_xlfn.XLOOKUP(1,(DESC_PROV[LINEA]=$B$2)*(DESC_PROV[LISTA]=$C$2),DESC_PROV[DESCUENTO]))
   *(1+VLOOKUP($C$2,LISTAS[],2,FALSE))
   *(1+VLOOKUP($C$2,LISTAS[],3,FALSE))
)
/5,0)*5,0)</f>
        <v>97115</v>
      </c>
      <c r="I40" s="5" cm="1">
        <f t="array" ref="I40">IFERROR(
ROUND(
IF($A$2="COSTO",
   ((B40*(1+IFERROR(VLOOKUP($D$2,COLORES[],2,FALSE),0)))
   + C40
   + E40)
   *(1-_xlfn.XLOOKUP(1,(DESC_PROV[LINEA]=$B$2)*(DESC_PROV[LISTA]=$C$2),DESC_PROV[DESCUENTO])),
   ((B40*(1+IFERROR(VLOOKUP($D$2,COLORES[],2,FALSE),0)))
   + C40
   + E40)
   *(1-_xlfn.XLOOKUP(1,(DESC_PROV[LINEA]=$B$2)*(DESC_PROV[LISTA]=$C$2),DESC_PROV[DESCUENTO]))
   *(1+VLOOKUP($C$2,LISTAS[],2,FALSE))
   *(1+VLOOKUP($C$2,LISTAS[],3,FALSE))
)
/5,0)*5,0)</f>
        <v>121445</v>
      </c>
      <c r="J40" s="5" cm="1">
        <f t="array" ref="J40">IFERROR(
ROUND(
IF($A$2="COSTO",
   (D40*(1+IFERROR(VLOOKUP($D$2,COLORES[],2,FALSE),0)))
   *(1-_xlfn.XLOOKUP(1,(DESC_PROV[LINEA]=$B$2)*(DESC_PROV[LISTA]=$C$2),DESC_PROV[DESCUENTO])),
   (D40*(1+IFERROR(VLOOKUP($D$2,COLORES[],2,FALSE),0)))
   *(1-_xlfn.XLOOKUP(1,(DESC_PROV[LINEA]=$B$2)*(DESC_PROV[LISTA]=$C$2),DESC_PROV[DESCUENTO]))
   *(1+VLOOKUP($C$2,LISTAS[],2,FALSE))
   *(1+VLOOKUP($C$2,LISTAS[],4,FALSE))
)
/5,0)*5,0)</f>
        <v>39760</v>
      </c>
      <c r="K40" s="6" cm="1">
        <f t="array" ref="K40">IFERROR(
ROUND(
IF($A$2="COSTO",
   (B40*(1+IFERROR(VLOOKUP($D$2,COLORES[],2,FALSE),0))+E40)
   *(1+VLOOKUP($C$2,LISTAS[],5,FALSE))
   *(1-_xlfn.XLOOKUP(1,(DESC_PROV[LINEA]=$B$2)*(DESC_PROV[LISTA]=$C$2),DESC_PROV[DESCUENTO])),
   (B40*(1+IFERROR(VLOOKUP($D$2,COLORES[],2,FALSE),0))+E40)
   *(1-_xlfn.XLOOKUP(1,(DESC_PROV[LINEA]=$B$2)*(DESC_PROV[LISTA]=$C$2),DESC_PROV[DESCUENTO]))
   *(1+VLOOKUP($C$2,LISTAS[],5,FALSE))
   *(1+VLOOKUP($C$2,LISTAS[],2,FALSE))
   *(1+VLOOKUP($C$2,LISTAS[],3,FALSE))
)
/5,0)*5,0)</f>
        <v>126250</v>
      </c>
    </row>
    <row r="41" spans="1:11">
      <c r="A41" s="18" t="s">
        <v>109</v>
      </c>
      <c r="B41" s="3">
        <v>65069</v>
      </c>
      <c r="C41" s="3">
        <v>19618</v>
      </c>
      <c r="D41" s="3">
        <v>29494</v>
      </c>
      <c r="E41" s="7">
        <v>23838</v>
      </c>
      <c r="G41" s="21" t="s">
        <v>109</v>
      </c>
      <c r="H41" s="5" cm="1">
        <f t="array" ref="H41">IFERROR(
ROUND(
IF($A$2="COSTO",
   ((B41*(1+IFERROR(VLOOKUP($D$2,COLORES[],2,FALSE),0)))+E41)
   *(1-_xlfn.XLOOKUP(1,(DESC_PROV[LINEA]=$B$2)*(DESC_PROV[LISTA]=$C$2),DESC_PROV[DESCUENTO])),
   ((B41*(1+IFERROR(VLOOKUP($D$2,COLORES[],2,FALSE),0)))+E41)
   *(1-_xlfn.XLOOKUP(1,(DESC_PROV[LINEA]=$B$2)*(DESC_PROV[LISTA]=$C$2),DESC_PROV[DESCUENTO]))
   *(1+VLOOKUP($C$2,LISTAS[],2,FALSE))
   *(1+VLOOKUP($C$2,LISTAS[],3,FALSE))
)
/5,0)*5,0)</f>
        <v>110260</v>
      </c>
      <c r="I41" s="5" cm="1">
        <f t="array" ref="I41">IFERROR(
ROUND(
IF($A$2="COSTO",
   ((B41*(1+IFERROR(VLOOKUP($D$2,COLORES[],2,FALSE),0)))
   + C41
   + E41)
   *(1-_xlfn.XLOOKUP(1,(DESC_PROV[LINEA]=$B$2)*(DESC_PROV[LISTA]=$C$2),DESC_PROV[DESCUENTO])),
   ((B41*(1+IFERROR(VLOOKUP($D$2,COLORES[],2,FALSE),0)))
   + C41
   + E41)
   *(1-_xlfn.XLOOKUP(1,(DESC_PROV[LINEA]=$B$2)*(DESC_PROV[LISTA]=$C$2),DESC_PROV[DESCUENTO]))
   *(1+VLOOKUP($C$2,LISTAS[],2,FALSE))
   *(1+VLOOKUP($C$2,LISTAS[],3,FALSE))
)
/5,0)*5,0)</f>
        <v>134595</v>
      </c>
      <c r="J41" s="5" cm="1">
        <f t="array" ref="J41">IFERROR(
ROUND(
IF($A$2="COSTO",
   (D41*(1+IFERROR(VLOOKUP($D$2,COLORES[],2,FALSE),0)))
   *(1-_xlfn.XLOOKUP(1,(DESC_PROV[LINEA]=$B$2)*(DESC_PROV[LISTA]=$C$2),DESC_PROV[DESCUENTO])),
   (D41*(1+IFERROR(VLOOKUP($D$2,COLORES[],2,FALSE),0)))
   *(1-_xlfn.XLOOKUP(1,(DESC_PROV[LINEA]=$B$2)*(DESC_PROV[LISTA]=$C$2),DESC_PROV[DESCUENTO]))
   *(1+VLOOKUP($C$2,LISTAS[],2,FALSE))
   *(1+VLOOKUP($C$2,LISTAS[],4,FALSE))
)
/5,0)*5,0)</f>
        <v>45020</v>
      </c>
      <c r="K41" s="6" cm="1">
        <f t="array" ref="K41">IFERROR(
ROUND(
IF($A$2="COSTO",
   (B41*(1+IFERROR(VLOOKUP($D$2,COLORES[],2,FALSE),0))+E41)
   *(1+VLOOKUP($C$2,LISTAS[],5,FALSE))
   *(1-_xlfn.XLOOKUP(1,(DESC_PROV[LINEA]=$B$2)*(DESC_PROV[LISTA]=$C$2),DESC_PROV[DESCUENTO])),
   (B41*(1+IFERROR(VLOOKUP($D$2,COLORES[],2,FALSE),0))+E41)
   *(1-_xlfn.XLOOKUP(1,(DESC_PROV[LINEA]=$B$2)*(DESC_PROV[LISTA]=$C$2),DESC_PROV[DESCUENTO]))
   *(1+VLOOKUP($C$2,LISTAS[],5,FALSE))
   *(1+VLOOKUP($C$2,LISTAS[],2,FALSE))
   *(1+VLOOKUP($C$2,LISTAS[],3,FALSE))
)
/5,0)*5,0)</f>
        <v>143340</v>
      </c>
    </row>
    <row r="42" spans="1:11">
      <c r="A42" s="18" t="s">
        <v>110</v>
      </c>
      <c r="B42" s="3">
        <v>69500</v>
      </c>
      <c r="C42" s="3">
        <v>19618</v>
      </c>
      <c r="D42" s="3">
        <v>32941</v>
      </c>
      <c r="E42" s="7">
        <v>28943</v>
      </c>
      <c r="G42" s="21" t="s">
        <v>110</v>
      </c>
      <c r="H42" s="5" cm="1">
        <f t="array" ref="H42">IFERROR(
ROUND(
IF($A$2="COSTO",
   ((B42*(1+IFERROR(VLOOKUP($D$2,COLORES[],2,FALSE),0)))+E42)
   *(1-_xlfn.XLOOKUP(1,(DESC_PROV[LINEA]=$B$2)*(DESC_PROV[LISTA]=$C$2),DESC_PROV[DESCUENTO])),
   ((B42*(1+IFERROR(VLOOKUP($D$2,COLORES[],2,FALSE),0)))+E42)
   *(1-_xlfn.XLOOKUP(1,(DESC_PROV[LINEA]=$B$2)*(DESC_PROV[LISTA]=$C$2),DESC_PROV[DESCUENTO]))
   *(1+VLOOKUP($C$2,LISTAS[],2,FALSE))
   *(1+VLOOKUP($C$2,LISTAS[],3,FALSE))
)
/5,0)*5,0)</f>
        <v>122090</v>
      </c>
      <c r="I42" s="5" cm="1">
        <f t="array" ref="I42">IFERROR(
ROUND(
IF($A$2="COSTO",
   ((B42*(1+IFERROR(VLOOKUP($D$2,COLORES[],2,FALSE),0)))
   + C42
   + E42)
   *(1-_xlfn.XLOOKUP(1,(DESC_PROV[LINEA]=$B$2)*(DESC_PROV[LISTA]=$C$2),DESC_PROV[DESCUENTO])),
   ((B42*(1+IFERROR(VLOOKUP($D$2,COLORES[],2,FALSE),0)))
   + C42
   + E42)
   *(1-_xlfn.XLOOKUP(1,(DESC_PROV[LINEA]=$B$2)*(DESC_PROV[LISTA]=$C$2),DESC_PROV[DESCUENTO]))
   *(1+VLOOKUP($C$2,LISTAS[],2,FALSE))
   *(1+VLOOKUP($C$2,LISTAS[],3,FALSE))
)
/5,0)*5,0)</f>
        <v>146420</v>
      </c>
      <c r="J42" s="5" cm="1">
        <f t="array" ref="J42">IFERROR(
ROUND(
IF($A$2="COSTO",
   (D42*(1+IFERROR(VLOOKUP($D$2,COLORES[],2,FALSE),0)))
   *(1-_xlfn.XLOOKUP(1,(DESC_PROV[LINEA]=$B$2)*(DESC_PROV[LISTA]=$C$2),DESC_PROV[DESCUENTO])),
   (D42*(1+IFERROR(VLOOKUP($D$2,COLORES[],2,FALSE),0)))
   *(1-_xlfn.XLOOKUP(1,(DESC_PROV[LINEA]=$B$2)*(DESC_PROV[LISTA]=$C$2),DESC_PROV[DESCUENTO]))
   *(1+VLOOKUP($C$2,LISTAS[],2,FALSE))
   *(1+VLOOKUP($C$2,LISTAS[],4,FALSE))
)
/5,0)*5,0)</f>
        <v>50280</v>
      </c>
      <c r="K42" s="6" cm="1">
        <f t="array" ref="K42">IFERROR(
ROUND(
IF($A$2="COSTO",
   (B42*(1+IFERROR(VLOOKUP($D$2,COLORES[],2,FALSE),0))+E42)
   *(1+VLOOKUP($C$2,LISTAS[],5,FALSE))
   *(1-_xlfn.XLOOKUP(1,(DESC_PROV[LINEA]=$B$2)*(DESC_PROV[LISTA]=$C$2),DESC_PROV[DESCUENTO])),
   (B42*(1+IFERROR(VLOOKUP($D$2,COLORES[],2,FALSE),0))+E42)
   *(1-_xlfn.XLOOKUP(1,(DESC_PROV[LINEA]=$B$2)*(DESC_PROV[LISTA]=$C$2),DESC_PROV[DESCUENTO]))
   *(1+VLOOKUP($C$2,LISTAS[],5,FALSE))
   *(1+VLOOKUP($C$2,LISTAS[],2,FALSE))
   *(1+VLOOKUP($C$2,LISTAS[],3,FALSE))
)
/5,0)*5,0)</f>
        <v>158715</v>
      </c>
    </row>
    <row r="43" spans="1:11">
      <c r="A43" s="18" t="s">
        <v>111</v>
      </c>
      <c r="B43" s="3">
        <v>75940</v>
      </c>
      <c r="C43" s="3">
        <v>19618</v>
      </c>
      <c r="D43" s="3">
        <v>35240</v>
      </c>
      <c r="E43" s="7">
        <v>32351</v>
      </c>
      <c r="G43" s="21" t="s">
        <v>111</v>
      </c>
      <c r="H43" s="5" cm="1">
        <f t="array" ref="H43">IFERROR(
ROUND(
IF($A$2="COSTO",
   ((B43*(1+IFERROR(VLOOKUP($D$2,COLORES[],2,FALSE),0)))+E43)
   *(1-_xlfn.XLOOKUP(1,(DESC_PROV[LINEA]=$B$2)*(DESC_PROV[LISTA]=$C$2),DESC_PROV[DESCUENTO])),
   ((B43*(1+IFERROR(VLOOKUP($D$2,COLORES[],2,FALSE),0)))+E43)
   *(1-_xlfn.XLOOKUP(1,(DESC_PROV[LINEA]=$B$2)*(DESC_PROV[LISTA]=$C$2),DESC_PROV[DESCUENTO]))
   *(1+VLOOKUP($C$2,LISTAS[],2,FALSE))
   *(1+VLOOKUP($C$2,LISTAS[],3,FALSE))
)
/5,0)*5,0)</f>
        <v>134300</v>
      </c>
      <c r="I43" s="5" cm="1">
        <f t="array" ref="I43">IFERROR(
ROUND(
IF($A$2="COSTO",
   ((B43*(1+IFERROR(VLOOKUP($D$2,COLORES[],2,FALSE),0)))
   + C43
   + E43)
   *(1-_xlfn.XLOOKUP(1,(DESC_PROV[LINEA]=$B$2)*(DESC_PROV[LISTA]=$C$2),DESC_PROV[DESCUENTO])),
   ((B43*(1+IFERROR(VLOOKUP($D$2,COLORES[],2,FALSE),0)))
   + C43
   + E43)
   *(1-_xlfn.XLOOKUP(1,(DESC_PROV[LINEA]=$B$2)*(DESC_PROV[LISTA]=$C$2),DESC_PROV[DESCUENTO]))
   *(1+VLOOKUP($C$2,LISTAS[],2,FALSE))
   *(1+VLOOKUP($C$2,LISTAS[],3,FALSE))
)
/5,0)*5,0)</f>
        <v>158635</v>
      </c>
      <c r="J43" s="5" cm="1">
        <f t="array" ref="J43">IFERROR(
ROUND(
IF($A$2="COSTO",
   (D43*(1+IFERROR(VLOOKUP($D$2,COLORES[],2,FALSE),0)))
   *(1-_xlfn.XLOOKUP(1,(DESC_PROV[LINEA]=$B$2)*(DESC_PROV[LISTA]=$C$2),DESC_PROV[DESCUENTO])),
   (D43*(1+IFERROR(VLOOKUP($D$2,COLORES[],2,FALSE),0)))
   *(1-_xlfn.XLOOKUP(1,(DESC_PROV[LINEA]=$B$2)*(DESC_PROV[LISTA]=$C$2),DESC_PROV[DESCUENTO]))
   *(1+VLOOKUP($C$2,LISTAS[],2,FALSE))
   *(1+VLOOKUP($C$2,LISTAS[],4,FALSE))
)
/5,0)*5,0)</f>
        <v>53790</v>
      </c>
      <c r="K43" s="6" cm="1">
        <f t="array" ref="K43">IFERROR(
ROUND(
IF($A$2="COSTO",
   (B43*(1+IFERROR(VLOOKUP($D$2,COLORES[],2,FALSE),0))+E43)
   *(1+VLOOKUP($C$2,LISTAS[],5,FALSE))
   *(1-_xlfn.XLOOKUP(1,(DESC_PROV[LINEA]=$B$2)*(DESC_PROV[LISTA]=$C$2),DESC_PROV[DESCUENTO])),
   (B43*(1+IFERROR(VLOOKUP($D$2,COLORES[],2,FALSE),0))+E43)
   *(1-_xlfn.XLOOKUP(1,(DESC_PROV[LINEA]=$B$2)*(DESC_PROV[LISTA]=$C$2),DESC_PROV[DESCUENTO]))
   *(1+VLOOKUP($C$2,LISTAS[],5,FALSE))
   *(1+VLOOKUP($C$2,LISTAS[],2,FALSE))
   *(1+VLOOKUP($C$2,LISTAS[],3,FALSE))
)
/5,0)*5,0)</f>
        <v>174595</v>
      </c>
    </row>
    <row r="44" spans="1:11">
      <c r="A44" s="18" t="s">
        <v>112</v>
      </c>
      <c r="B44" s="3">
        <v>79293</v>
      </c>
      <c r="C44" s="3">
        <v>19618</v>
      </c>
      <c r="D44" s="3">
        <v>37538</v>
      </c>
      <c r="E44" s="7">
        <v>35758</v>
      </c>
      <c r="G44" s="21" t="s">
        <v>112</v>
      </c>
      <c r="H44" s="5" cm="1">
        <f t="array" ref="H44">IFERROR(
ROUND(
IF($A$2="COSTO",
   ((B44*(1+IFERROR(VLOOKUP($D$2,COLORES[],2,FALSE),0)))+E44)
   *(1-_xlfn.XLOOKUP(1,(DESC_PROV[LINEA]=$B$2)*(DESC_PROV[LISTA]=$C$2),DESC_PROV[DESCUENTO])),
   ((B44*(1+IFERROR(VLOOKUP($D$2,COLORES[],2,FALSE),0)))+E44)
   *(1-_xlfn.XLOOKUP(1,(DESC_PROV[LINEA]=$B$2)*(DESC_PROV[LISTA]=$C$2),DESC_PROV[DESCUENTO]))
   *(1+VLOOKUP($C$2,LISTAS[],2,FALSE))
   *(1+VLOOKUP($C$2,LISTAS[],3,FALSE))
)
/5,0)*5,0)</f>
        <v>142685</v>
      </c>
      <c r="I44" s="5" cm="1">
        <f t="array" ref="I44">IFERROR(
ROUND(
IF($A$2="COSTO",
   ((B44*(1+IFERROR(VLOOKUP($D$2,COLORES[],2,FALSE),0)))
   + C44
   + E44)
   *(1-_xlfn.XLOOKUP(1,(DESC_PROV[LINEA]=$B$2)*(DESC_PROV[LISTA]=$C$2),DESC_PROV[DESCUENTO])),
   ((B44*(1+IFERROR(VLOOKUP($D$2,COLORES[],2,FALSE),0)))
   + C44
   + E44)
   *(1-_xlfn.XLOOKUP(1,(DESC_PROV[LINEA]=$B$2)*(DESC_PROV[LISTA]=$C$2),DESC_PROV[DESCUENTO]))
   *(1+VLOOKUP($C$2,LISTAS[],2,FALSE))
   *(1+VLOOKUP($C$2,LISTAS[],3,FALSE))
)
/5,0)*5,0)</f>
        <v>167015</v>
      </c>
      <c r="J44" s="5" cm="1">
        <f t="array" ref="J44">IFERROR(
ROUND(
IF($A$2="COSTO",
   (D44*(1+IFERROR(VLOOKUP($D$2,COLORES[],2,FALSE),0)))
   *(1-_xlfn.XLOOKUP(1,(DESC_PROV[LINEA]=$B$2)*(DESC_PROV[LISTA]=$C$2),DESC_PROV[DESCUENTO])),
   (D44*(1+IFERROR(VLOOKUP($D$2,COLORES[],2,FALSE),0)))
   *(1-_xlfn.XLOOKUP(1,(DESC_PROV[LINEA]=$B$2)*(DESC_PROV[LISTA]=$C$2),DESC_PROV[DESCUENTO]))
   *(1+VLOOKUP($C$2,LISTAS[],2,FALSE))
   *(1+VLOOKUP($C$2,LISTAS[],4,FALSE))
)
/5,0)*5,0)</f>
        <v>57300</v>
      </c>
      <c r="K44" s="6" cm="1">
        <f t="array" ref="K44">IFERROR(
ROUND(
IF($A$2="COSTO",
   (B44*(1+IFERROR(VLOOKUP($D$2,COLORES[],2,FALSE),0))+E44)
   *(1+VLOOKUP($C$2,LISTAS[],5,FALSE))
   *(1-_xlfn.XLOOKUP(1,(DESC_PROV[LINEA]=$B$2)*(DESC_PROV[LISTA]=$C$2),DESC_PROV[DESCUENTO])),
   (B44*(1+IFERROR(VLOOKUP($D$2,COLORES[],2,FALSE),0))+E44)
   *(1-_xlfn.XLOOKUP(1,(DESC_PROV[LINEA]=$B$2)*(DESC_PROV[LISTA]=$C$2),DESC_PROV[DESCUENTO]))
   *(1+VLOOKUP($C$2,LISTAS[],5,FALSE))
   *(1+VLOOKUP($C$2,LISTAS[],2,FALSE))
   *(1+VLOOKUP($C$2,LISTAS[],3,FALSE))
)
/5,0)*5,0)</f>
        <v>185490</v>
      </c>
    </row>
    <row r="45" spans="1:11">
      <c r="A45" s="18" t="s">
        <v>113</v>
      </c>
      <c r="B45" s="3">
        <v>81270</v>
      </c>
      <c r="C45" s="3">
        <v>19618</v>
      </c>
      <c r="D45" s="3">
        <v>39836</v>
      </c>
      <c r="E45" s="7">
        <v>39165</v>
      </c>
      <c r="G45" s="21" t="s">
        <v>113</v>
      </c>
      <c r="H45" s="5" cm="1">
        <f t="array" ref="H45">IFERROR(
ROUND(
IF($A$2="COSTO",
   ((B45*(1+IFERROR(VLOOKUP($D$2,COLORES[],2,FALSE),0)))+E45)
   *(1-_xlfn.XLOOKUP(1,(DESC_PROV[LINEA]=$B$2)*(DESC_PROV[LISTA]=$C$2),DESC_PROV[DESCUENTO])),
   ((B45*(1+IFERROR(VLOOKUP($D$2,COLORES[],2,FALSE),0)))+E45)
   *(1-_xlfn.XLOOKUP(1,(DESC_PROV[LINEA]=$B$2)*(DESC_PROV[LISTA]=$C$2),DESC_PROV[DESCUENTO]))
   *(1+VLOOKUP($C$2,LISTAS[],2,FALSE))
   *(1+VLOOKUP($C$2,LISTAS[],3,FALSE))
)
/5,0)*5,0)</f>
        <v>149365</v>
      </c>
      <c r="I45" s="5" cm="1">
        <f t="array" ref="I45">IFERROR(
ROUND(
IF($A$2="COSTO",
   ((B45*(1+IFERROR(VLOOKUP($D$2,COLORES[],2,FALSE),0)))
   + C45
   + E45)
   *(1-_xlfn.XLOOKUP(1,(DESC_PROV[LINEA]=$B$2)*(DESC_PROV[LISTA]=$C$2),DESC_PROV[DESCUENTO])),
   ((B45*(1+IFERROR(VLOOKUP($D$2,COLORES[],2,FALSE),0)))
   + C45
   + E45)
   *(1-_xlfn.XLOOKUP(1,(DESC_PROV[LINEA]=$B$2)*(DESC_PROV[LISTA]=$C$2),DESC_PROV[DESCUENTO]))
   *(1+VLOOKUP($C$2,LISTAS[],2,FALSE))
   *(1+VLOOKUP($C$2,LISTAS[],3,FALSE))
)
/5,0)*5,0)</f>
        <v>173695</v>
      </c>
      <c r="J45" s="5" cm="1">
        <f t="array" ref="J45">IFERROR(
ROUND(
IF($A$2="COSTO",
   (D45*(1+IFERROR(VLOOKUP($D$2,COLORES[],2,FALSE),0)))
   *(1-_xlfn.XLOOKUP(1,(DESC_PROV[LINEA]=$B$2)*(DESC_PROV[LISTA]=$C$2),DESC_PROV[DESCUENTO])),
   (D45*(1+IFERROR(VLOOKUP($D$2,COLORES[],2,FALSE),0)))
   *(1-_xlfn.XLOOKUP(1,(DESC_PROV[LINEA]=$B$2)*(DESC_PROV[LISTA]=$C$2),DESC_PROV[DESCUENTO]))
   *(1+VLOOKUP($C$2,LISTAS[],2,FALSE))
   *(1+VLOOKUP($C$2,LISTAS[],4,FALSE))
)
/5,0)*5,0)</f>
        <v>60805</v>
      </c>
      <c r="K45" s="6" cm="1">
        <f t="array" ref="K45">IFERROR(
ROUND(
IF($A$2="COSTO",
   (B45*(1+IFERROR(VLOOKUP($D$2,COLORES[],2,FALSE),0))+E45)
   *(1+VLOOKUP($C$2,LISTAS[],5,FALSE))
   *(1-_xlfn.XLOOKUP(1,(DESC_PROV[LINEA]=$B$2)*(DESC_PROV[LISTA]=$C$2),DESC_PROV[DESCUENTO])),
   (B45*(1+IFERROR(VLOOKUP($D$2,COLORES[],2,FALSE),0))+E45)
   *(1-_xlfn.XLOOKUP(1,(DESC_PROV[LINEA]=$B$2)*(DESC_PROV[LISTA]=$C$2),DESC_PROV[DESCUENTO]))
   *(1+VLOOKUP($C$2,LISTAS[],5,FALSE))
   *(1+VLOOKUP($C$2,LISTAS[],2,FALSE))
   *(1+VLOOKUP($C$2,LISTAS[],3,FALSE))
)
/5,0)*5,0)</f>
        <v>194175</v>
      </c>
    </row>
    <row r="46" spans="1:11">
      <c r="A46" s="18" t="s">
        <v>114</v>
      </c>
      <c r="B46" s="3">
        <v>64153</v>
      </c>
      <c r="C46" s="3">
        <v>24523</v>
      </c>
      <c r="D46" s="3">
        <v>28409</v>
      </c>
      <c r="E46" s="7">
        <v>19503</v>
      </c>
      <c r="G46" s="21" t="s">
        <v>114</v>
      </c>
      <c r="H46" s="5" cm="1">
        <f t="array" ref="H46">IFERROR(
ROUND(
IF($A$2="COSTO",
   ((B46*(1+IFERROR(VLOOKUP($D$2,COLORES[],2,FALSE),0)))+E46)
   *(1-_xlfn.XLOOKUP(1,(DESC_PROV[LINEA]=$B$2)*(DESC_PROV[LISTA]=$C$2),DESC_PROV[DESCUENTO])),
   ((B46*(1+IFERROR(VLOOKUP($D$2,COLORES[],2,FALSE),0)))+E46)
   *(1-_xlfn.XLOOKUP(1,(DESC_PROV[LINEA]=$B$2)*(DESC_PROV[LISTA]=$C$2),DESC_PROV[DESCUENTO]))
   *(1+VLOOKUP($C$2,LISTAS[],2,FALSE))
   *(1+VLOOKUP($C$2,LISTAS[],3,FALSE))
)
/5,0)*5,0)</f>
        <v>103750</v>
      </c>
      <c r="I46" s="5" cm="1">
        <f t="array" ref="I46">IFERROR(
ROUND(
IF($A$2="COSTO",
   ((B46*(1+IFERROR(VLOOKUP($D$2,COLORES[],2,FALSE),0)))
   + C46
   + E46)
   *(1-_xlfn.XLOOKUP(1,(DESC_PROV[LINEA]=$B$2)*(DESC_PROV[LISTA]=$C$2),DESC_PROV[DESCUENTO])),
   ((B46*(1+IFERROR(VLOOKUP($D$2,COLORES[],2,FALSE),0)))
   + C46
   + E46)
   *(1-_xlfn.XLOOKUP(1,(DESC_PROV[LINEA]=$B$2)*(DESC_PROV[LISTA]=$C$2),DESC_PROV[DESCUENTO]))
   *(1+VLOOKUP($C$2,LISTAS[],2,FALSE))
   *(1+VLOOKUP($C$2,LISTAS[],3,FALSE))
)
/5,0)*5,0)</f>
        <v>134165</v>
      </c>
      <c r="J46" s="5" cm="1">
        <f t="array" ref="J46">IFERROR(
ROUND(
IF($A$2="COSTO",
   (D46*(1+IFERROR(VLOOKUP($D$2,COLORES[],2,FALSE),0)))
   *(1-_xlfn.XLOOKUP(1,(DESC_PROV[LINEA]=$B$2)*(DESC_PROV[LISTA]=$C$2),DESC_PROV[DESCUENTO])),
   (D46*(1+IFERROR(VLOOKUP($D$2,COLORES[],2,FALSE),0)))
   *(1-_xlfn.XLOOKUP(1,(DESC_PROV[LINEA]=$B$2)*(DESC_PROV[LISTA]=$C$2),DESC_PROV[DESCUENTO]))
   *(1+VLOOKUP($C$2,LISTAS[],2,FALSE))
   *(1+VLOOKUP($C$2,LISTAS[],4,FALSE))
)
/5,0)*5,0)</f>
        <v>43365</v>
      </c>
      <c r="K46" s="6" cm="1">
        <f t="array" ref="K46">IFERROR(
ROUND(
IF($A$2="COSTO",
   (B46*(1+IFERROR(VLOOKUP($D$2,COLORES[],2,FALSE),0))+E46)
   *(1+VLOOKUP($C$2,LISTAS[],5,FALSE))
   *(1-_xlfn.XLOOKUP(1,(DESC_PROV[LINEA]=$B$2)*(DESC_PROV[LISTA]=$C$2),DESC_PROV[DESCUENTO])),
   (B46*(1+IFERROR(VLOOKUP($D$2,COLORES[],2,FALSE),0))+E46)
   *(1-_xlfn.XLOOKUP(1,(DESC_PROV[LINEA]=$B$2)*(DESC_PROV[LISTA]=$C$2),DESC_PROV[DESCUENTO]))
   *(1+VLOOKUP($C$2,LISTAS[],5,FALSE))
   *(1+VLOOKUP($C$2,LISTAS[],2,FALSE))
   *(1+VLOOKUP($C$2,LISTAS[],3,FALSE))
)
/5,0)*5,0)</f>
        <v>134875</v>
      </c>
    </row>
    <row r="47" spans="1:11">
      <c r="A47" s="18" t="s">
        <v>71</v>
      </c>
      <c r="B47" s="3">
        <v>67460</v>
      </c>
      <c r="C47" s="3">
        <v>24523</v>
      </c>
      <c r="D47" s="3">
        <v>31026</v>
      </c>
      <c r="E47" s="7">
        <v>23838</v>
      </c>
      <c r="G47" s="21" t="s">
        <v>71</v>
      </c>
      <c r="H47" s="5" cm="1">
        <f t="array" ref="H47">IFERROR(
ROUND(
IF($A$2="COSTO",
   ((B47*(1+IFERROR(VLOOKUP($D$2,COLORES[],2,FALSE),0)))+E47)
   *(1-_xlfn.XLOOKUP(1,(DESC_PROV[LINEA]=$B$2)*(DESC_PROV[LISTA]=$C$2),DESC_PROV[DESCUENTO])),
   ((B47*(1+IFERROR(VLOOKUP($D$2,COLORES[],2,FALSE),0)))+E47)
   *(1-_xlfn.XLOOKUP(1,(DESC_PROV[LINEA]=$B$2)*(DESC_PROV[LISTA]=$C$2),DESC_PROV[DESCUENTO]))
   *(1+VLOOKUP($C$2,LISTAS[],2,FALSE))
   *(1+VLOOKUP($C$2,LISTAS[],3,FALSE))
)
/5,0)*5,0)</f>
        <v>113230</v>
      </c>
      <c r="I47" s="5" cm="1">
        <f t="array" ref="I47">IFERROR(
ROUND(
IF($A$2="COSTO",
   ((B47*(1+IFERROR(VLOOKUP($D$2,COLORES[],2,FALSE),0)))
   + C47
   + E47)
   *(1-_xlfn.XLOOKUP(1,(DESC_PROV[LINEA]=$B$2)*(DESC_PROV[LISTA]=$C$2),DESC_PROV[DESCUENTO])),
   ((B47*(1+IFERROR(VLOOKUP($D$2,COLORES[],2,FALSE),0)))
   + C47
   + E47)
   *(1-_xlfn.XLOOKUP(1,(DESC_PROV[LINEA]=$B$2)*(DESC_PROV[LISTA]=$C$2),DESC_PROV[DESCUENTO]))
   *(1+VLOOKUP($C$2,LISTAS[],2,FALSE))
   *(1+VLOOKUP($C$2,LISTAS[],3,FALSE))
)
/5,0)*5,0)</f>
        <v>143640</v>
      </c>
      <c r="J47" s="5" cm="1">
        <f t="array" ref="J47">IFERROR(
ROUND(
IF($A$2="COSTO",
   (D47*(1+IFERROR(VLOOKUP($D$2,COLORES[],2,FALSE),0)))
   *(1-_xlfn.XLOOKUP(1,(DESC_PROV[LINEA]=$B$2)*(DESC_PROV[LISTA]=$C$2),DESC_PROV[DESCUENTO])),
   (D47*(1+IFERROR(VLOOKUP($D$2,COLORES[],2,FALSE),0)))
   *(1-_xlfn.XLOOKUP(1,(DESC_PROV[LINEA]=$B$2)*(DESC_PROV[LISTA]=$C$2),DESC_PROV[DESCUENTO]))
   *(1+VLOOKUP($C$2,LISTAS[],2,FALSE))
   *(1+VLOOKUP($C$2,LISTAS[],4,FALSE))
)
/5,0)*5,0)</f>
        <v>47360</v>
      </c>
      <c r="K47" s="6" cm="1">
        <f t="array" ref="K47">IFERROR(
ROUND(
IF($A$2="COSTO",
   (B47*(1+IFERROR(VLOOKUP($D$2,COLORES[],2,FALSE),0))+E47)
   *(1+VLOOKUP($C$2,LISTAS[],5,FALSE))
   *(1-_xlfn.XLOOKUP(1,(DESC_PROV[LINEA]=$B$2)*(DESC_PROV[LISTA]=$C$2),DESC_PROV[DESCUENTO])),
   (B47*(1+IFERROR(VLOOKUP($D$2,COLORES[],2,FALSE),0))+E47)
   *(1-_xlfn.XLOOKUP(1,(DESC_PROV[LINEA]=$B$2)*(DESC_PROV[LISTA]=$C$2),DESC_PROV[DESCUENTO]))
   *(1+VLOOKUP($C$2,LISTAS[],5,FALSE))
   *(1+VLOOKUP($C$2,LISTAS[],2,FALSE))
   *(1+VLOOKUP($C$2,LISTAS[],3,FALSE))
)
/5,0)*5,0)</f>
        <v>147195</v>
      </c>
    </row>
    <row r="48" spans="1:11">
      <c r="A48" s="18" t="s">
        <v>72</v>
      </c>
      <c r="B48" s="3">
        <v>72951</v>
      </c>
      <c r="C48" s="3">
        <v>24523</v>
      </c>
      <c r="D48" s="3">
        <v>34952</v>
      </c>
      <c r="E48" s="7">
        <v>30336</v>
      </c>
      <c r="G48" s="21" t="s">
        <v>72</v>
      </c>
      <c r="H48" s="5" cm="1">
        <f t="array" ref="H48">IFERROR(
ROUND(
IF($A$2="COSTO",
   ((B48*(1+IFERROR(VLOOKUP($D$2,COLORES[],2,FALSE),0)))+E48)
   *(1-_xlfn.XLOOKUP(1,(DESC_PROV[LINEA]=$B$2)*(DESC_PROV[LISTA]=$C$2),DESC_PROV[DESCUENTO])),
   ((B48*(1+IFERROR(VLOOKUP($D$2,COLORES[],2,FALSE),0)))+E48)
   *(1-_xlfn.XLOOKUP(1,(DESC_PROV[LINEA]=$B$2)*(DESC_PROV[LISTA]=$C$2),DESC_PROV[DESCUENTO]))
   *(1+VLOOKUP($C$2,LISTAS[],2,FALSE))
   *(1+VLOOKUP($C$2,LISTAS[],3,FALSE))
)
/5,0)*5,0)</f>
        <v>128095</v>
      </c>
      <c r="I48" s="5" cm="1">
        <f t="array" ref="I48">IFERROR(
ROUND(
IF($A$2="COSTO",
   ((B48*(1+IFERROR(VLOOKUP($D$2,COLORES[],2,FALSE),0)))
   + C48
   + E48)
   *(1-_xlfn.XLOOKUP(1,(DESC_PROV[LINEA]=$B$2)*(DESC_PROV[LISTA]=$C$2),DESC_PROV[DESCUENTO])),
   ((B48*(1+IFERROR(VLOOKUP($D$2,COLORES[],2,FALSE),0)))
   + C48
   + E48)
   *(1-_xlfn.XLOOKUP(1,(DESC_PROV[LINEA]=$B$2)*(DESC_PROV[LISTA]=$C$2),DESC_PROV[DESCUENTO]))
   *(1+VLOOKUP($C$2,LISTAS[],2,FALSE))
   *(1+VLOOKUP($C$2,LISTAS[],3,FALSE))
)
/5,0)*5,0)</f>
        <v>158510</v>
      </c>
      <c r="J48" s="5" cm="1">
        <f t="array" ref="J48">IFERROR(
ROUND(
IF($A$2="COSTO",
   (D48*(1+IFERROR(VLOOKUP($D$2,COLORES[],2,FALSE),0)))
   *(1-_xlfn.XLOOKUP(1,(DESC_PROV[LINEA]=$B$2)*(DESC_PROV[LISTA]=$C$2),DESC_PROV[DESCUENTO])),
   (D48*(1+IFERROR(VLOOKUP($D$2,COLORES[],2,FALSE),0)))
   *(1-_xlfn.XLOOKUP(1,(DESC_PROV[LINEA]=$B$2)*(DESC_PROV[LISTA]=$C$2),DESC_PROV[DESCUENTO]))
   *(1+VLOOKUP($C$2,LISTAS[],2,FALSE))
   *(1+VLOOKUP($C$2,LISTAS[],4,FALSE))
)
/5,0)*5,0)</f>
        <v>53350</v>
      </c>
      <c r="K48" s="6" cm="1">
        <f t="array" ref="K48">IFERROR(
ROUND(
IF($A$2="COSTO",
   (B48*(1+IFERROR(VLOOKUP($D$2,COLORES[],2,FALSE),0))+E48)
   *(1+VLOOKUP($C$2,LISTAS[],5,FALSE))
   *(1-_xlfn.XLOOKUP(1,(DESC_PROV[LINEA]=$B$2)*(DESC_PROV[LISTA]=$C$2),DESC_PROV[DESCUENTO])),
   (B48*(1+IFERROR(VLOOKUP($D$2,COLORES[],2,FALSE),0))+E48)
   *(1-_xlfn.XLOOKUP(1,(DESC_PROV[LINEA]=$B$2)*(DESC_PROV[LISTA]=$C$2),DESC_PROV[DESCUENTO]))
   *(1+VLOOKUP($C$2,LISTAS[],5,FALSE))
   *(1+VLOOKUP($C$2,LISTAS[],2,FALSE))
   *(1+VLOOKUP($C$2,LISTAS[],3,FALSE))
)
/5,0)*5,0)</f>
        <v>166525</v>
      </c>
    </row>
    <row r="49" spans="1:11">
      <c r="A49" s="18" t="s">
        <v>73</v>
      </c>
      <c r="B49" s="3">
        <v>76323</v>
      </c>
      <c r="C49" s="3">
        <v>24523</v>
      </c>
      <c r="D49" s="3">
        <v>38879</v>
      </c>
      <c r="E49" s="7">
        <v>36839</v>
      </c>
      <c r="G49" s="21" t="s">
        <v>73</v>
      </c>
      <c r="H49" s="5" cm="1">
        <f t="array" ref="H49">IFERROR(
ROUND(
IF($A$2="COSTO",
   ((B49*(1+IFERROR(VLOOKUP($D$2,COLORES[],2,FALSE),0)))+E49)
   *(1-_xlfn.XLOOKUP(1,(DESC_PROV[LINEA]=$B$2)*(DESC_PROV[LISTA]=$C$2),DESC_PROV[DESCUENTO])),
   ((B49*(1+IFERROR(VLOOKUP($D$2,COLORES[],2,FALSE),0)))+E49)
   *(1-_xlfn.XLOOKUP(1,(DESC_PROV[LINEA]=$B$2)*(DESC_PROV[LISTA]=$C$2),DESC_PROV[DESCUENTO]))
   *(1+VLOOKUP($C$2,LISTAS[],2,FALSE))
   *(1+VLOOKUP($C$2,LISTAS[],3,FALSE))
)
/5,0)*5,0)</f>
        <v>140345</v>
      </c>
      <c r="I49" s="5" cm="1">
        <f t="array" ref="I49">IFERROR(
ROUND(
IF($A$2="COSTO",
   ((B49*(1+IFERROR(VLOOKUP($D$2,COLORES[],2,FALSE),0)))
   + C49
   + E49)
   *(1-_xlfn.XLOOKUP(1,(DESC_PROV[LINEA]=$B$2)*(DESC_PROV[LISTA]=$C$2),DESC_PROV[DESCUENTO])),
   ((B49*(1+IFERROR(VLOOKUP($D$2,COLORES[],2,FALSE),0)))
   + C49
   + E49)
   *(1-_xlfn.XLOOKUP(1,(DESC_PROV[LINEA]=$B$2)*(DESC_PROV[LISTA]=$C$2),DESC_PROV[DESCUENTO]))
   *(1+VLOOKUP($C$2,LISTAS[],2,FALSE))
   *(1+VLOOKUP($C$2,LISTAS[],3,FALSE))
)
/5,0)*5,0)</f>
        <v>170755</v>
      </c>
      <c r="J49" s="5" cm="1">
        <f t="array" ref="J49">IFERROR(
ROUND(
IF($A$2="COSTO",
   (D49*(1+IFERROR(VLOOKUP($D$2,COLORES[],2,FALSE),0)))
   *(1-_xlfn.XLOOKUP(1,(DESC_PROV[LINEA]=$B$2)*(DESC_PROV[LISTA]=$C$2),DESC_PROV[DESCUENTO])),
   (D49*(1+IFERROR(VLOOKUP($D$2,COLORES[],2,FALSE),0)))
   *(1-_xlfn.XLOOKUP(1,(DESC_PROV[LINEA]=$B$2)*(DESC_PROV[LISTA]=$C$2),DESC_PROV[DESCUENTO]))
   *(1+VLOOKUP($C$2,LISTAS[],2,FALSE))
   *(1+VLOOKUP($C$2,LISTAS[],4,FALSE))
)
/5,0)*5,0)</f>
        <v>59345</v>
      </c>
      <c r="K49" s="6" cm="1">
        <f t="array" ref="K49">IFERROR(
ROUND(
IF($A$2="COSTO",
   (B49*(1+IFERROR(VLOOKUP($D$2,COLORES[],2,FALSE),0))+E49)
   *(1+VLOOKUP($C$2,LISTAS[],5,FALSE))
   *(1-_xlfn.XLOOKUP(1,(DESC_PROV[LINEA]=$B$2)*(DESC_PROV[LISTA]=$C$2),DESC_PROV[DESCUENTO])),
   (B49*(1+IFERROR(VLOOKUP($D$2,COLORES[],2,FALSE),0))+E49)
   *(1-_xlfn.XLOOKUP(1,(DESC_PROV[LINEA]=$B$2)*(DESC_PROV[LISTA]=$C$2),DESC_PROV[DESCUENTO]))
   *(1+VLOOKUP($C$2,LISTAS[],5,FALSE))
   *(1+VLOOKUP($C$2,LISTAS[],2,FALSE))
   *(1+VLOOKUP($C$2,LISTAS[],3,FALSE))
)
/5,0)*5,0)</f>
        <v>182445</v>
      </c>
    </row>
    <row r="50" spans="1:11">
      <c r="A50" s="18" t="s">
        <v>74</v>
      </c>
      <c r="B50" s="3">
        <v>83545</v>
      </c>
      <c r="C50" s="3">
        <v>24523</v>
      </c>
      <c r="D50" s="3">
        <v>41496</v>
      </c>
      <c r="E50" s="7">
        <v>41174</v>
      </c>
      <c r="G50" s="21" t="s">
        <v>74</v>
      </c>
      <c r="H50" s="5" cm="1">
        <f t="array" ref="H50">IFERROR(
ROUND(
IF($A$2="COSTO",
   ((B50*(1+IFERROR(VLOOKUP($D$2,COLORES[],2,FALSE),0)))+E50)
   *(1-_xlfn.XLOOKUP(1,(DESC_PROV[LINEA]=$B$2)*(DESC_PROV[LISTA]=$C$2),DESC_PROV[DESCUENTO])),
   ((B50*(1+IFERROR(VLOOKUP($D$2,COLORES[],2,FALSE),0)))+E50)
   *(1-_xlfn.XLOOKUP(1,(DESC_PROV[LINEA]=$B$2)*(DESC_PROV[LISTA]=$C$2),DESC_PROV[DESCUENTO]))
   *(1+VLOOKUP($C$2,LISTAS[],2,FALSE))
   *(1+VLOOKUP($C$2,LISTAS[],3,FALSE))
)
/5,0)*5,0)</f>
        <v>154675</v>
      </c>
      <c r="I50" s="5" cm="1">
        <f t="array" ref="I50">IFERROR(
ROUND(
IF($A$2="COSTO",
   ((B50*(1+IFERROR(VLOOKUP($D$2,COLORES[],2,FALSE),0)))
   + C50
   + E50)
   *(1-_xlfn.XLOOKUP(1,(DESC_PROV[LINEA]=$B$2)*(DESC_PROV[LISTA]=$C$2),DESC_PROV[DESCUENTO])),
   ((B50*(1+IFERROR(VLOOKUP($D$2,COLORES[],2,FALSE),0)))
   + C50
   + E50)
   *(1-_xlfn.XLOOKUP(1,(DESC_PROV[LINEA]=$B$2)*(DESC_PROV[LISTA]=$C$2),DESC_PROV[DESCUENTO]))
   *(1+VLOOKUP($C$2,LISTAS[],2,FALSE))
   *(1+VLOOKUP($C$2,LISTAS[],3,FALSE))
)
/5,0)*5,0)</f>
        <v>185090</v>
      </c>
      <c r="J50" s="5" cm="1">
        <f t="array" ref="J50">IFERROR(
ROUND(
IF($A$2="COSTO",
   (D50*(1+IFERROR(VLOOKUP($D$2,COLORES[],2,FALSE),0)))
   *(1-_xlfn.XLOOKUP(1,(DESC_PROV[LINEA]=$B$2)*(DESC_PROV[LISTA]=$C$2),DESC_PROV[DESCUENTO])),
   (D50*(1+IFERROR(VLOOKUP($D$2,COLORES[],2,FALSE),0)))
   *(1-_xlfn.XLOOKUP(1,(DESC_PROV[LINEA]=$B$2)*(DESC_PROV[LISTA]=$C$2),DESC_PROV[DESCUENTO]))
   *(1+VLOOKUP($C$2,LISTAS[],2,FALSE))
   *(1+VLOOKUP($C$2,LISTAS[],4,FALSE))
)
/5,0)*5,0)</f>
        <v>63340</v>
      </c>
      <c r="K50" s="6" cm="1">
        <f t="array" ref="K50">IFERROR(
ROUND(
IF($A$2="COSTO",
   (B50*(1+IFERROR(VLOOKUP($D$2,COLORES[],2,FALSE),0))+E50)
   *(1+VLOOKUP($C$2,LISTAS[],5,FALSE))
   *(1-_xlfn.XLOOKUP(1,(DESC_PROV[LINEA]=$B$2)*(DESC_PROV[LISTA]=$C$2),DESC_PROV[DESCUENTO])),
   (B50*(1+IFERROR(VLOOKUP($D$2,COLORES[],2,FALSE),0))+E50)
   *(1-_xlfn.XLOOKUP(1,(DESC_PROV[LINEA]=$B$2)*(DESC_PROV[LISTA]=$C$2),DESC_PROV[DESCUENTO]))
   *(1+VLOOKUP($C$2,LISTAS[],5,FALSE))
   *(1+VLOOKUP($C$2,LISTAS[],2,FALSE))
   *(1+VLOOKUP($C$2,LISTAS[],3,FALSE))
)
/5,0)*5,0)</f>
        <v>201080</v>
      </c>
    </row>
    <row r="51" spans="1:11">
      <c r="A51" s="18" t="s">
        <v>75</v>
      </c>
      <c r="B51" s="3">
        <v>86116</v>
      </c>
      <c r="C51" s="3">
        <v>24523</v>
      </c>
      <c r="D51" s="3">
        <v>44113</v>
      </c>
      <c r="E51" s="7">
        <v>45504</v>
      </c>
      <c r="G51" s="21" t="s">
        <v>75</v>
      </c>
      <c r="H51" s="5" cm="1">
        <f t="array" ref="H51">IFERROR(
ROUND(
IF($A$2="COSTO",
   ((B51*(1+IFERROR(VLOOKUP($D$2,COLORES[],2,FALSE),0)))+E51)
   *(1-_xlfn.XLOOKUP(1,(DESC_PROV[LINEA]=$B$2)*(DESC_PROV[LISTA]=$C$2),DESC_PROV[DESCUENTO])),
   ((B51*(1+IFERROR(VLOOKUP($D$2,COLORES[],2,FALSE),0)))+E51)
   *(1-_xlfn.XLOOKUP(1,(DESC_PROV[LINEA]=$B$2)*(DESC_PROV[LISTA]=$C$2),DESC_PROV[DESCUENTO]))
   *(1+VLOOKUP($C$2,LISTAS[],2,FALSE))
   *(1+VLOOKUP($C$2,LISTAS[],3,FALSE))
)
/5,0)*5,0)</f>
        <v>163235</v>
      </c>
      <c r="I51" s="5" cm="1">
        <f t="array" ref="I51">IFERROR(
ROUND(
IF($A$2="COSTO",
   ((B51*(1+IFERROR(VLOOKUP($D$2,COLORES[],2,FALSE),0)))
   + C51
   + E51)
   *(1-_xlfn.XLOOKUP(1,(DESC_PROV[LINEA]=$B$2)*(DESC_PROV[LISTA]=$C$2),DESC_PROV[DESCUENTO])),
   ((B51*(1+IFERROR(VLOOKUP($D$2,COLORES[],2,FALSE),0)))
   + C51
   + E51)
   *(1-_xlfn.XLOOKUP(1,(DESC_PROV[LINEA]=$B$2)*(DESC_PROV[LISTA]=$C$2),DESC_PROV[DESCUENTO]))
   *(1+VLOOKUP($C$2,LISTAS[],2,FALSE))
   *(1+VLOOKUP($C$2,LISTAS[],3,FALSE))
)
/5,0)*5,0)</f>
        <v>193650</v>
      </c>
      <c r="J51" s="5" cm="1">
        <f t="array" ref="J51">IFERROR(
ROUND(
IF($A$2="COSTO",
   (D51*(1+IFERROR(VLOOKUP($D$2,COLORES[],2,FALSE),0)))
   *(1-_xlfn.XLOOKUP(1,(DESC_PROV[LINEA]=$B$2)*(DESC_PROV[LISTA]=$C$2),DESC_PROV[DESCUENTO])),
   (D51*(1+IFERROR(VLOOKUP($D$2,COLORES[],2,FALSE),0)))
   *(1-_xlfn.XLOOKUP(1,(DESC_PROV[LINEA]=$B$2)*(DESC_PROV[LISTA]=$C$2),DESC_PROV[DESCUENTO]))
   *(1+VLOOKUP($C$2,LISTAS[],2,FALSE))
   *(1+VLOOKUP($C$2,LISTAS[],4,FALSE))
)
/5,0)*5,0)</f>
        <v>67335</v>
      </c>
      <c r="K51" s="6" cm="1">
        <f t="array" ref="K51">IFERROR(
ROUND(
IF($A$2="COSTO",
   (B51*(1+IFERROR(VLOOKUP($D$2,COLORES[],2,FALSE),0))+E51)
   *(1+VLOOKUP($C$2,LISTAS[],5,FALSE))
   *(1-_xlfn.XLOOKUP(1,(DESC_PROV[LINEA]=$B$2)*(DESC_PROV[LISTA]=$C$2),DESC_PROV[DESCUENTO])),
   (B51*(1+IFERROR(VLOOKUP($D$2,COLORES[],2,FALSE),0))+E51)
   *(1-_xlfn.XLOOKUP(1,(DESC_PROV[LINEA]=$B$2)*(DESC_PROV[LISTA]=$C$2),DESC_PROV[DESCUENTO]))
   *(1+VLOOKUP($C$2,LISTAS[],5,FALSE))
   *(1+VLOOKUP($C$2,LISTAS[],2,FALSE))
   *(1+VLOOKUP($C$2,LISTAS[],3,FALSE))
)
/5,0)*5,0)</f>
        <v>212205</v>
      </c>
    </row>
    <row r="52" spans="1:11">
      <c r="A52" s="18" t="s">
        <v>76</v>
      </c>
      <c r="B52" s="3">
        <v>89423</v>
      </c>
      <c r="C52" s="3">
        <v>24523</v>
      </c>
      <c r="D52" s="3">
        <v>46731</v>
      </c>
      <c r="E52" s="7">
        <v>49844</v>
      </c>
      <c r="G52" s="21" t="s">
        <v>76</v>
      </c>
      <c r="H52" s="5" cm="1">
        <f t="array" ref="H52">IFERROR(
ROUND(
IF($A$2="COSTO",
   ((B52*(1+IFERROR(VLOOKUP($D$2,COLORES[],2,FALSE),0)))+E52)
   *(1-_xlfn.XLOOKUP(1,(DESC_PROV[LINEA]=$B$2)*(DESC_PROV[LISTA]=$C$2),DESC_PROV[DESCUENTO])),
   ((B52*(1+IFERROR(VLOOKUP($D$2,COLORES[],2,FALSE),0)))+E52)
   *(1-_xlfn.XLOOKUP(1,(DESC_PROV[LINEA]=$B$2)*(DESC_PROV[LISTA]=$C$2),DESC_PROV[DESCUENTO]))
   *(1+VLOOKUP($C$2,LISTAS[],2,FALSE))
   *(1+VLOOKUP($C$2,LISTAS[],3,FALSE))
)
/5,0)*5,0)</f>
        <v>172720</v>
      </c>
      <c r="I52" s="5" cm="1">
        <f t="array" ref="I52">IFERROR(
ROUND(
IF($A$2="COSTO",
   ((B52*(1+IFERROR(VLOOKUP($D$2,COLORES[],2,FALSE),0)))
   + C52
   + E52)
   *(1-_xlfn.XLOOKUP(1,(DESC_PROV[LINEA]=$B$2)*(DESC_PROV[LISTA]=$C$2),DESC_PROV[DESCUENTO])),
   ((B52*(1+IFERROR(VLOOKUP($D$2,COLORES[],2,FALSE),0)))
   + C52
   + E52)
   *(1-_xlfn.XLOOKUP(1,(DESC_PROV[LINEA]=$B$2)*(DESC_PROV[LISTA]=$C$2),DESC_PROV[DESCUENTO]))
   *(1+VLOOKUP($C$2,LISTAS[],2,FALSE))
   *(1+VLOOKUP($C$2,LISTAS[],3,FALSE))
)
/5,0)*5,0)</f>
        <v>203130</v>
      </c>
      <c r="J52" s="5" cm="1">
        <f t="array" ref="J52">IFERROR(
ROUND(
IF($A$2="COSTO",
   (D52*(1+IFERROR(VLOOKUP($D$2,COLORES[],2,FALSE),0)))
   *(1-_xlfn.XLOOKUP(1,(DESC_PROV[LINEA]=$B$2)*(DESC_PROV[LISTA]=$C$2),DESC_PROV[DESCUENTO])),
   (D52*(1+IFERROR(VLOOKUP($D$2,COLORES[],2,FALSE),0)))
   *(1-_xlfn.XLOOKUP(1,(DESC_PROV[LINEA]=$B$2)*(DESC_PROV[LISTA]=$C$2),DESC_PROV[DESCUENTO]))
   *(1+VLOOKUP($C$2,LISTAS[],2,FALSE))
   *(1+VLOOKUP($C$2,LISTAS[],4,FALSE))
)
/5,0)*5,0)</f>
        <v>71330</v>
      </c>
      <c r="K52" s="6" cm="1">
        <f t="array" ref="K52">IFERROR(
ROUND(
IF($A$2="COSTO",
   (B52*(1+IFERROR(VLOOKUP($D$2,COLORES[],2,FALSE),0))+E52)
   *(1+VLOOKUP($C$2,LISTAS[],5,FALSE))
   *(1-_xlfn.XLOOKUP(1,(DESC_PROV[LINEA]=$B$2)*(DESC_PROV[LISTA]=$C$2),DESC_PROV[DESCUENTO])),
   (B52*(1+IFERROR(VLOOKUP($D$2,COLORES[],2,FALSE),0))+E52)
   *(1-_xlfn.XLOOKUP(1,(DESC_PROV[LINEA]=$B$2)*(DESC_PROV[LISTA]=$C$2),DESC_PROV[DESCUENTO]))
   *(1+VLOOKUP($C$2,LISTAS[],5,FALSE))
   *(1+VLOOKUP($C$2,LISTAS[],2,FALSE))
   *(1+VLOOKUP($C$2,LISTAS[],3,FALSE))
)
/5,0)*5,0)</f>
        <v>224535</v>
      </c>
    </row>
    <row r="53" spans="1:11">
      <c r="A53" s="18" t="s">
        <v>17</v>
      </c>
      <c r="B53" s="3">
        <v>82524</v>
      </c>
      <c r="C53" s="3">
        <v>32697</v>
      </c>
      <c r="D53" s="3">
        <v>36176</v>
      </c>
      <c r="E53" s="7">
        <v>26470</v>
      </c>
      <c r="G53" s="21" t="s">
        <v>17</v>
      </c>
      <c r="H53" s="5" cm="1">
        <f t="array" ref="H53">IFERROR(
ROUND(
IF($A$2="COSTO",
   ((B53*(1+IFERROR(VLOOKUP($D$2,COLORES[],2,FALSE),0)))+E53)
   *(1-_xlfn.XLOOKUP(1,(DESC_PROV[LINEA]=$B$2)*(DESC_PROV[LISTA]=$C$2),DESC_PROV[DESCUENTO])),
   ((B53*(1+IFERROR(VLOOKUP($D$2,COLORES[],2,FALSE),0)))+E53)
   *(1-_xlfn.XLOOKUP(1,(DESC_PROV[LINEA]=$B$2)*(DESC_PROV[LISTA]=$C$2),DESC_PROV[DESCUENTO]))
   *(1+VLOOKUP($C$2,LISTAS[],2,FALSE))
   *(1+VLOOKUP($C$2,LISTAS[],3,FALSE))
)
/5,0)*5,0)</f>
        <v>135175</v>
      </c>
      <c r="I53" s="5" cm="1">
        <f t="array" ref="I53">IFERROR(
ROUND(
IF($A$2="COSTO",
   ((B53*(1+IFERROR(VLOOKUP($D$2,COLORES[],2,FALSE),0)))
   + C53
   + E53)
   *(1-_xlfn.XLOOKUP(1,(DESC_PROV[LINEA]=$B$2)*(DESC_PROV[LISTA]=$C$2),DESC_PROV[DESCUENTO])),
   ((B53*(1+IFERROR(VLOOKUP($D$2,COLORES[],2,FALSE),0)))
   + C53
   + E53)
   *(1-_xlfn.XLOOKUP(1,(DESC_PROV[LINEA]=$B$2)*(DESC_PROV[LISTA]=$C$2),DESC_PROV[DESCUENTO]))
   *(1+VLOOKUP($C$2,LISTAS[],2,FALSE))
   *(1+VLOOKUP($C$2,LISTAS[],3,FALSE))
)
/5,0)*5,0)</f>
        <v>175725</v>
      </c>
      <c r="J53" s="5" cm="1">
        <f t="array" ref="J53">IFERROR(
ROUND(
IF($A$2="COSTO",
   (D53*(1+IFERROR(VLOOKUP($D$2,COLORES[],2,FALSE),0)))
   *(1-_xlfn.XLOOKUP(1,(DESC_PROV[LINEA]=$B$2)*(DESC_PROV[LISTA]=$C$2),DESC_PROV[DESCUENTO])),
   (D53*(1+IFERROR(VLOOKUP($D$2,COLORES[],2,FALSE),0)))
   *(1-_xlfn.XLOOKUP(1,(DESC_PROV[LINEA]=$B$2)*(DESC_PROV[LISTA]=$C$2),DESC_PROV[DESCUENTO]))
   *(1+VLOOKUP($C$2,LISTAS[],2,FALSE))
   *(1+VLOOKUP($C$2,LISTAS[],4,FALSE))
)
/5,0)*5,0)</f>
        <v>55220</v>
      </c>
      <c r="K53" s="6" cm="1">
        <f t="array" ref="K53">IFERROR(
ROUND(
IF($A$2="COSTO",
   (B53*(1+IFERROR(VLOOKUP($D$2,COLORES[],2,FALSE),0))+E53)
   *(1+VLOOKUP($C$2,LISTAS[],5,FALSE))
   *(1-_xlfn.XLOOKUP(1,(DESC_PROV[LINEA]=$B$2)*(DESC_PROV[LISTA]=$C$2),DESC_PROV[DESCUENTO])),
   (B53*(1+IFERROR(VLOOKUP($D$2,COLORES[],2,FALSE),0))+E53)
   *(1-_xlfn.XLOOKUP(1,(DESC_PROV[LINEA]=$B$2)*(DESC_PROV[LISTA]=$C$2),DESC_PROV[DESCUENTO]))
   *(1+VLOOKUP($C$2,LISTAS[],5,FALSE))
   *(1+VLOOKUP($C$2,LISTAS[],2,FALSE))
   *(1+VLOOKUP($C$2,LISTAS[],3,FALSE))
)
/5,0)*5,0)</f>
        <v>175725</v>
      </c>
    </row>
    <row r="54" spans="1:11">
      <c r="A54" s="18" t="s">
        <v>83</v>
      </c>
      <c r="B54" s="3">
        <v>88363</v>
      </c>
      <c r="C54" s="3">
        <v>32697</v>
      </c>
      <c r="D54" s="3">
        <v>39325</v>
      </c>
      <c r="E54" s="7">
        <v>32351</v>
      </c>
      <c r="G54" s="21" t="s">
        <v>83</v>
      </c>
      <c r="H54" s="5" cm="1">
        <f t="array" ref="H54">IFERROR(
ROUND(
IF($A$2="COSTO",
   ((B54*(1+IFERROR(VLOOKUP($D$2,COLORES[],2,FALSE),0)))+E54)
   *(1-_xlfn.XLOOKUP(1,(DESC_PROV[LINEA]=$B$2)*(DESC_PROV[LISTA]=$C$2),DESC_PROV[DESCUENTO])),
   ((B54*(1+IFERROR(VLOOKUP($D$2,COLORES[],2,FALSE),0)))+E54)
   *(1-_xlfn.XLOOKUP(1,(DESC_PROV[LINEA]=$B$2)*(DESC_PROV[LISTA]=$C$2),DESC_PROV[DESCUENTO]))
   *(1+VLOOKUP($C$2,LISTAS[],2,FALSE))
   *(1+VLOOKUP($C$2,LISTAS[],3,FALSE))
)
/5,0)*5,0)</f>
        <v>149710</v>
      </c>
      <c r="I54" s="5" cm="1">
        <f t="array" ref="I54">IFERROR(
ROUND(
IF($A$2="COSTO",
   ((B54*(1+IFERROR(VLOOKUP($D$2,COLORES[],2,FALSE),0)))
   + C54
   + E54)
   *(1-_xlfn.XLOOKUP(1,(DESC_PROV[LINEA]=$B$2)*(DESC_PROV[LISTA]=$C$2),DESC_PROV[DESCUENTO])),
   ((B54*(1+IFERROR(VLOOKUP($D$2,COLORES[],2,FALSE),0)))
   + C54
   + E54)
   *(1-_xlfn.XLOOKUP(1,(DESC_PROV[LINEA]=$B$2)*(DESC_PROV[LISTA]=$C$2),DESC_PROV[DESCUENTO]))
   *(1+VLOOKUP($C$2,LISTAS[],2,FALSE))
   *(1+VLOOKUP($C$2,LISTAS[],3,FALSE))
)
/5,0)*5,0)</f>
        <v>190260</v>
      </c>
      <c r="J54" s="5" cm="1">
        <f t="array" ref="J54">IFERROR(
ROUND(
IF($A$2="COSTO",
   (D54*(1+IFERROR(VLOOKUP($D$2,COLORES[],2,FALSE),0)))
   *(1-_xlfn.XLOOKUP(1,(DESC_PROV[LINEA]=$B$2)*(DESC_PROV[LISTA]=$C$2),DESC_PROV[DESCUENTO])),
   (D54*(1+IFERROR(VLOOKUP($D$2,COLORES[],2,FALSE),0)))
   *(1-_xlfn.XLOOKUP(1,(DESC_PROV[LINEA]=$B$2)*(DESC_PROV[LISTA]=$C$2),DESC_PROV[DESCUENTO]))
   *(1+VLOOKUP($C$2,LISTAS[],2,FALSE))
   *(1+VLOOKUP($C$2,LISTAS[],4,FALSE))
)
/5,0)*5,0)</f>
        <v>60025</v>
      </c>
      <c r="K54" s="6" cm="1">
        <f t="array" ref="K54">IFERROR(
ROUND(
IF($A$2="COSTO",
   (B54*(1+IFERROR(VLOOKUP($D$2,COLORES[],2,FALSE),0))+E54)
   *(1+VLOOKUP($C$2,LISTAS[],5,FALSE))
   *(1-_xlfn.XLOOKUP(1,(DESC_PROV[LINEA]=$B$2)*(DESC_PROV[LISTA]=$C$2),DESC_PROV[DESCUENTO])),
   (B54*(1+IFERROR(VLOOKUP($D$2,COLORES[],2,FALSE),0))+E54)
   *(1-_xlfn.XLOOKUP(1,(DESC_PROV[LINEA]=$B$2)*(DESC_PROV[LISTA]=$C$2),DESC_PROV[DESCUENTO]))
   *(1+VLOOKUP($C$2,LISTAS[],5,FALSE))
   *(1+VLOOKUP($C$2,LISTAS[],2,FALSE))
   *(1+VLOOKUP($C$2,LISTAS[],3,FALSE))
)
/5,0)*5,0)</f>
        <v>194620</v>
      </c>
    </row>
    <row r="55" spans="1:11">
      <c r="A55" s="18" t="s">
        <v>84</v>
      </c>
      <c r="B55" s="3">
        <v>96819</v>
      </c>
      <c r="C55" s="3">
        <v>32697</v>
      </c>
      <c r="D55" s="3">
        <v>44050</v>
      </c>
      <c r="E55" s="7">
        <v>43341</v>
      </c>
      <c r="G55" s="21" t="s">
        <v>84</v>
      </c>
      <c r="H55" s="5" cm="1">
        <f t="array" ref="H55">IFERROR(
ROUND(
IF($A$2="COSTO",
   ((B55*(1+IFERROR(VLOOKUP($D$2,COLORES[],2,FALSE),0)))+E55)
   *(1-_xlfn.XLOOKUP(1,(DESC_PROV[LINEA]=$B$2)*(DESC_PROV[LISTA]=$C$2),DESC_PROV[DESCUENTO])),
   ((B55*(1+IFERROR(VLOOKUP($D$2,COLORES[],2,FALSE),0)))+E55)
   *(1-_xlfn.XLOOKUP(1,(DESC_PROV[LINEA]=$B$2)*(DESC_PROV[LISTA]=$C$2),DESC_PROV[DESCUENTO]))
   *(1+VLOOKUP($C$2,LISTAS[],2,FALSE))
   *(1+VLOOKUP($C$2,LISTAS[],3,FALSE))
)
/5,0)*5,0)</f>
        <v>173825</v>
      </c>
      <c r="I55" s="5" cm="1">
        <f t="array" ref="I55">IFERROR(
ROUND(
IF($A$2="COSTO",
   ((B55*(1+IFERROR(VLOOKUP($D$2,COLORES[],2,FALSE),0)))
   + C55
   + E55)
   *(1-_xlfn.XLOOKUP(1,(DESC_PROV[LINEA]=$B$2)*(DESC_PROV[LISTA]=$C$2),DESC_PROV[DESCUENTO])),
   ((B55*(1+IFERROR(VLOOKUP($D$2,COLORES[],2,FALSE),0)))
   + C55
   + E55)
   *(1-_xlfn.XLOOKUP(1,(DESC_PROV[LINEA]=$B$2)*(DESC_PROV[LISTA]=$C$2),DESC_PROV[DESCUENTO]))
   *(1+VLOOKUP($C$2,LISTAS[],2,FALSE))
   *(1+VLOOKUP($C$2,LISTAS[],3,FALSE))
)
/5,0)*5,0)</f>
        <v>214375</v>
      </c>
      <c r="J55" s="5" cm="1">
        <f t="array" ref="J55">IFERROR(
ROUND(
IF($A$2="COSTO",
   (D55*(1+IFERROR(VLOOKUP($D$2,COLORES[],2,FALSE),0)))
   *(1-_xlfn.XLOOKUP(1,(DESC_PROV[LINEA]=$B$2)*(DESC_PROV[LISTA]=$C$2),DESC_PROV[DESCUENTO])),
   (D55*(1+IFERROR(VLOOKUP($D$2,COLORES[],2,FALSE),0)))
   *(1-_xlfn.XLOOKUP(1,(DESC_PROV[LINEA]=$B$2)*(DESC_PROV[LISTA]=$C$2),DESC_PROV[DESCUENTO]))
   *(1+VLOOKUP($C$2,LISTAS[],2,FALSE))
   *(1+VLOOKUP($C$2,LISTAS[],4,FALSE))
)
/5,0)*5,0)</f>
        <v>67240</v>
      </c>
      <c r="K55" s="6" cm="1">
        <f t="array" ref="K55">IFERROR(
ROUND(
IF($A$2="COSTO",
   (B55*(1+IFERROR(VLOOKUP($D$2,COLORES[],2,FALSE),0))+E55)
   *(1+VLOOKUP($C$2,LISTAS[],5,FALSE))
   *(1-_xlfn.XLOOKUP(1,(DESC_PROV[LINEA]=$B$2)*(DESC_PROV[LISTA]=$C$2),DESC_PROV[DESCUENTO])),
   (B55*(1+IFERROR(VLOOKUP($D$2,COLORES[],2,FALSE),0))+E55)
   *(1-_xlfn.XLOOKUP(1,(DESC_PROV[LINEA]=$B$2)*(DESC_PROV[LISTA]=$C$2),DESC_PROV[DESCUENTO]))
   *(1+VLOOKUP($C$2,LISTAS[],5,FALSE))
   *(1+VLOOKUP($C$2,LISTAS[],2,FALSE))
   *(1+VLOOKUP($C$2,LISTAS[],3,FALSE))
)
/5,0)*5,0)</f>
        <v>225975</v>
      </c>
    </row>
    <row r="56" spans="1:11">
      <c r="A56" s="18" t="s">
        <v>85</v>
      </c>
      <c r="B56" s="3">
        <v>103845</v>
      </c>
      <c r="C56" s="3">
        <v>32697</v>
      </c>
      <c r="D56" s="3">
        <v>48774</v>
      </c>
      <c r="E56" s="7">
        <v>52629</v>
      </c>
      <c r="G56" s="21" t="s">
        <v>85</v>
      </c>
      <c r="H56" s="5" cm="1">
        <f t="array" ref="H56">IFERROR(
ROUND(
IF($A$2="COSTO",
   ((B56*(1+IFERROR(VLOOKUP($D$2,COLORES[],2,FALSE),0)))+E56)
   *(1-_xlfn.XLOOKUP(1,(DESC_PROV[LINEA]=$B$2)*(DESC_PROV[LISTA]=$C$2),DESC_PROV[DESCUENTO])),
   ((B56*(1+IFERROR(VLOOKUP($D$2,COLORES[],2,FALSE),0)))+E56)
   *(1-_xlfn.XLOOKUP(1,(DESC_PROV[LINEA]=$B$2)*(DESC_PROV[LISTA]=$C$2),DESC_PROV[DESCUENTO]))
   *(1+VLOOKUP($C$2,LISTAS[],2,FALSE))
   *(1+VLOOKUP($C$2,LISTAS[],3,FALSE))
)
/5,0)*5,0)</f>
        <v>194060</v>
      </c>
      <c r="I56" s="5" cm="1">
        <f t="array" ref="I56">IFERROR(
ROUND(
IF($A$2="COSTO",
   ((B56*(1+IFERROR(VLOOKUP($D$2,COLORES[],2,FALSE),0)))
   + C56
   + E56)
   *(1-_xlfn.XLOOKUP(1,(DESC_PROV[LINEA]=$B$2)*(DESC_PROV[LISTA]=$C$2),DESC_PROV[DESCUENTO])),
   ((B56*(1+IFERROR(VLOOKUP($D$2,COLORES[],2,FALSE),0)))
   + C56
   + E56)
   *(1-_xlfn.XLOOKUP(1,(DESC_PROV[LINEA]=$B$2)*(DESC_PROV[LISTA]=$C$2),DESC_PROV[DESCUENTO]))
   *(1+VLOOKUP($C$2,LISTAS[],2,FALSE))
   *(1+VLOOKUP($C$2,LISTAS[],3,FALSE))
)
/5,0)*5,0)</f>
        <v>234610</v>
      </c>
      <c r="J56" s="5" cm="1">
        <f t="array" ref="J56">IFERROR(
ROUND(
IF($A$2="COSTO",
   (D56*(1+IFERROR(VLOOKUP($D$2,COLORES[],2,FALSE),0)))
   *(1-_xlfn.XLOOKUP(1,(DESC_PROV[LINEA]=$B$2)*(DESC_PROV[LISTA]=$C$2),DESC_PROV[DESCUENTO])),
   (D56*(1+IFERROR(VLOOKUP($D$2,COLORES[],2,FALSE),0)))
   *(1-_xlfn.XLOOKUP(1,(DESC_PROV[LINEA]=$B$2)*(DESC_PROV[LISTA]=$C$2),DESC_PROV[DESCUENTO]))
   *(1+VLOOKUP($C$2,LISTAS[],2,FALSE))
   *(1+VLOOKUP($C$2,LISTAS[],4,FALSE))
)
/5,0)*5,0)</f>
        <v>74450</v>
      </c>
      <c r="K56" s="6" cm="1">
        <f t="array" ref="K56">IFERROR(
ROUND(
IF($A$2="COSTO",
   (B56*(1+IFERROR(VLOOKUP($D$2,COLORES[],2,FALSE),0))+E56)
   *(1+VLOOKUP($C$2,LISTAS[],5,FALSE))
   *(1-_xlfn.XLOOKUP(1,(DESC_PROV[LINEA]=$B$2)*(DESC_PROV[LISTA]=$C$2),DESC_PROV[DESCUENTO])),
   (B56*(1+IFERROR(VLOOKUP($D$2,COLORES[],2,FALSE),0))+E56)
   *(1-_xlfn.XLOOKUP(1,(DESC_PROV[LINEA]=$B$2)*(DESC_PROV[LISTA]=$C$2),DESC_PROV[DESCUENTO]))
   *(1+VLOOKUP($C$2,LISTAS[],5,FALSE))
   *(1+VLOOKUP($C$2,LISTAS[],2,FALSE))
   *(1+VLOOKUP($C$2,LISTAS[],3,FALSE))
)
/5,0)*5,0)</f>
        <v>252275</v>
      </c>
    </row>
    <row r="57" spans="1:11">
      <c r="A57" s="18" t="s">
        <v>86</v>
      </c>
      <c r="B57" s="3">
        <v>110553</v>
      </c>
      <c r="C57" s="3">
        <v>32697</v>
      </c>
      <c r="D57" s="3">
        <v>51923</v>
      </c>
      <c r="E57" s="7">
        <v>58821</v>
      </c>
      <c r="G57" s="21" t="s">
        <v>86</v>
      </c>
      <c r="H57" s="5" cm="1">
        <f t="array" ref="H57">IFERROR(
ROUND(
IF($A$2="COSTO",
   ((B57*(1+IFERROR(VLOOKUP($D$2,COLORES[],2,FALSE),0)))+E57)
   *(1-_xlfn.XLOOKUP(1,(DESC_PROV[LINEA]=$B$2)*(DESC_PROV[LISTA]=$C$2),DESC_PROV[DESCUENTO])),
   ((B57*(1+IFERROR(VLOOKUP($D$2,COLORES[],2,FALSE),0)))+E57)
   *(1-_xlfn.XLOOKUP(1,(DESC_PROV[LINEA]=$B$2)*(DESC_PROV[LISTA]=$C$2),DESC_PROV[DESCUENTO]))
   *(1+VLOOKUP($C$2,LISTAS[],2,FALSE))
   *(1+VLOOKUP($C$2,LISTAS[],3,FALSE))
)
/5,0)*5,0)</f>
        <v>210060</v>
      </c>
      <c r="I57" s="5" cm="1">
        <f t="array" ref="I57">IFERROR(
ROUND(
IF($A$2="COSTO",
   ((B57*(1+IFERROR(VLOOKUP($D$2,COLORES[],2,FALSE),0)))
   + C57
   + E57)
   *(1-_xlfn.XLOOKUP(1,(DESC_PROV[LINEA]=$B$2)*(DESC_PROV[LISTA]=$C$2),DESC_PROV[DESCUENTO])),
   ((B57*(1+IFERROR(VLOOKUP($D$2,COLORES[],2,FALSE),0)))
   + C57
   + E57)
   *(1-_xlfn.XLOOKUP(1,(DESC_PROV[LINEA]=$B$2)*(DESC_PROV[LISTA]=$C$2),DESC_PROV[DESCUENTO]))
   *(1+VLOOKUP($C$2,LISTAS[],2,FALSE))
   *(1+VLOOKUP($C$2,LISTAS[],3,FALSE))
)
/5,0)*5,0)</f>
        <v>250610</v>
      </c>
      <c r="J57" s="5" cm="1">
        <f t="array" ref="J57">IFERROR(
ROUND(
IF($A$2="COSTO",
   (D57*(1+IFERROR(VLOOKUP($D$2,COLORES[],2,FALSE),0)))
   *(1-_xlfn.XLOOKUP(1,(DESC_PROV[LINEA]=$B$2)*(DESC_PROV[LISTA]=$C$2),DESC_PROV[DESCUENTO])),
   (D57*(1+IFERROR(VLOOKUP($D$2,COLORES[],2,FALSE),0)))
   *(1-_xlfn.XLOOKUP(1,(DESC_PROV[LINEA]=$B$2)*(DESC_PROV[LISTA]=$C$2),DESC_PROV[DESCUENTO]))
   *(1+VLOOKUP($C$2,LISTAS[],2,FALSE))
   *(1+VLOOKUP($C$2,LISTAS[],4,FALSE))
)
/5,0)*5,0)</f>
        <v>79255</v>
      </c>
      <c r="K57" s="6" cm="1">
        <f t="array" ref="K57">IFERROR(
ROUND(
IF($A$2="COSTO",
   (B57*(1+IFERROR(VLOOKUP($D$2,COLORES[],2,FALSE),0))+E57)
   *(1+VLOOKUP($C$2,LISTAS[],5,FALSE))
   *(1-_xlfn.XLOOKUP(1,(DESC_PROV[LINEA]=$B$2)*(DESC_PROV[LISTA]=$C$2),DESC_PROV[DESCUENTO])),
   (B57*(1+IFERROR(VLOOKUP($D$2,COLORES[],2,FALSE),0))+E57)
   *(1-_xlfn.XLOOKUP(1,(DESC_PROV[LINEA]=$B$2)*(DESC_PROV[LISTA]=$C$2),DESC_PROV[DESCUENTO]))
   *(1+VLOOKUP($C$2,LISTAS[],5,FALSE))
   *(1+VLOOKUP($C$2,LISTAS[],2,FALSE))
   *(1+VLOOKUP($C$2,LISTAS[],3,FALSE))
)
/5,0)*5,0)</f>
        <v>273075</v>
      </c>
    </row>
    <row r="58" spans="1:11">
      <c r="A58" s="18" t="s">
        <v>87</v>
      </c>
      <c r="B58" s="3">
        <v>117195</v>
      </c>
      <c r="C58" s="3">
        <v>32697</v>
      </c>
      <c r="D58" s="3">
        <v>55073</v>
      </c>
      <c r="E58" s="7">
        <v>65012</v>
      </c>
      <c r="G58" s="21" t="s">
        <v>87</v>
      </c>
      <c r="H58" s="5" cm="1">
        <f t="array" ref="H58">IFERROR(
ROUND(
IF($A$2="COSTO",
   ((B58*(1+IFERROR(VLOOKUP($D$2,COLORES[],2,FALSE),0)))+E58)
   *(1-_xlfn.XLOOKUP(1,(DESC_PROV[LINEA]=$B$2)*(DESC_PROV[LISTA]=$C$2),DESC_PROV[DESCUENTO])),
   ((B58*(1+IFERROR(VLOOKUP($D$2,COLORES[],2,FALSE),0)))+E58)
   *(1-_xlfn.XLOOKUP(1,(DESC_PROV[LINEA]=$B$2)*(DESC_PROV[LISTA]=$C$2),DESC_PROV[DESCUENTO]))
   *(1+VLOOKUP($C$2,LISTAS[],2,FALSE))
   *(1+VLOOKUP($C$2,LISTAS[],3,FALSE))
)
/5,0)*5,0)</f>
        <v>225975</v>
      </c>
      <c r="I58" s="5" cm="1">
        <f t="array" ref="I58">IFERROR(
ROUND(
IF($A$2="COSTO",
   ((B58*(1+IFERROR(VLOOKUP($D$2,COLORES[],2,FALSE),0)))
   + C58
   + E58)
   *(1-_xlfn.XLOOKUP(1,(DESC_PROV[LINEA]=$B$2)*(DESC_PROV[LISTA]=$C$2),DESC_PROV[DESCUENTO])),
   ((B58*(1+IFERROR(VLOOKUP($D$2,COLORES[],2,FALSE),0)))
   + C58
   + E58)
   *(1-_xlfn.XLOOKUP(1,(DESC_PROV[LINEA]=$B$2)*(DESC_PROV[LISTA]=$C$2),DESC_PROV[DESCUENTO]))
   *(1+VLOOKUP($C$2,LISTAS[],2,FALSE))
   *(1+VLOOKUP($C$2,LISTAS[],3,FALSE))
)
/5,0)*5,0)</f>
        <v>266525</v>
      </c>
      <c r="J58" s="5" cm="1">
        <f t="array" ref="J58">IFERROR(
ROUND(
IF($A$2="COSTO",
   (D58*(1+IFERROR(VLOOKUP($D$2,COLORES[],2,FALSE),0)))
   *(1-_xlfn.XLOOKUP(1,(DESC_PROV[LINEA]=$B$2)*(DESC_PROV[LISTA]=$C$2),DESC_PROV[DESCUENTO])),
   (D58*(1+IFERROR(VLOOKUP($D$2,COLORES[],2,FALSE),0)))
   *(1-_xlfn.XLOOKUP(1,(DESC_PROV[LINEA]=$B$2)*(DESC_PROV[LISTA]=$C$2),DESC_PROV[DESCUENTO]))
   *(1+VLOOKUP($C$2,LISTAS[],2,FALSE))
   *(1+VLOOKUP($C$2,LISTAS[],4,FALSE))
)
/5,0)*5,0)</f>
        <v>84065</v>
      </c>
      <c r="K58" s="6" cm="1">
        <f t="array" ref="K58">IFERROR(
ROUND(
IF($A$2="COSTO",
   (B58*(1+IFERROR(VLOOKUP($D$2,COLORES[],2,FALSE),0))+E58)
   *(1+VLOOKUP($C$2,LISTAS[],5,FALSE))
   *(1-_xlfn.XLOOKUP(1,(DESC_PROV[LINEA]=$B$2)*(DESC_PROV[LISTA]=$C$2),DESC_PROV[DESCUENTO])),
   (B58*(1+IFERROR(VLOOKUP($D$2,COLORES[],2,FALSE),0))+E58)
   *(1-_xlfn.XLOOKUP(1,(DESC_PROV[LINEA]=$B$2)*(DESC_PROV[LISTA]=$C$2),DESC_PROV[DESCUENTO]))
   *(1+VLOOKUP($C$2,LISTAS[],5,FALSE))
   *(1+VLOOKUP($C$2,LISTAS[],2,FALSE))
   *(1+VLOOKUP($C$2,LISTAS[],3,FALSE))
)
/5,0)*5,0)</f>
        <v>293765</v>
      </c>
    </row>
    <row r="59" spans="1:11">
      <c r="A59" s="18" t="s">
        <v>88</v>
      </c>
      <c r="B59" s="3">
        <v>121758</v>
      </c>
      <c r="C59" s="3">
        <v>32697</v>
      </c>
      <c r="D59" s="3">
        <v>58222</v>
      </c>
      <c r="E59" s="7">
        <v>71204</v>
      </c>
      <c r="G59" s="21" t="s">
        <v>88</v>
      </c>
      <c r="H59" s="5" cm="1">
        <f t="array" ref="H59">IFERROR(
ROUND(
IF($A$2="COSTO",
   ((B59*(1+IFERROR(VLOOKUP($D$2,COLORES[],2,FALSE),0)))+E59)
   *(1-_xlfn.XLOOKUP(1,(DESC_PROV[LINEA]=$B$2)*(DESC_PROV[LISTA]=$C$2),DESC_PROV[DESCUENTO])),
   ((B59*(1+IFERROR(VLOOKUP($D$2,COLORES[],2,FALSE),0)))+E59)
   *(1-_xlfn.XLOOKUP(1,(DESC_PROV[LINEA]=$B$2)*(DESC_PROV[LISTA]=$C$2),DESC_PROV[DESCUENTO]))
   *(1+VLOOKUP($C$2,LISTAS[],2,FALSE))
   *(1+VLOOKUP($C$2,LISTAS[],3,FALSE))
)
/5,0)*5,0)</f>
        <v>239310</v>
      </c>
      <c r="I59" s="5" cm="1">
        <f t="array" ref="I59">IFERROR(
ROUND(
IF($A$2="COSTO",
   ((B59*(1+IFERROR(VLOOKUP($D$2,COLORES[],2,FALSE),0)))
   + C59
   + E59)
   *(1-_xlfn.XLOOKUP(1,(DESC_PROV[LINEA]=$B$2)*(DESC_PROV[LISTA]=$C$2),DESC_PROV[DESCUENTO])),
   ((B59*(1+IFERROR(VLOOKUP($D$2,COLORES[],2,FALSE),0)))
   + C59
   + E59)
   *(1-_xlfn.XLOOKUP(1,(DESC_PROV[LINEA]=$B$2)*(DESC_PROV[LISTA]=$C$2),DESC_PROV[DESCUENTO]))
   *(1+VLOOKUP($C$2,LISTAS[],2,FALSE))
   *(1+VLOOKUP($C$2,LISTAS[],3,FALSE))
)
/5,0)*5,0)</f>
        <v>279860</v>
      </c>
      <c r="J59" s="5" cm="1">
        <f t="array" ref="J59">IFERROR(
ROUND(
IF($A$2="COSTO",
   (D59*(1+IFERROR(VLOOKUP($D$2,COLORES[],2,FALSE),0)))
   *(1-_xlfn.XLOOKUP(1,(DESC_PROV[LINEA]=$B$2)*(DESC_PROV[LISTA]=$C$2),DESC_PROV[DESCUENTO])),
   (D59*(1+IFERROR(VLOOKUP($D$2,COLORES[],2,FALSE),0)))
   *(1-_xlfn.XLOOKUP(1,(DESC_PROV[LINEA]=$B$2)*(DESC_PROV[LISTA]=$C$2),DESC_PROV[DESCUENTO]))
   *(1+VLOOKUP($C$2,LISTAS[],2,FALSE))
   *(1+VLOOKUP($C$2,LISTAS[],4,FALSE))
)
/5,0)*5,0)</f>
        <v>88870</v>
      </c>
      <c r="K59" s="6" cm="1">
        <f t="array" ref="K59">IFERROR(
ROUND(
IF($A$2="COSTO",
   (B59*(1+IFERROR(VLOOKUP($D$2,COLORES[],2,FALSE),0))+E59)
   *(1+VLOOKUP($C$2,LISTAS[],5,FALSE))
   *(1-_xlfn.XLOOKUP(1,(DESC_PROV[LINEA]=$B$2)*(DESC_PROV[LISTA]=$C$2),DESC_PROV[DESCUENTO])),
   (B59*(1+IFERROR(VLOOKUP($D$2,COLORES[],2,FALSE),0))+E59)
   *(1-_xlfn.XLOOKUP(1,(DESC_PROV[LINEA]=$B$2)*(DESC_PROV[LISTA]=$C$2),DESC_PROV[DESCUENTO]))
   *(1+VLOOKUP($C$2,LISTAS[],5,FALSE))
   *(1+VLOOKUP($C$2,LISTAS[],2,FALSE))
   *(1+VLOOKUP($C$2,LISTAS[],3,FALSE))
)
/5,0)*5,0)</f>
        <v>311105</v>
      </c>
    </row>
    <row r="60" spans="1:11" ht="14.65" thickBot="1">
      <c r="A60" s="19" t="s">
        <v>115</v>
      </c>
      <c r="B60" s="8">
        <f>B59*(1+5%)</f>
        <v>127845.90000000001</v>
      </c>
      <c r="C60" s="8">
        <f t="shared" ref="C60:E60" si="0">C59*(1+5%)</f>
        <v>34331.85</v>
      </c>
      <c r="D60" s="8">
        <f t="shared" si="0"/>
        <v>61133.100000000006</v>
      </c>
      <c r="E60" s="9">
        <f t="shared" si="0"/>
        <v>74764.2</v>
      </c>
      <c r="G60" s="22" t="s">
        <v>115</v>
      </c>
      <c r="H60" s="5" cm="1">
        <f t="array" ref="H60">IFERROR(
ROUND(
IF($A$2="COSTO",
   ((B60*(1+IFERROR(VLOOKUP($D$2,COLORES[],2,FALSE),0)))+E60)
   *(1-_xlfn.XLOOKUP(1,(DESC_PROV[LINEA]=$B$2)*(DESC_PROV[LISTA]=$C$2),DESC_PROV[DESCUENTO])),
   ((B60*(1+IFERROR(VLOOKUP($D$2,COLORES[],2,FALSE),0)))+E60)
   *(1-_xlfn.XLOOKUP(1,(DESC_PROV[LINEA]=$B$2)*(DESC_PROV[LISTA]=$C$2),DESC_PROV[DESCUENTO]))
   *(1+VLOOKUP($C$2,LISTAS[],2,FALSE))
   *(1+VLOOKUP($C$2,LISTAS[],3,FALSE))
)
/5,0)*5,0)</f>
        <v>251275</v>
      </c>
      <c r="I60" s="5" cm="1">
        <f t="array" ref="I60">IFERROR(
ROUND(
IF($A$2="COSTO",
   ((B60*(1+IFERROR(VLOOKUP($D$2,COLORES[],2,FALSE),0)))
   + C60
   + E60)
   *(1-_xlfn.XLOOKUP(1,(DESC_PROV[LINEA]=$B$2)*(DESC_PROV[LISTA]=$C$2),DESC_PROV[DESCUENTO])),
   ((B60*(1+IFERROR(VLOOKUP($D$2,COLORES[],2,FALSE),0)))
   + C60
   + E60)
   *(1-_xlfn.XLOOKUP(1,(DESC_PROV[LINEA]=$B$2)*(DESC_PROV[LISTA]=$C$2),DESC_PROV[DESCUENTO]))
   *(1+VLOOKUP($C$2,LISTAS[],2,FALSE))
   *(1+VLOOKUP($C$2,LISTAS[],3,FALSE))
)
/5,0)*5,0)</f>
        <v>293855</v>
      </c>
      <c r="J60" s="5" cm="1">
        <f t="array" ref="J60">IFERROR(
ROUND(
IF($A$2="COSTO",
   (D60*(1+IFERROR(VLOOKUP($D$2,COLORES[],2,FALSE),0)))
   *(1-_xlfn.XLOOKUP(1,(DESC_PROV[LINEA]=$B$2)*(DESC_PROV[LISTA]=$C$2),DESC_PROV[DESCUENTO])),
   (D60*(1+IFERROR(VLOOKUP($D$2,COLORES[],2,FALSE),0)))
   *(1-_xlfn.XLOOKUP(1,(DESC_PROV[LINEA]=$B$2)*(DESC_PROV[LISTA]=$C$2),DESC_PROV[DESCUENTO]))
   *(1+VLOOKUP($C$2,LISTAS[],2,FALSE))
   *(1+VLOOKUP($C$2,LISTAS[],4,FALSE))
)
/5,0)*5,0)</f>
        <v>93315</v>
      </c>
      <c r="K60" s="6" cm="1">
        <f t="array" ref="K60">IFERROR(
ROUND(
IF($A$2="COSTO",
   (B60*(1+IFERROR(VLOOKUP($D$2,COLORES[],2,FALSE),0))+E60)
   *(1+VLOOKUP($C$2,LISTAS[],5,FALSE))
   *(1-_xlfn.XLOOKUP(1,(DESC_PROV[LINEA]=$B$2)*(DESC_PROV[LISTA]=$C$2),DESC_PROV[DESCUENTO])),
   (B60*(1+IFERROR(VLOOKUP($D$2,COLORES[],2,FALSE),0))+E60)
   *(1-_xlfn.XLOOKUP(1,(DESC_PROV[LINEA]=$B$2)*(DESC_PROV[LISTA]=$C$2),DESC_PROV[DESCUENTO]))
   *(1+VLOOKUP($C$2,LISTAS[],5,FALSE))
   *(1+VLOOKUP($C$2,LISTAS[],2,FALSE))
   *(1+VLOOKUP($C$2,LISTAS[],3,FALSE))
)
/5,0)*5,0)</f>
        <v>326660</v>
      </c>
    </row>
  </sheetData>
  <mergeCells count="2">
    <mergeCell ref="A4:E4"/>
    <mergeCell ref="G4:K4"/>
  </mergeCells>
  <pageMargins left="0.7" right="0.7" top="0.75" bottom="0.75" header="0.3" footer="0.3"/>
  <pageSetup scale="77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EA9F-0EEC-4A8C-8321-374FEAB4AA3F}">
  <sheetPr codeName="Hoja4">
    <tabColor rgb="FFFF0000"/>
  </sheetPr>
  <dimension ref="A1:E60"/>
  <sheetViews>
    <sheetView topLeftCell="A4" zoomScale="70" zoomScaleNormal="70" workbookViewId="0">
      <selection activeCell="A8" sqref="A8"/>
    </sheetView>
  </sheetViews>
  <sheetFormatPr baseColWidth="10" defaultRowHeight="14.25"/>
  <cols>
    <col min="1" max="1" width="15.6640625" style="4" customWidth="1"/>
    <col min="2" max="2" width="22.06640625" style="4" customWidth="1"/>
    <col min="3" max="3" width="10.6640625" style="4"/>
    <col min="4" max="4" width="15.6640625" style="4" customWidth="1"/>
    <col min="5" max="5" width="22.06640625" style="4" customWidth="1"/>
    <col min="6" max="7" width="10.6640625" style="4"/>
    <col min="8" max="8" width="16.06640625" style="4" customWidth="1"/>
    <col min="9" max="16384" width="10.6640625" style="4"/>
  </cols>
  <sheetData>
    <row r="1" spans="1:5">
      <c r="A1" s="254" t="s">
        <v>34</v>
      </c>
      <c r="B1" s="255" t="s">
        <v>396</v>
      </c>
      <c r="C1" s="270" t="s">
        <v>397</v>
      </c>
      <c r="D1" s="256" t="s">
        <v>28</v>
      </c>
      <c r="E1" s="266" t="s">
        <v>28</v>
      </c>
    </row>
    <row r="2" spans="1:5" ht="14.65" thickBot="1">
      <c r="A2" s="210" t="str">
        <f>CONTROL!B4</f>
        <v>VENTA</v>
      </c>
      <c r="B2" s="252" t="s">
        <v>399</v>
      </c>
      <c r="C2" s="252" t="s">
        <v>93</v>
      </c>
      <c r="D2" s="253" t="str">
        <f>CONTROL!D4</f>
        <v>BLANCO</v>
      </c>
      <c r="E2" s="265" t="str">
        <f>'ventana herrero'!C2</f>
        <v>AMARILLA</v>
      </c>
    </row>
    <row r="4" spans="1:5" ht="14.65" thickBot="1"/>
    <row r="5" spans="1:5" ht="16.149999999999999" thickBot="1">
      <c r="A5" s="279" t="s">
        <v>89</v>
      </c>
      <c r="B5" s="280"/>
    </row>
    <row r="6" spans="1:5" ht="17.25" thickBot="1">
      <c r="A6" s="35" t="s">
        <v>24</v>
      </c>
      <c r="B6" s="39" t="s">
        <v>35</v>
      </c>
      <c r="D6" s="35" t="s">
        <v>24</v>
      </c>
      <c r="E6" s="39" t="s">
        <v>35</v>
      </c>
    </row>
    <row r="7" spans="1:5">
      <c r="A7" s="36" t="s">
        <v>137</v>
      </c>
      <c r="B7" s="5">
        <v>11094</v>
      </c>
      <c r="D7" s="36" t="s">
        <v>137</v>
      </c>
      <c r="E7" s="5">
        <f>IFERROR(
ROUND(
IF($A$2="COSTO",
   B7
   *(1+IFERROR(VLOOKUP($D$2,COLORES[],2,FALSE),0))
   *(1+VLOOKUP($C$2,LISTAS[],6,FALSE)),
   B7
   *(1+IFERROR(VLOOKUP($D$2,COLORES[],2,FALSE),0))
   *(1+VLOOKUP($C$2,LISTAS[],6,FALSE))
   *(1+_xlfn.XLOOKUP($C$2,LISTAS[Lista],LISTAS[Mosq]))
),0),0)</f>
        <v>22046</v>
      </c>
    </row>
    <row r="8" spans="1:5">
      <c r="A8" s="37" t="s">
        <v>139</v>
      </c>
      <c r="B8" s="5">
        <v>12830</v>
      </c>
      <c r="D8" s="37" t="s">
        <v>139</v>
      </c>
      <c r="E8" s="5">
        <f>IFERROR(
ROUND(
IF($A$2="COSTO",
   B8
   *(1+IFERROR(VLOOKUP($D$2,COLORES[],2,FALSE),0))
   *(1+VLOOKUP($C$2,LISTAS[],6,FALSE)),
   B8
   *(1+IFERROR(VLOOKUP($D$2,COLORES[],2,FALSE),0))
   *(1+VLOOKUP($C$2,LISTAS[],6,FALSE))
   *(1+_xlfn.XLOOKUP($C$2,LISTAS[Lista],LISTAS[Mosq]))
),0),0)</f>
        <v>25496</v>
      </c>
    </row>
    <row r="9" spans="1:5">
      <c r="A9" s="37" t="s">
        <v>141</v>
      </c>
      <c r="B9" s="5">
        <v>14565</v>
      </c>
      <c r="D9" s="37" t="s">
        <v>141</v>
      </c>
      <c r="E9" s="5">
        <f>IFERROR(
ROUND(
IF($A$2="COSTO",
   B9
   *(1+IFERROR(VLOOKUP($D$2,COLORES[],2,FALSE),0))
   *(1+VLOOKUP($C$2,LISTAS[],6,FALSE)),
   B9
   *(1+IFERROR(VLOOKUP($D$2,COLORES[],2,FALSE),0))
   *(1+VLOOKUP($C$2,LISTAS[],6,FALSE))
   *(1+_xlfn.XLOOKUP($C$2,LISTAS[Lista],LISTAS[Mosq]))
),0),0)</f>
        <v>28944</v>
      </c>
    </row>
    <row r="10" spans="1:5">
      <c r="A10" s="37" t="s">
        <v>426</v>
      </c>
      <c r="B10" s="5">
        <v>16300</v>
      </c>
      <c r="D10" s="37" t="s">
        <v>426</v>
      </c>
      <c r="E10" s="5">
        <f>IFERROR(
ROUND(
IF($A$2="COSTO",
   B10
   *(1+IFERROR(VLOOKUP($D$2,COLORES[],2,FALSE),0))
   *(1+VLOOKUP($C$2,LISTAS[],6,FALSE)),
   B10
   *(1+IFERROR(VLOOKUP($D$2,COLORES[],2,FALSE),0))
   *(1+VLOOKUP($C$2,LISTAS[],6,FALSE))
   *(1+_xlfn.XLOOKUP($C$2,LISTAS[Lista],LISTAS[Mosq]))
),0),0)</f>
        <v>32391</v>
      </c>
    </row>
    <row r="11" spans="1:5">
      <c r="A11" s="37" t="s">
        <v>427</v>
      </c>
      <c r="B11" s="5">
        <v>18905</v>
      </c>
      <c r="D11" s="37" t="s">
        <v>427</v>
      </c>
      <c r="E11" s="5">
        <f>IFERROR(
ROUND(
IF($A$2="COSTO",
   B11
   *(1+IFERROR(VLOOKUP($D$2,COLORES[],2,FALSE),0))
   *(1+VLOOKUP($C$2,LISTAS[],6,FALSE)),
   B11
   *(1+IFERROR(VLOOKUP($D$2,COLORES[],2,FALSE),0))
   *(1+VLOOKUP($C$2,LISTAS[],6,FALSE))
   *(1+_xlfn.XLOOKUP($C$2,LISTAS[Lista],LISTAS[Mosq]))
),0),0)</f>
        <v>37568</v>
      </c>
    </row>
    <row r="12" spans="1:5">
      <c r="A12" s="37" t="s">
        <v>428</v>
      </c>
      <c r="B12" s="5">
        <v>21508</v>
      </c>
      <c r="D12" s="37" t="s">
        <v>428</v>
      </c>
      <c r="E12" s="5">
        <f>IFERROR(
ROUND(
IF($A$2="COSTO",
   B12
   *(1+IFERROR(VLOOKUP($D$2,COLORES[],2,FALSE),0))
   *(1+VLOOKUP($C$2,LISTAS[],6,FALSE)),
   B12
   *(1+IFERROR(VLOOKUP($D$2,COLORES[],2,FALSE),0))
   *(1+VLOOKUP($C$2,LISTAS[],6,FALSE))
   *(1+_xlfn.XLOOKUP($C$2,LISTAS[Lista],LISTAS[Mosq]))
),0),0)</f>
        <v>42741</v>
      </c>
    </row>
    <row r="13" spans="1:5">
      <c r="A13" s="37" t="s">
        <v>429</v>
      </c>
      <c r="B13" s="5">
        <v>23244</v>
      </c>
      <c r="D13" s="37" t="s">
        <v>429</v>
      </c>
      <c r="E13" s="5">
        <f>IFERROR(
ROUND(
IF($A$2="COSTO",
   B13
   *(1+IFERROR(VLOOKUP($D$2,COLORES[],2,FALSE),0))
   *(1+VLOOKUP($C$2,LISTAS[],6,FALSE)),
   B13
   *(1+IFERROR(VLOOKUP($D$2,COLORES[],2,FALSE),0))
   *(1+VLOOKUP($C$2,LISTAS[],6,FALSE))
   *(1+_xlfn.XLOOKUP($C$2,LISTAS[Lista],LISTAS[Mosq]))
),0),0)</f>
        <v>46190</v>
      </c>
    </row>
    <row r="14" spans="1:5">
      <c r="A14" s="37" t="s">
        <v>173</v>
      </c>
      <c r="B14" s="5">
        <v>17580</v>
      </c>
      <c r="D14" s="37" t="s">
        <v>173</v>
      </c>
      <c r="E14" s="5">
        <f>IFERROR(
ROUND(
IF($A$2="COSTO",
   B14
   *(1+IFERROR(VLOOKUP($D$2,COLORES[],2,FALSE),0))
   *(1+VLOOKUP($C$2,LISTAS[],6,FALSE)),
   B14
   *(1+IFERROR(VLOOKUP($D$2,COLORES[],2,FALSE),0))
   *(1+VLOOKUP($C$2,LISTAS[],6,FALSE))
   *(1+_xlfn.XLOOKUP($C$2,LISTAS[Lista],LISTAS[Mosq]))
),0),0)</f>
        <v>34935</v>
      </c>
    </row>
    <row r="15" spans="1:5">
      <c r="A15" s="37" t="s">
        <v>175</v>
      </c>
      <c r="B15" s="5">
        <v>19772</v>
      </c>
      <c r="D15" s="37" t="s">
        <v>175</v>
      </c>
      <c r="E15" s="5">
        <f>IFERROR(
ROUND(
IF($A$2="COSTO",
   B15
   *(1+IFERROR(VLOOKUP($D$2,COLORES[],2,FALSE),0))
   *(1+VLOOKUP($C$2,LISTAS[],6,FALSE)),
   B15
   *(1+IFERROR(VLOOKUP($D$2,COLORES[],2,FALSE),0))
   *(1+VLOOKUP($C$2,LISTAS[],6,FALSE))
   *(1+_xlfn.XLOOKUP($C$2,LISTAS[Lista],LISTAS[Mosq]))
),0),0)</f>
        <v>39291</v>
      </c>
    </row>
    <row r="16" spans="1:5">
      <c r="A16" s="37" t="s">
        <v>275</v>
      </c>
      <c r="B16" s="5">
        <v>21965</v>
      </c>
      <c r="D16" s="37" t="s">
        <v>275</v>
      </c>
      <c r="E16" s="5">
        <f>IFERROR(
ROUND(
IF($A$2="COSTO",
   B16
   *(1+IFERROR(VLOOKUP($D$2,COLORES[],2,FALSE),0))
   *(1+VLOOKUP($C$2,LISTAS[],6,FALSE)),
   B16
   *(1+IFERROR(VLOOKUP($D$2,COLORES[],2,FALSE),0))
   *(1+VLOOKUP($C$2,LISTAS[],6,FALSE))
   *(1+_xlfn.XLOOKUP($C$2,LISTAS[Lista],LISTAS[Mosq]))
),0),0)</f>
        <v>43649</v>
      </c>
    </row>
    <row r="17" spans="1:5">
      <c r="A17" s="37" t="s">
        <v>276</v>
      </c>
      <c r="B17" s="5">
        <v>25254</v>
      </c>
      <c r="D17" s="37" t="s">
        <v>276</v>
      </c>
      <c r="E17" s="5">
        <f>IFERROR(
ROUND(
IF($A$2="COSTO",
   B17
   *(1+IFERROR(VLOOKUP($D$2,COLORES[],2,FALSE),0))
   *(1+VLOOKUP($C$2,LISTAS[],6,FALSE)),
   B17
   *(1+IFERROR(VLOOKUP($D$2,COLORES[],2,FALSE),0))
   *(1+VLOOKUP($C$2,LISTAS[],6,FALSE))
   *(1+_xlfn.XLOOKUP($C$2,LISTAS[Lista],LISTAS[Mosq]))
),0),0)</f>
        <v>50185</v>
      </c>
    </row>
    <row r="18" spans="1:5">
      <c r="A18" s="37" t="s">
        <v>277</v>
      </c>
      <c r="B18" s="5">
        <v>28542</v>
      </c>
      <c r="D18" s="37" t="s">
        <v>277</v>
      </c>
      <c r="E18" s="5">
        <f>IFERROR(
ROUND(
IF($A$2="COSTO",
   B18
   *(1+IFERROR(VLOOKUP($D$2,COLORES[],2,FALSE),0))
   *(1+VLOOKUP($C$2,LISTAS[],6,FALSE)),
   B18
   *(1+IFERROR(VLOOKUP($D$2,COLORES[],2,FALSE),0))
   *(1+VLOOKUP($C$2,LISTAS[],6,FALSE))
   *(1+_xlfn.XLOOKUP($C$2,LISTAS[Lista],LISTAS[Mosq]))
),0),0)</f>
        <v>56719</v>
      </c>
    </row>
    <row r="19" spans="1:5">
      <c r="A19" s="37" t="s">
        <v>278</v>
      </c>
      <c r="B19" s="5">
        <v>30736</v>
      </c>
      <c r="D19" s="37" t="s">
        <v>278</v>
      </c>
      <c r="E19" s="5">
        <f>IFERROR(
ROUND(
IF($A$2="COSTO",
   B19
   *(1+IFERROR(VLOOKUP($D$2,COLORES[],2,FALSE),0))
   *(1+VLOOKUP($C$2,LISTAS[],6,FALSE)),
   B19
   *(1+IFERROR(VLOOKUP($D$2,COLORES[],2,FALSE),0))
   *(1+VLOOKUP($C$2,LISTAS[],6,FALSE))
   *(1+_xlfn.XLOOKUP($C$2,LISTAS[Lista],LISTAS[Mosq]))
),0),0)</f>
        <v>61079</v>
      </c>
    </row>
    <row r="20" spans="1:5">
      <c r="A20" s="37" t="s">
        <v>430</v>
      </c>
      <c r="B20" s="5">
        <v>32927</v>
      </c>
      <c r="D20" s="37" t="s">
        <v>430</v>
      </c>
      <c r="E20" s="5">
        <f>IFERROR(
ROUND(
IF($A$2="COSTO",
   B20
   *(1+IFERROR(VLOOKUP($D$2,COLORES[],2,FALSE),0))
   *(1+VLOOKUP($C$2,LISTAS[],6,FALSE)),
   B20
   *(1+IFERROR(VLOOKUP($D$2,COLORES[],2,FALSE),0))
   *(1+VLOOKUP($C$2,LISTAS[],6,FALSE))
   *(1+_xlfn.XLOOKUP($C$2,LISTAS[Lista],LISTAS[Mosq]))
),0),0)</f>
        <v>65433</v>
      </c>
    </row>
    <row r="21" spans="1:5">
      <c r="A21" s="37" t="s">
        <v>431</v>
      </c>
      <c r="B21" s="5">
        <v>35120</v>
      </c>
      <c r="D21" s="37" t="s">
        <v>431</v>
      </c>
      <c r="E21" s="5">
        <f>IFERROR(
ROUND(
IF($A$2="COSTO",
   B21
   *(1+IFERROR(VLOOKUP($D$2,COLORES[],2,FALSE),0))
   *(1+VLOOKUP($C$2,LISTAS[],6,FALSE)),
   B21
   *(1+IFERROR(VLOOKUP($D$2,COLORES[],2,FALSE),0))
   *(1+VLOOKUP($C$2,LISTAS[],6,FALSE))
   *(1+_xlfn.XLOOKUP($C$2,LISTAS[Lista],LISTAS[Mosq]))
),0),0)</f>
        <v>69790</v>
      </c>
    </row>
    <row r="22" spans="1:5">
      <c r="A22" s="37" t="s">
        <v>182</v>
      </c>
      <c r="B22" s="5">
        <v>21508</v>
      </c>
      <c r="D22" s="37" t="s">
        <v>182</v>
      </c>
      <c r="E22" s="5">
        <f>IFERROR(
ROUND(
IF($A$2="COSTO",
   B22
   *(1+IFERROR(VLOOKUP($D$2,COLORES[],2,FALSE),0))
   *(1+VLOOKUP($C$2,LISTAS[],6,FALSE)),
   B22
   *(1+IFERROR(VLOOKUP($D$2,COLORES[],2,FALSE),0))
   *(1+VLOOKUP($C$2,LISTAS[],6,FALSE))
   *(1+_xlfn.XLOOKUP($C$2,LISTAS[Lista],LISTAS[Mosq]))
),0),0)</f>
        <v>42741</v>
      </c>
    </row>
    <row r="23" spans="1:5">
      <c r="A23" s="37" t="s">
        <v>432</v>
      </c>
      <c r="B23" s="5">
        <v>23853</v>
      </c>
      <c r="D23" s="37" t="s">
        <v>432</v>
      </c>
      <c r="E23" s="5">
        <f>IFERROR(
ROUND(
IF($A$2="COSTO",
   B23
   *(1+IFERROR(VLOOKUP($D$2,COLORES[],2,FALSE),0))
   *(1+VLOOKUP($C$2,LISTAS[],6,FALSE)),
   B23
   *(1+IFERROR(VLOOKUP($D$2,COLORES[],2,FALSE),0))
   *(1+VLOOKUP($C$2,LISTAS[],6,FALSE))
   *(1+_xlfn.XLOOKUP($C$2,LISTAS[Lista],LISTAS[Mosq]))
),0),0)</f>
        <v>47401</v>
      </c>
    </row>
    <row r="24" spans="1:5">
      <c r="A24" s="37" t="s">
        <v>433</v>
      </c>
      <c r="B24" s="5">
        <v>27371</v>
      </c>
      <c r="D24" s="37" t="s">
        <v>433</v>
      </c>
      <c r="E24" s="5">
        <f>IFERROR(
ROUND(
IF($A$2="COSTO",
   B24
   *(1+IFERROR(VLOOKUP($D$2,COLORES[],2,FALSE),0))
   *(1+VLOOKUP($C$2,LISTAS[],6,FALSE)),
   B24
   *(1+IFERROR(VLOOKUP($D$2,COLORES[],2,FALSE),0))
   *(1+VLOOKUP($C$2,LISTAS[],6,FALSE))
   *(1+_xlfn.XLOOKUP($C$2,LISTAS[Lista],LISTAS[Mosq]))
),0),0)</f>
        <v>54392</v>
      </c>
    </row>
    <row r="25" spans="1:5">
      <c r="A25" s="37" t="s">
        <v>434</v>
      </c>
      <c r="B25" s="5">
        <v>30887</v>
      </c>
      <c r="D25" s="37" t="s">
        <v>434</v>
      </c>
      <c r="E25" s="5">
        <f>IFERROR(
ROUND(
IF($A$2="COSTO",
   B25
   *(1+IFERROR(VLOOKUP($D$2,COLORES[],2,FALSE),0))
   *(1+VLOOKUP($C$2,LISTAS[],6,FALSE)),
   B25
   *(1+IFERROR(VLOOKUP($D$2,COLORES[],2,FALSE),0))
   *(1+VLOOKUP($C$2,LISTAS[],6,FALSE))
   *(1+_xlfn.XLOOKUP($C$2,LISTAS[Lista],LISTAS[Mosq]))
),0),0)</f>
        <v>61379</v>
      </c>
    </row>
    <row r="26" spans="1:5">
      <c r="A26" s="37" t="s">
        <v>435</v>
      </c>
      <c r="B26" s="5">
        <v>33232</v>
      </c>
      <c r="D26" s="37" t="s">
        <v>435</v>
      </c>
      <c r="E26" s="5">
        <f>IFERROR(
ROUND(
IF($A$2="COSTO",
   B26
   *(1+IFERROR(VLOOKUP($D$2,COLORES[],2,FALSE),0))
   *(1+VLOOKUP($C$2,LISTAS[],6,FALSE)),
   B26
   *(1+IFERROR(VLOOKUP($D$2,COLORES[],2,FALSE),0))
   *(1+VLOOKUP($C$2,LISTAS[],6,FALSE))
   *(1+_xlfn.XLOOKUP($C$2,LISTAS[Lista],LISTAS[Mosq]))
),0),0)</f>
        <v>66039</v>
      </c>
    </row>
    <row r="27" spans="1:5">
      <c r="A27" s="37" t="s">
        <v>436</v>
      </c>
      <c r="B27" s="5">
        <v>35578</v>
      </c>
      <c r="D27" s="37" t="s">
        <v>436</v>
      </c>
      <c r="E27" s="5">
        <f>IFERROR(
ROUND(
IF($A$2="COSTO",
   B27
   *(1+IFERROR(VLOOKUP($D$2,COLORES[],2,FALSE),0))
   *(1+VLOOKUP($C$2,LISTAS[],6,FALSE)),
   B27
   *(1+IFERROR(VLOOKUP($D$2,COLORES[],2,FALSE),0))
   *(1+VLOOKUP($C$2,LISTAS[],6,FALSE))
   *(1+_xlfn.XLOOKUP($C$2,LISTAS[Lista],LISTAS[Mosq]))
),0),0)</f>
        <v>70701</v>
      </c>
    </row>
    <row r="28" spans="1:5">
      <c r="A28" s="37" t="s">
        <v>437</v>
      </c>
      <c r="B28" s="5">
        <v>37923</v>
      </c>
      <c r="D28" s="37" t="s">
        <v>437</v>
      </c>
      <c r="E28" s="5">
        <f>IFERROR(
ROUND(
IF($A$2="COSTO",
   B28
   *(1+IFERROR(VLOOKUP($D$2,COLORES[],2,FALSE),0))
   *(1+VLOOKUP($C$2,LISTAS[],6,FALSE)),
   B28
   *(1+IFERROR(VLOOKUP($D$2,COLORES[],2,FALSE),0))
   *(1+VLOOKUP($C$2,LISTAS[],6,FALSE))
   *(1+_xlfn.XLOOKUP($C$2,LISTAS[Lista],LISTAS[Mosq]))
),0),0)</f>
        <v>75361</v>
      </c>
    </row>
    <row r="29" spans="1:5">
      <c r="A29" s="37" t="s">
        <v>58</v>
      </c>
      <c r="B29" s="5">
        <v>24980</v>
      </c>
      <c r="D29" s="37" t="s">
        <v>58</v>
      </c>
      <c r="E29" s="5">
        <f>IFERROR(
ROUND(
IF($A$2="COSTO",
   B29
   *(1+IFERROR(VLOOKUP($D$2,COLORES[],2,FALSE),0))
   *(1+VLOOKUP($C$2,LISTAS[],6,FALSE)),
   B29
   *(1+IFERROR(VLOOKUP($D$2,COLORES[],2,FALSE),0))
   *(1+VLOOKUP($C$2,LISTAS[],6,FALSE))
   *(1+_xlfn.XLOOKUP($C$2,LISTAS[Lista],LISTAS[Mosq]))
),0),0)</f>
        <v>49640</v>
      </c>
    </row>
    <row r="30" spans="1:5">
      <c r="A30" s="37" t="s">
        <v>59</v>
      </c>
      <c r="B30" s="5">
        <v>27630</v>
      </c>
      <c r="D30" s="37" t="s">
        <v>59</v>
      </c>
      <c r="E30" s="5">
        <f>IFERROR(
ROUND(
IF($A$2="COSTO",
   B30
   *(1+IFERROR(VLOOKUP($D$2,COLORES[],2,FALSE),0))
   *(1+VLOOKUP($C$2,LISTAS[],6,FALSE)),
   B30
   *(1+IFERROR(VLOOKUP($D$2,COLORES[],2,FALSE),0))
   *(1+VLOOKUP($C$2,LISTAS[],6,FALSE))
   *(1+_xlfn.XLOOKUP($C$2,LISTAS[Lista],LISTAS[Mosq]))
),0),0)</f>
        <v>54906</v>
      </c>
    </row>
    <row r="31" spans="1:5">
      <c r="A31" s="37" t="s">
        <v>60</v>
      </c>
      <c r="B31" s="5">
        <v>31603</v>
      </c>
      <c r="D31" s="37" t="s">
        <v>60</v>
      </c>
      <c r="E31" s="5">
        <f>IFERROR(
ROUND(
IF($A$2="COSTO",
   B31
   *(1+IFERROR(VLOOKUP($D$2,COLORES[],2,FALSE),0))
   *(1+VLOOKUP($C$2,LISTAS[],6,FALSE)),
   B31
   *(1+IFERROR(VLOOKUP($D$2,COLORES[],2,FALSE),0))
   *(1+VLOOKUP($C$2,LISTAS[],6,FALSE))
   *(1+_xlfn.XLOOKUP($C$2,LISTAS[Lista],LISTAS[Mosq]))
),0),0)</f>
        <v>62801</v>
      </c>
    </row>
    <row r="32" spans="1:5">
      <c r="A32" s="37" t="s">
        <v>61</v>
      </c>
      <c r="B32" s="5">
        <v>35578</v>
      </c>
      <c r="D32" s="37" t="s">
        <v>61</v>
      </c>
      <c r="E32" s="5">
        <f>IFERROR(
ROUND(
IF($A$2="COSTO",
   B32
   *(1+IFERROR(VLOOKUP($D$2,COLORES[],2,FALSE),0))
   *(1+VLOOKUP($C$2,LISTAS[],6,FALSE)),
   B32
   *(1+IFERROR(VLOOKUP($D$2,COLORES[],2,FALSE),0))
   *(1+VLOOKUP($C$2,LISTAS[],6,FALSE))
   *(1+_xlfn.XLOOKUP($C$2,LISTAS[Lista],LISTAS[Mosq]))
),0),0)</f>
        <v>70701</v>
      </c>
    </row>
    <row r="33" spans="1:5">
      <c r="A33" s="37" t="s">
        <v>62</v>
      </c>
      <c r="B33" s="5">
        <v>38227</v>
      </c>
      <c r="D33" s="37" t="s">
        <v>62</v>
      </c>
      <c r="E33" s="5">
        <f>IFERROR(
ROUND(
IF($A$2="COSTO",
   B33
   *(1+IFERROR(VLOOKUP($D$2,COLORES[],2,FALSE),0))
   *(1+VLOOKUP($C$2,LISTAS[],6,FALSE)),
   B33
   *(1+IFERROR(VLOOKUP($D$2,COLORES[],2,FALSE),0))
   *(1+VLOOKUP($C$2,LISTAS[],6,FALSE))
   *(1+_xlfn.XLOOKUP($C$2,LISTAS[Lista],LISTAS[Mosq]))
),0),0)</f>
        <v>75965</v>
      </c>
    </row>
    <row r="34" spans="1:5">
      <c r="A34" s="37" t="s">
        <v>63</v>
      </c>
      <c r="B34" s="5">
        <v>40877</v>
      </c>
      <c r="D34" s="37" t="s">
        <v>63</v>
      </c>
      <c r="E34" s="5">
        <f>IFERROR(
ROUND(
IF($A$2="COSTO",
   B34
   *(1+IFERROR(VLOOKUP($D$2,COLORES[],2,FALSE),0))
   *(1+VLOOKUP($C$2,LISTAS[],6,FALSE)),
   B34
   *(1+IFERROR(VLOOKUP($D$2,COLORES[],2,FALSE),0))
   *(1+VLOOKUP($C$2,LISTAS[],6,FALSE))
   *(1+_xlfn.XLOOKUP($C$2,LISTAS[Lista],LISTAS[Mosq]))
),0),0)</f>
        <v>81231</v>
      </c>
    </row>
    <row r="35" spans="1:5">
      <c r="A35" s="37" t="s">
        <v>64</v>
      </c>
      <c r="B35" s="5">
        <v>43526</v>
      </c>
      <c r="D35" s="37" t="s">
        <v>64</v>
      </c>
      <c r="E35" s="5">
        <f>IFERROR(
ROUND(
IF($A$2="COSTO",
   B35
   *(1+IFERROR(VLOOKUP($D$2,COLORES[],2,FALSE),0))
   *(1+VLOOKUP($C$2,LISTAS[],6,FALSE)),
   B35
   *(1+IFERROR(VLOOKUP($D$2,COLORES[],2,FALSE),0))
   *(1+VLOOKUP($C$2,LISTAS[],6,FALSE))
   *(1+_xlfn.XLOOKUP($C$2,LISTAS[Lista],LISTAS[Mosq]))
),0),0)</f>
        <v>86495</v>
      </c>
    </row>
    <row r="36" spans="1:5">
      <c r="A36" s="37" t="s">
        <v>65</v>
      </c>
      <c r="B36" s="5">
        <v>31405</v>
      </c>
      <c r="D36" s="37" t="s">
        <v>65</v>
      </c>
      <c r="E36" s="5">
        <f>IFERROR(
ROUND(
IF($A$2="COSTO",
   B36
   *(1+IFERROR(VLOOKUP($D$2,COLORES[],2,FALSE),0))
   *(1+VLOOKUP($C$2,LISTAS[],6,FALSE)),
   B36
   *(1+IFERROR(VLOOKUP($D$2,COLORES[],2,FALSE),0))
   *(1+VLOOKUP($C$2,LISTAS[],6,FALSE))
   *(1+_xlfn.XLOOKUP($C$2,LISTAS[Lista],LISTAS[Mosq]))
),0),0)</f>
        <v>62408</v>
      </c>
    </row>
    <row r="37" spans="1:5">
      <c r="A37" s="37" t="s">
        <v>66</v>
      </c>
      <c r="B37" s="5">
        <v>35836</v>
      </c>
      <c r="D37" s="37" t="s">
        <v>66</v>
      </c>
      <c r="E37" s="5">
        <f>IFERROR(
ROUND(
IF($A$2="COSTO",
   B37
   *(1+IFERROR(VLOOKUP($D$2,COLORES[],2,FALSE),0))
   *(1+VLOOKUP($C$2,LISTAS[],6,FALSE)),
   B37
   *(1+IFERROR(VLOOKUP($D$2,COLORES[],2,FALSE),0))
   *(1+VLOOKUP($C$2,LISTAS[],6,FALSE))
   *(1+_xlfn.XLOOKUP($C$2,LISTAS[Lista],LISTAS[Mosq]))
),0),0)</f>
        <v>71213</v>
      </c>
    </row>
    <row r="38" spans="1:5">
      <c r="A38" s="37" t="s">
        <v>67</v>
      </c>
      <c r="B38" s="5">
        <v>40268</v>
      </c>
      <c r="D38" s="37" t="s">
        <v>67</v>
      </c>
      <c r="E38" s="5">
        <f>IFERROR(
ROUND(
IF($A$2="COSTO",
   B38
   *(1+IFERROR(VLOOKUP($D$2,COLORES[],2,FALSE),0))
   *(1+VLOOKUP($C$2,LISTAS[],6,FALSE)),
   B38
   *(1+IFERROR(VLOOKUP($D$2,COLORES[],2,FALSE),0))
   *(1+VLOOKUP($C$2,LISTAS[],6,FALSE))
   *(1+_xlfn.XLOOKUP($C$2,LISTAS[Lista],LISTAS[Mosq]))
),0),0)</f>
        <v>80021</v>
      </c>
    </row>
    <row r="39" spans="1:5">
      <c r="A39" s="37" t="s">
        <v>68</v>
      </c>
      <c r="B39" s="5">
        <v>43221</v>
      </c>
      <c r="D39" s="37" t="s">
        <v>68</v>
      </c>
      <c r="E39" s="5">
        <f>IFERROR(
ROUND(
IF($A$2="COSTO",
   B39
   *(1+IFERROR(VLOOKUP($D$2,COLORES[],2,FALSE),0))
   *(1+VLOOKUP($C$2,LISTAS[],6,FALSE)),
   B39
   *(1+IFERROR(VLOOKUP($D$2,COLORES[],2,FALSE),0))
   *(1+VLOOKUP($C$2,LISTAS[],6,FALSE))
   *(1+_xlfn.XLOOKUP($C$2,LISTAS[Lista],LISTAS[Mosq]))
),0),0)</f>
        <v>85889</v>
      </c>
    </row>
    <row r="40" spans="1:5">
      <c r="A40" s="37" t="s">
        <v>69</v>
      </c>
      <c r="B40" s="5">
        <v>46176</v>
      </c>
      <c r="D40" s="37" t="s">
        <v>69</v>
      </c>
      <c r="E40" s="5">
        <f>IFERROR(
ROUND(
IF($A$2="COSTO",
   B40
   *(1+IFERROR(VLOOKUP($D$2,COLORES[],2,FALSE),0))
   *(1+VLOOKUP($C$2,LISTAS[],6,FALSE)),
   B40
   *(1+IFERROR(VLOOKUP($D$2,COLORES[],2,FALSE),0))
   *(1+VLOOKUP($C$2,LISTAS[],6,FALSE))
   *(1+_xlfn.XLOOKUP($C$2,LISTAS[Lista],LISTAS[Mosq]))
),0),0)</f>
        <v>91761</v>
      </c>
    </row>
    <row r="41" spans="1:5">
      <c r="A41" s="37" t="s">
        <v>70</v>
      </c>
      <c r="B41" s="5">
        <v>49130</v>
      </c>
      <c r="D41" s="37" t="s">
        <v>70</v>
      </c>
      <c r="E41" s="5">
        <f>IFERROR(
ROUND(
IF($A$2="COSTO",
   B41
   *(1+IFERROR(VLOOKUP($D$2,COLORES[],2,FALSE),0))
   *(1+VLOOKUP($C$2,LISTAS[],6,FALSE)),
   B41
   *(1+IFERROR(VLOOKUP($D$2,COLORES[],2,FALSE),0))
   *(1+VLOOKUP($C$2,LISTAS[],6,FALSE))
   *(1+_xlfn.XLOOKUP($C$2,LISTAS[Lista],LISTAS[Mosq]))
),0),0)</f>
        <v>97631</v>
      </c>
    </row>
    <row r="42" spans="1:5">
      <c r="A42" s="37" t="s">
        <v>71</v>
      </c>
      <c r="B42" s="5">
        <v>32982</v>
      </c>
      <c r="D42" s="37" t="s">
        <v>71</v>
      </c>
      <c r="E42" s="5">
        <f>IFERROR(
ROUND(
IF($A$2="COSTO",
   B42
   *(1+IFERROR(VLOOKUP($D$2,COLORES[],2,FALSE),0))
   *(1+VLOOKUP($C$2,LISTAS[],6,FALSE)),
   B42
   *(1+IFERROR(VLOOKUP($D$2,COLORES[],2,FALSE),0))
   *(1+VLOOKUP($C$2,LISTAS[],6,FALSE))
   *(1+_xlfn.XLOOKUP($C$2,LISTAS[Lista],LISTAS[Mosq]))
),0),0)</f>
        <v>65542</v>
      </c>
    </row>
    <row r="43" spans="1:5">
      <c r="A43" s="37" t="s">
        <v>72</v>
      </c>
      <c r="B43" s="5">
        <v>37565</v>
      </c>
      <c r="D43" s="37" t="s">
        <v>72</v>
      </c>
      <c r="E43" s="5">
        <f>IFERROR(
ROUND(
IF($A$2="COSTO",
   B43
   *(1+IFERROR(VLOOKUP($D$2,COLORES[],2,FALSE),0))
   *(1+VLOOKUP($C$2,LISTAS[],6,FALSE)),
   B43
   *(1+IFERROR(VLOOKUP($D$2,COLORES[],2,FALSE),0))
   *(1+VLOOKUP($C$2,LISTAS[],6,FALSE))
   *(1+_xlfn.XLOOKUP($C$2,LISTAS[Lista],LISTAS[Mosq]))
),0),0)</f>
        <v>74649</v>
      </c>
    </row>
    <row r="44" spans="1:5">
      <c r="A44" s="37" t="s">
        <v>73</v>
      </c>
      <c r="B44" s="5">
        <v>42148</v>
      </c>
      <c r="D44" s="37" t="s">
        <v>73</v>
      </c>
      <c r="E44" s="5">
        <f>IFERROR(
ROUND(
IF($A$2="COSTO",
   B44
   *(1+IFERROR(VLOOKUP($D$2,COLORES[],2,FALSE),0))
   *(1+VLOOKUP($C$2,LISTAS[],6,FALSE)),
   B44
   *(1+IFERROR(VLOOKUP($D$2,COLORES[],2,FALSE),0))
   *(1+VLOOKUP($C$2,LISTAS[],6,FALSE))
   *(1+_xlfn.XLOOKUP($C$2,LISTAS[Lista],LISTAS[Mosq]))
),0),0)</f>
        <v>83757</v>
      </c>
    </row>
    <row r="45" spans="1:5">
      <c r="A45" s="37" t="s">
        <v>74</v>
      </c>
      <c r="B45" s="5">
        <v>45203</v>
      </c>
      <c r="D45" s="37" t="s">
        <v>74</v>
      </c>
      <c r="E45" s="5">
        <f>IFERROR(
ROUND(
IF($A$2="COSTO",
   B45
   *(1+IFERROR(VLOOKUP($D$2,COLORES[],2,FALSE),0))
   *(1+VLOOKUP($C$2,LISTAS[],6,FALSE)),
   B45
   *(1+IFERROR(VLOOKUP($D$2,COLORES[],2,FALSE),0))
   *(1+VLOOKUP($C$2,LISTAS[],6,FALSE))
   *(1+_xlfn.XLOOKUP($C$2,LISTAS[Lista],LISTAS[Mosq]))
),0),0)</f>
        <v>89827</v>
      </c>
    </row>
    <row r="46" spans="1:5">
      <c r="A46" s="37" t="s">
        <v>75</v>
      </c>
      <c r="B46" s="5">
        <v>48257</v>
      </c>
      <c r="D46" s="37" t="s">
        <v>75</v>
      </c>
      <c r="E46" s="5">
        <f>IFERROR(
ROUND(
IF($A$2="COSTO",
   B46
   *(1+IFERROR(VLOOKUP($D$2,COLORES[],2,FALSE),0))
   *(1+VLOOKUP($C$2,LISTAS[],6,FALSE)),
   B46
   *(1+IFERROR(VLOOKUP($D$2,COLORES[],2,FALSE),0))
   *(1+VLOOKUP($C$2,LISTAS[],6,FALSE))
   *(1+_xlfn.XLOOKUP($C$2,LISTAS[Lista],LISTAS[Mosq]))
),0),0)</f>
        <v>95896</v>
      </c>
    </row>
    <row r="47" spans="1:5">
      <c r="A47" s="37" t="s">
        <v>76</v>
      </c>
      <c r="B47" s="5">
        <v>51313</v>
      </c>
      <c r="D47" s="37" t="s">
        <v>76</v>
      </c>
      <c r="E47" s="5">
        <f>IFERROR(
ROUND(
IF($A$2="COSTO",
   B47
   *(1+IFERROR(VLOOKUP($D$2,COLORES[],2,FALSE),0))
   *(1+VLOOKUP($C$2,LISTAS[],6,FALSE)),
   B47
   *(1+IFERROR(VLOOKUP($D$2,COLORES[],2,FALSE),0))
   *(1+VLOOKUP($C$2,LISTAS[],6,FALSE))
   *(1+_xlfn.XLOOKUP($C$2,LISTAS[Lista],LISTAS[Mosq]))
),0),0)</f>
        <v>101969</v>
      </c>
    </row>
    <row r="48" spans="1:5">
      <c r="A48" s="37" t="s">
        <v>77</v>
      </c>
      <c r="B48" s="5">
        <v>38292</v>
      </c>
      <c r="D48" s="37" t="s">
        <v>77</v>
      </c>
      <c r="E48" s="5">
        <f>IFERROR(
ROUND(
IF($A$2="COSTO",
   B48
   *(1+IFERROR(VLOOKUP($D$2,COLORES[],2,FALSE),0))
   *(1+VLOOKUP($C$2,LISTAS[],6,FALSE)),
   B48
   *(1+IFERROR(VLOOKUP($D$2,COLORES[],2,FALSE),0))
   *(1+VLOOKUP($C$2,LISTAS[],6,FALSE))
   *(1+_xlfn.XLOOKUP($C$2,LISTAS[Lista],LISTAS[Mosq]))
),0),0)</f>
        <v>76094</v>
      </c>
    </row>
    <row r="49" spans="1:5">
      <c r="A49" s="37" t="s">
        <v>78</v>
      </c>
      <c r="B49" s="5">
        <v>43518</v>
      </c>
      <c r="D49" s="37" t="s">
        <v>78</v>
      </c>
      <c r="E49" s="5">
        <f>IFERROR(
ROUND(
IF($A$2="COSTO",
   B49
   *(1+IFERROR(VLOOKUP($D$2,COLORES[],2,FALSE),0))
   *(1+VLOOKUP($C$2,LISTAS[],6,FALSE)),
   B49
   *(1+IFERROR(VLOOKUP($D$2,COLORES[],2,FALSE),0))
   *(1+VLOOKUP($C$2,LISTAS[],6,FALSE))
   *(1+_xlfn.XLOOKUP($C$2,LISTAS[Lista],LISTAS[Mosq]))
),0),0)</f>
        <v>86479</v>
      </c>
    </row>
    <row r="50" spans="1:5">
      <c r="A50" s="37" t="s">
        <v>79</v>
      </c>
      <c r="B50" s="5">
        <v>48743</v>
      </c>
      <c r="D50" s="37" t="s">
        <v>79</v>
      </c>
      <c r="E50" s="5">
        <f>IFERROR(
ROUND(
IF($A$2="COSTO",
   B50
   *(1+IFERROR(VLOOKUP($D$2,COLORES[],2,FALSE),0))
   *(1+VLOOKUP($C$2,LISTAS[],6,FALSE)),
   B50
   *(1+IFERROR(VLOOKUP($D$2,COLORES[],2,FALSE),0))
   *(1+VLOOKUP($C$2,LISTAS[],6,FALSE))
   *(1+_xlfn.XLOOKUP($C$2,LISTAS[Lista],LISTAS[Mosq]))
),0),0)</f>
        <v>96862</v>
      </c>
    </row>
    <row r="51" spans="1:5">
      <c r="A51" s="37" t="s">
        <v>80</v>
      </c>
      <c r="B51" s="5">
        <v>52226</v>
      </c>
      <c r="D51" s="37" t="s">
        <v>80</v>
      </c>
      <c r="E51" s="5">
        <f>IFERROR(
ROUND(
IF($A$2="COSTO",
   B51
   *(1+IFERROR(VLOOKUP($D$2,COLORES[],2,FALSE),0))
   *(1+VLOOKUP($C$2,LISTAS[],6,FALSE)),
   B51
   *(1+IFERROR(VLOOKUP($D$2,COLORES[],2,FALSE),0))
   *(1+VLOOKUP($C$2,LISTAS[],6,FALSE))
   *(1+_xlfn.XLOOKUP($C$2,LISTAS[Lista],LISTAS[Mosq]))
),0),0)</f>
        <v>103784</v>
      </c>
    </row>
    <row r="52" spans="1:5">
      <c r="A52" s="37" t="s">
        <v>81</v>
      </c>
      <c r="B52" s="5">
        <v>55709</v>
      </c>
      <c r="D52" s="37" t="s">
        <v>81</v>
      </c>
      <c r="E52" s="5">
        <f>IFERROR(
ROUND(
IF($A$2="COSTO",
   B52
   *(1+IFERROR(VLOOKUP($D$2,COLORES[],2,FALSE),0))
   *(1+VLOOKUP($C$2,LISTAS[],6,FALSE)),
   B52
   *(1+IFERROR(VLOOKUP($D$2,COLORES[],2,FALSE),0))
   *(1+VLOOKUP($C$2,LISTAS[],6,FALSE))
   *(1+_xlfn.XLOOKUP($C$2,LISTAS[Lista],LISTAS[Mosq]))
),0),0)</f>
        <v>110705</v>
      </c>
    </row>
    <row r="53" spans="1:5">
      <c r="A53" s="37" t="s">
        <v>82</v>
      </c>
      <c r="B53" s="5">
        <v>59193</v>
      </c>
      <c r="D53" s="37" t="s">
        <v>82</v>
      </c>
      <c r="E53" s="5">
        <f>IFERROR(
ROUND(
IF($A$2="COSTO",
   B53
   *(1+IFERROR(VLOOKUP($D$2,COLORES[],2,FALSE),0))
   *(1+VLOOKUP($C$2,LISTAS[],6,FALSE)),
   B53
   *(1+IFERROR(VLOOKUP($D$2,COLORES[],2,FALSE),0))
   *(1+VLOOKUP($C$2,LISTAS[],6,FALSE))
   *(1+_xlfn.XLOOKUP($C$2,LISTAS[Lista],LISTAS[Mosq]))
),0),0)</f>
        <v>117628</v>
      </c>
    </row>
    <row r="54" spans="1:5">
      <c r="A54" s="37" t="s">
        <v>83</v>
      </c>
      <c r="B54" s="5">
        <v>41832</v>
      </c>
      <c r="D54" s="37" t="s">
        <v>83</v>
      </c>
      <c r="E54" s="5">
        <f>IFERROR(
ROUND(
IF($A$2="COSTO",
   B54
   *(1+IFERROR(VLOOKUP($D$2,COLORES[],2,FALSE),0))
   *(1+VLOOKUP($C$2,LISTAS[],6,FALSE)),
   B54
   *(1+IFERROR(VLOOKUP($D$2,COLORES[],2,FALSE),0))
   *(1+VLOOKUP($C$2,LISTAS[],6,FALSE))
   *(1+_xlfn.XLOOKUP($C$2,LISTAS[Lista],LISTAS[Mosq]))
),0),0)</f>
        <v>83129</v>
      </c>
    </row>
    <row r="55" spans="1:5">
      <c r="A55" s="37" t="s">
        <v>84</v>
      </c>
      <c r="B55" s="5">
        <v>47486</v>
      </c>
      <c r="D55" s="37" t="s">
        <v>84</v>
      </c>
      <c r="E55" s="5">
        <f>IFERROR(
ROUND(
IF($A$2="COSTO",
   B55
   *(1+IFERROR(VLOOKUP($D$2,COLORES[],2,FALSE),0))
   *(1+VLOOKUP($C$2,LISTAS[],6,FALSE)),
   B55
   *(1+IFERROR(VLOOKUP($D$2,COLORES[],2,FALSE),0))
   *(1+VLOOKUP($C$2,LISTAS[],6,FALSE))
   *(1+_xlfn.XLOOKUP($C$2,LISTAS[Lista],LISTAS[Mosq]))
),0),0)</f>
        <v>94364</v>
      </c>
    </row>
    <row r="56" spans="1:5">
      <c r="A56" s="37" t="s">
        <v>85</v>
      </c>
      <c r="B56" s="5">
        <v>53139</v>
      </c>
      <c r="D56" s="37" t="s">
        <v>85</v>
      </c>
      <c r="E56" s="5">
        <f>IFERROR(
ROUND(
IF($A$2="COSTO",
   B56
   *(1+IFERROR(VLOOKUP($D$2,COLORES[],2,FALSE),0))
   *(1+VLOOKUP($C$2,LISTAS[],6,FALSE)),
   B56
   *(1+IFERROR(VLOOKUP($D$2,COLORES[],2,FALSE),0))
   *(1+VLOOKUP($C$2,LISTAS[],6,FALSE))
   *(1+_xlfn.XLOOKUP($C$2,LISTAS[Lista],LISTAS[Mosq]))
),0),0)</f>
        <v>105598</v>
      </c>
    </row>
    <row r="57" spans="1:5">
      <c r="A57" s="37" t="s">
        <v>86</v>
      </c>
      <c r="B57" s="5">
        <v>56908</v>
      </c>
      <c r="D57" s="37" t="s">
        <v>86</v>
      </c>
      <c r="E57" s="5">
        <f>IFERROR(
ROUND(
IF($A$2="COSTO",
   B57
   *(1+IFERROR(VLOOKUP($D$2,COLORES[],2,FALSE),0))
   *(1+VLOOKUP($C$2,LISTAS[],6,FALSE)),
   B57
   *(1+IFERROR(VLOOKUP($D$2,COLORES[],2,FALSE),0))
   *(1+VLOOKUP($C$2,LISTAS[],6,FALSE))
   *(1+_xlfn.XLOOKUP($C$2,LISTAS[Lista],LISTAS[Mosq]))
),0),0)</f>
        <v>113088</v>
      </c>
    </row>
    <row r="58" spans="1:5">
      <c r="A58" s="37" t="s">
        <v>87</v>
      </c>
      <c r="B58" s="5">
        <v>60677</v>
      </c>
      <c r="D58" s="37" t="s">
        <v>87</v>
      </c>
      <c r="E58" s="5">
        <f>IFERROR(
ROUND(
IF($A$2="COSTO",
   B58
   *(1+IFERROR(VLOOKUP($D$2,COLORES[],2,FALSE),0))
   *(1+VLOOKUP($C$2,LISTAS[],6,FALSE)),
   B58
   *(1+IFERROR(VLOOKUP($D$2,COLORES[],2,FALSE),0))
   *(1+VLOOKUP($C$2,LISTAS[],6,FALSE))
   *(1+_xlfn.XLOOKUP($C$2,LISTAS[Lista],LISTAS[Mosq]))
),0),0)</f>
        <v>120577</v>
      </c>
    </row>
    <row r="59" spans="1:5">
      <c r="A59" s="37" t="s">
        <v>88</v>
      </c>
      <c r="B59" s="5">
        <v>64446</v>
      </c>
      <c r="D59" s="37" t="s">
        <v>88</v>
      </c>
      <c r="E59" s="5">
        <f>IFERROR(
ROUND(
IF($A$2="COSTO",
   B59
   *(1+IFERROR(VLOOKUP($D$2,COLORES[],2,FALSE),0))
   *(1+VLOOKUP($C$2,LISTAS[],6,FALSE)),
   B59
   *(1+IFERROR(VLOOKUP($D$2,COLORES[],2,FALSE),0))
   *(1+VLOOKUP($C$2,LISTAS[],6,FALSE))
   *(1+_xlfn.XLOOKUP($C$2,LISTAS[Lista],LISTAS[Mosq]))
),0),0)</f>
        <v>128067</v>
      </c>
    </row>
    <row r="60" spans="1:5" ht="14.65" thickBot="1">
      <c r="A60" s="38" t="s">
        <v>115</v>
      </c>
      <c r="B60" s="10">
        <v>74000</v>
      </c>
      <c r="D60" s="38" t="s">
        <v>115</v>
      </c>
      <c r="E60" s="5">
        <f>IFERROR(
ROUND(
IF($A$2="COSTO",
   B60
   *(1+IFERROR(VLOOKUP($D$2,COLORES[],2,FALSE),0))
   *(1+VLOOKUP($C$2,LISTAS[],6,FALSE)),
   B60
   *(1+IFERROR(VLOOKUP($D$2,COLORES[],2,FALSE),0))
   *(1+VLOOKUP($C$2,LISTAS[],6,FALSE))
   *(1+_xlfn.XLOOKUP($C$2,LISTAS[Lista],LISTAS[Mosq]))
),0),0)</f>
        <v>147053</v>
      </c>
    </row>
  </sheetData>
  <mergeCells count="1">
    <mergeCell ref="A5:B5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285C-105B-43E9-A056-85D3C7AD1A93}">
  <sheetPr codeName="Hoja5">
    <tabColor rgb="FFFF0000"/>
  </sheetPr>
  <dimension ref="A1:Q75"/>
  <sheetViews>
    <sheetView topLeftCell="A49" zoomScale="55" zoomScaleNormal="55" workbookViewId="0">
      <selection sqref="A1:D2"/>
    </sheetView>
  </sheetViews>
  <sheetFormatPr baseColWidth="10" defaultRowHeight="14.25"/>
  <cols>
    <col min="1" max="1" width="10.3984375" customWidth="1"/>
    <col min="2" max="2" width="10.86328125" customWidth="1"/>
    <col min="3" max="3" width="11" customWidth="1"/>
    <col min="4" max="4" width="10.3984375" customWidth="1"/>
    <col min="5" max="5" width="11" customWidth="1"/>
    <col min="6" max="6" width="10.53125" customWidth="1"/>
    <col min="7" max="7" width="9.86328125" customWidth="1"/>
    <col min="8" max="8" width="11.1328125" customWidth="1"/>
    <col min="9" max="9" width="10.9296875" customWidth="1"/>
    <col min="10" max="10" width="8.73046875"/>
    <col min="11" max="11" width="10.3984375" customWidth="1"/>
  </cols>
  <sheetData>
    <row r="1" spans="1:17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7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17" ht="14.65" thickBot="1"/>
    <row r="5" spans="1:17" ht="14.65" thickBot="1">
      <c r="A5" s="281" t="s">
        <v>403</v>
      </c>
      <c r="B5" s="282"/>
      <c r="C5" s="282"/>
      <c r="D5" s="282"/>
      <c r="E5" s="282"/>
      <c r="F5" s="282"/>
      <c r="G5" s="282"/>
      <c r="H5" s="283"/>
      <c r="K5" s="281" t="s">
        <v>403</v>
      </c>
      <c r="L5" s="282"/>
      <c r="M5" s="282"/>
      <c r="N5" s="282"/>
      <c r="O5" s="282"/>
      <c r="P5" s="282"/>
      <c r="Q5" s="283"/>
    </row>
    <row r="6" spans="1:17">
      <c r="A6" s="44" t="s">
        <v>24</v>
      </c>
      <c r="B6" s="45" t="s">
        <v>5</v>
      </c>
      <c r="C6" s="45" t="s">
        <v>122</v>
      </c>
      <c r="D6" s="45" t="s">
        <v>123</v>
      </c>
      <c r="E6" s="45" t="s">
        <v>124</v>
      </c>
      <c r="F6" s="45" t="s">
        <v>125</v>
      </c>
      <c r="G6" s="45" t="s">
        <v>126</v>
      </c>
      <c r="H6" s="46" t="s">
        <v>127</v>
      </c>
      <c r="I6" s="2"/>
      <c r="J6" s="2"/>
      <c r="K6" s="44" t="s">
        <v>24</v>
      </c>
      <c r="L6" s="45" t="s">
        <v>122</v>
      </c>
      <c r="M6" s="45" t="s">
        <v>123</v>
      </c>
      <c r="N6" s="45" t="s">
        <v>124</v>
      </c>
      <c r="O6" s="45" t="s">
        <v>125</v>
      </c>
      <c r="P6" s="45" t="s">
        <v>126</v>
      </c>
      <c r="Q6" s="46" t="s">
        <v>127</v>
      </c>
    </row>
    <row r="7" spans="1:17">
      <c r="A7" s="47" t="s">
        <v>128</v>
      </c>
      <c r="B7" s="42">
        <v>30411</v>
      </c>
      <c r="C7" s="42">
        <v>2308</v>
      </c>
      <c r="D7" s="42">
        <v>2796</v>
      </c>
      <c r="E7" s="42">
        <v>3683</v>
      </c>
      <c r="F7" s="42">
        <v>7973</v>
      </c>
      <c r="G7" s="42">
        <v>3077</v>
      </c>
      <c r="H7" s="42">
        <v>11924</v>
      </c>
      <c r="I7" s="2"/>
      <c r="J7" s="2"/>
      <c r="K7" s="47" t="s">
        <v>128</v>
      </c>
      <c r="L7" s="42" cm="1">
        <f t="array" ref="L7">IFERROR(
ROUND(
IF($A$2="COSTO",
   ((B7*(1+IFERROR(VLOOKUP($D$2,COLORES[],2,FALSE),0)))+C7)
   *(1-_xlfn.XLOOKUP(1,(DESC_PROV[LINEA]=$B$2)*(DESC_PROV[LISTA]=$C$2),DESC_PROV[DESCUENTO])),
   ((B7*(1+IFERROR(VLOOKUP($D$2,COLORES[],2,FALSE),0)))+C7)
   *(1-_xlfn.XLOOKUP(1,(DESC_PROV[LINEA]=$B$2)*(DESC_PROV[LISTA]=$C$2),DESC_PROV[DESCUENTO]))
   *(1+VLOOKUP($C$2,LISTAS[],2,FALSE))
   *(1+VLOOKUP($C$2,LISTAS[],3,FALSE))
)
/5,0)*5,0)</f>
        <v>40580</v>
      </c>
      <c r="M7" s="42" cm="1">
        <f t="array" ref="M7">IFERROR(
ROUND(
IF($A$2="COSTO",
   ((B7*(1+IFERROR(VLOOKUP($D$2,COLORES[],2,FALSE),0)))+D7)
   *(1-_xlfn.XLOOKUP(1,(DESC_PROV[LINEA]=$B$2)*(DESC_PROV[LISTA]=$C$2),DESC_PROV[DESCUENTO])),
   ((B7*(1+IFERROR(VLOOKUP($D$2,COLORES[],2,FALSE),0)))+D7)
   *(1-_xlfn.XLOOKUP(1,(DESC_PROV[LINEA]=$B$2)*(DESC_PROV[LISTA]=$C$2),DESC_PROV[DESCUENTO]))
   *(1+VLOOKUP($C$2,LISTAS[],2,FALSE))
   *(1+VLOOKUP($C$2,LISTAS[],3,FALSE))
)
/5,0)*5,0)</f>
        <v>41185</v>
      </c>
      <c r="N7" s="42" cm="1">
        <f t="array" ref="N7">IFERROR(
ROUND(
IF($A$2="COSTO",
   ((B7*(1+IFERROR(VLOOKUP($D$2,COLORES[],2,FALSE),0)))+E7)
   *(1-_xlfn.XLOOKUP(1,(DESC_PROV[LINEA]=$B$2)*(DESC_PROV[LISTA]=$C$2),DESC_PROV[DESCUENTO])),
   ((B7*(1+IFERROR(VLOOKUP($D$2,COLORES[],2,FALSE),0)))+E7)
   *(1-_xlfn.XLOOKUP(1,(DESC_PROV[LINEA]=$B$2)*(DESC_PROV[LISTA]=$C$2),DESC_PROV[DESCUENTO]))
   *(1+VLOOKUP($C$2,LISTAS[],2,FALSE))
   *(1+VLOOKUP($C$2,LISTAS[],3,FALSE))
)
/5,0)*5,0)</f>
        <v>42285</v>
      </c>
      <c r="O7" s="42" cm="1">
        <f t="array" ref="O7">IFERROR(
ROUND(
IF($A$2="COSTO",
   ((B7*(1+IFERROR(VLOOKUP($D$2,COLORES[],2,FALSE),0)))+F7)
   *(1-_xlfn.XLOOKUP(1,(DESC_PROV[LINEA]=$B$2)*(DESC_PROV[LISTA]=$C$2),DESC_PROV[DESCUENTO])),
   ((B7*(1+IFERROR(VLOOKUP($D$2,COLORES[],2,FALSE),0)))+F7)
   *(1-_xlfn.XLOOKUP(1,(DESC_PROV[LINEA]=$B$2)*(DESC_PROV[LISTA]=$C$2),DESC_PROV[DESCUENTO]))
   *(1+VLOOKUP($C$2,LISTAS[],2,FALSE))
   *(1+VLOOKUP($C$2,LISTAS[],3,FALSE))
)
/5,0)*5,0)</f>
        <v>47605</v>
      </c>
      <c r="P7" s="42" cm="1">
        <f t="array" ref="P7">IFERROR(
ROUND(
IF($A$2="COSTO",
   ((B7*(1+IFERROR(VLOOKUP($D$2,COLORES[],2,FALSE),0)))+G7)
   *(1-_xlfn.XLOOKUP(1,(DESC_PROV[LINEA]=$B$2)*(DESC_PROV[LISTA]=$C$2),DESC_PROV[DESCUENTO])),
   ((B7*(1+IFERROR(VLOOKUP($D$2,COLORES[],2,FALSE),0)))+G7)
   *(1-_xlfn.XLOOKUP(1,(DESC_PROV[LINEA]=$B$2)*(DESC_PROV[LISTA]=$C$2),DESC_PROV[DESCUENTO]))
   *(1+VLOOKUP($C$2,LISTAS[],2,FALSE))
   *(1+VLOOKUP($C$2,LISTAS[],3,FALSE))
)
/5,0)*5,0)</f>
        <v>41530</v>
      </c>
      <c r="Q7" s="43" cm="1">
        <f t="array" ref="Q7">IFERROR(
ROUND(
IF($A$2="COSTO",
   ((B7*(1+IFERROR(VLOOKUP($D$2,COLORES[],2,FALSE),0)))+H7)
   *(1-_xlfn.XLOOKUP(1,(DESC_PROV[LINEA]=$B$2)*(DESC_PROV[LISTA]=$C$2),DESC_PROV[DESCUENTO])),
   ((B7*(1+IFERROR(VLOOKUP($D$2,COLORES[],2,FALSE),0)))+H7)
   *(1-_xlfn.XLOOKUP(1,(DESC_PROV[LINEA]=$B$2)*(DESC_PROV[LISTA]=$C$2),DESC_PROV[DESCUENTO]))
   *(1+VLOOKUP($C$2,LISTAS[],2,FALSE))
   *(1+VLOOKUP($C$2,LISTAS[],3,FALSE))
)
/5,0)*5,0)</f>
        <v>52505</v>
      </c>
    </row>
    <row r="8" spans="1:17">
      <c r="A8" s="47" t="s">
        <v>129</v>
      </c>
      <c r="B8" s="42">
        <v>32505</v>
      </c>
      <c r="C8" s="42">
        <v>3077</v>
      </c>
      <c r="D8" s="42">
        <v>3729</v>
      </c>
      <c r="E8" s="42">
        <v>4914</v>
      </c>
      <c r="F8" s="42">
        <v>10634</v>
      </c>
      <c r="G8" s="42">
        <v>4109</v>
      </c>
      <c r="H8" s="42">
        <v>15910</v>
      </c>
      <c r="I8" s="2"/>
      <c r="J8" s="2"/>
      <c r="K8" s="47" t="s">
        <v>129</v>
      </c>
      <c r="L8" s="42" cm="1">
        <f t="array" ref="L8">IFERROR(
ROUND(
IF($A$2="COSTO",
   ((B8*(1+IFERROR(VLOOKUP($D$2,COLORES[],2,FALSE),0)))+C8)
   *(1-_xlfn.XLOOKUP(1,(DESC_PROV[LINEA]=$B$2)*(DESC_PROV[LISTA]=$C$2),DESC_PROV[DESCUENTO])),
   ((B8*(1+IFERROR(VLOOKUP($D$2,COLORES[],2,FALSE),0)))+C8)
   *(1-_xlfn.XLOOKUP(1,(DESC_PROV[LINEA]=$B$2)*(DESC_PROV[LISTA]=$C$2),DESC_PROV[DESCUENTO]))
   *(1+VLOOKUP($C$2,LISTAS[],2,FALSE))
   *(1+VLOOKUP($C$2,LISTAS[],3,FALSE))
)
/5,0)*5,0)</f>
        <v>44130</v>
      </c>
      <c r="M8" s="42" cm="1">
        <f t="array" ref="M8">IFERROR(
ROUND(
IF($A$2="COSTO",
   ((B8*(1+IFERROR(VLOOKUP($D$2,COLORES[],2,FALSE),0)))+D8)
   *(1-_xlfn.XLOOKUP(1,(DESC_PROV[LINEA]=$B$2)*(DESC_PROV[LISTA]=$C$2),DESC_PROV[DESCUENTO])),
   ((B8*(1+IFERROR(VLOOKUP($D$2,COLORES[],2,FALSE),0)))+D8)
   *(1-_xlfn.XLOOKUP(1,(DESC_PROV[LINEA]=$B$2)*(DESC_PROV[LISTA]=$C$2),DESC_PROV[DESCUENTO]))
   *(1+VLOOKUP($C$2,LISTAS[],2,FALSE))
   *(1+VLOOKUP($C$2,LISTAS[],3,FALSE))
)
/5,0)*5,0)</f>
        <v>44935</v>
      </c>
      <c r="N8" s="42" cm="1">
        <f t="array" ref="N8">IFERROR(
ROUND(
IF($A$2="COSTO",
   ((B8*(1+IFERROR(VLOOKUP($D$2,COLORES[],2,FALSE),0)))+E8)
   *(1-_xlfn.XLOOKUP(1,(DESC_PROV[LINEA]=$B$2)*(DESC_PROV[LISTA]=$C$2),DESC_PROV[DESCUENTO])),
   ((B8*(1+IFERROR(VLOOKUP($D$2,COLORES[],2,FALSE),0)))+E8)
   *(1-_xlfn.XLOOKUP(1,(DESC_PROV[LINEA]=$B$2)*(DESC_PROV[LISTA]=$C$2),DESC_PROV[DESCUENTO]))
   *(1+VLOOKUP($C$2,LISTAS[],2,FALSE))
   *(1+VLOOKUP($C$2,LISTAS[],3,FALSE))
)
/5,0)*5,0)</f>
        <v>46405</v>
      </c>
      <c r="O8" s="42" cm="1">
        <f t="array" ref="O8">IFERROR(
ROUND(
IF($A$2="COSTO",
   ((B8*(1+IFERROR(VLOOKUP($D$2,COLORES[],2,FALSE),0)))+F8)
   *(1-_xlfn.XLOOKUP(1,(DESC_PROV[LINEA]=$B$2)*(DESC_PROV[LISTA]=$C$2),DESC_PROV[DESCUENTO])),
   ((B8*(1+IFERROR(VLOOKUP($D$2,COLORES[],2,FALSE),0)))+F8)
   *(1-_xlfn.XLOOKUP(1,(DESC_PROV[LINEA]=$B$2)*(DESC_PROV[LISTA]=$C$2),DESC_PROV[DESCUENTO]))
   *(1+VLOOKUP($C$2,LISTAS[],2,FALSE))
   *(1+VLOOKUP($C$2,LISTAS[],3,FALSE))
)
/5,0)*5,0)</f>
        <v>53500</v>
      </c>
      <c r="P8" s="42" cm="1">
        <f t="array" ref="P8">IFERROR(
ROUND(
IF($A$2="COSTO",
   ((B8*(1+IFERROR(VLOOKUP($D$2,COLORES[],2,FALSE),0)))+G8)
   *(1-_xlfn.XLOOKUP(1,(DESC_PROV[LINEA]=$B$2)*(DESC_PROV[LISTA]=$C$2),DESC_PROV[DESCUENTO])),
   ((B8*(1+IFERROR(VLOOKUP($D$2,COLORES[],2,FALSE),0)))+G8)
   *(1-_xlfn.XLOOKUP(1,(DESC_PROV[LINEA]=$B$2)*(DESC_PROV[LISTA]=$C$2),DESC_PROV[DESCUENTO]))
   *(1+VLOOKUP($C$2,LISTAS[],2,FALSE))
   *(1+VLOOKUP($C$2,LISTAS[],3,FALSE))
)
/5,0)*5,0)</f>
        <v>45410</v>
      </c>
      <c r="Q8" s="43" cm="1">
        <f t="array" ref="Q8">IFERROR(
ROUND(
IF($A$2="COSTO",
   ((B8*(1+IFERROR(VLOOKUP($D$2,COLORES[],2,FALSE),0)))+H8)
   *(1-_xlfn.XLOOKUP(1,(DESC_PROV[LINEA]=$B$2)*(DESC_PROV[LISTA]=$C$2),DESC_PROV[DESCUENTO])),
   ((B8*(1+IFERROR(VLOOKUP($D$2,COLORES[],2,FALSE),0)))+H8)
   *(1-_xlfn.XLOOKUP(1,(DESC_PROV[LINEA]=$B$2)*(DESC_PROV[LISTA]=$C$2),DESC_PROV[DESCUENTO]))
   *(1+VLOOKUP($C$2,LISTAS[],2,FALSE))
   *(1+VLOOKUP($C$2,LISTAS[],3,FALSE))
)
/5,0)*5,0)</f>
        <v>60045</v>
      </c>
    </row>
    <row r="9" spans="1:17">
      <c r="A9" s="47" t="s">
        <v>130</v>
      </c>
      <c r="B9" s="42">
        <v>34605</v>
      </c>
      <c r="C9" s="42">
        <v>3846</v>
      </c>
      <c r="D9" s="42">
        <v>4661</v>
      </c>
      <c r="E9" s="42">
        <v>6145</v>
      </c>
      <c r="F9" s="42">
        <v>13294</v>
      </c>
      <c r="G9" s="42">
        <v>5140</v>
      </c>
      <c r="H9" s="42">
        <v>19896</v>
      </c>
      <c r="I9" s="2"/>
      <c r="J9" s="2"/>
      <c r="K9" s="47" t="s">
        <v>130</v>
      </c>
      <c r="L9" s="42" cm="1">
        <f t="array" ref="L9">IFERROR(
ROUND(
IF($A$2="COSTO",
   ((B9*(1+IFERROR(VLOOKUP($D$2,COLORES[],2,FALSE),0)))+C9)
   *(1-_xlfn.XLOOKUP(1,(DESC_PROV[LINEA]=$B$2)*(DESC_PROV[LISTA]=$C$2),DESC_PROV[DESCUENTO])),
   ((B9*(1+IFERROR(VLOOKUP($D$2,COLORES[],2,FALSE),0)))+C9)
   *(1-_xlfn.XLOOKUP(1,(DESC_PROV[LINEA]=$B$2)*(DESC_PROV[LISTA]=$C$2),DESC_PROV[DESCUENTO]))
   *(1+VLOOKUP($C$2,LISTAS[],2,FALSE))
   *(1+VLOOKUP($C$2,LISTAS[],3,FALSE))
)
/5,0)*5,0)</f>
        <v>47685</v>
      </c>
      <c r="M9" s="42" cm="1">
        <f t="array" ref="M9">IFERROR(
ROUND(
IF($A$2="COSTO",
   ((B9*(1+IFERROR(VLOOKUP($D$2,COLORES[],2,FALSE),0)))+D9)
   *(1-_xlfn.XLOOKUP(1,(DESC_PROV[LINEA]=$B$2)*(DESC_PROV[LISTA]=$C$2),DESC_PROV[DESCUENTO])),
   ((B9*(1+IFERROR(VLOOKUP($D$2,COLORES[],2,FALSE),0)))+D9)
   *(1-_xlfn.XLOOKUP(1,(DESC_PROV[LINEA]=$B$2)*(DESC_PROV[LISTA]=$C$2),DESC_PROV[DESCUENTO]))
   *(1+VLOOKUP($C$2,LISTAS[],2,FALSE))
   *(1+VLOOKUP($C$2,LISTAS[],3,FALSE))
)
/5,0)*5,0)</f>
        <v>48700</v>
      </c>
      <c r="N9" s="42" cm="1">
        <f t="array" ref="N9">IFERROR(
ROUND(
IF($A$2="COSTO",
   ((B9*(1+IFERROR(VLOOKUP($D$2,COLORES[],2,FALSE),0)))+E9)
   *(1-_xlfn.XLOOKUP(1,(DESC_PROV[LINEA]=$B$2)*(DESC_PROV[LISTA]=$C$2),DESC_PROV[DESCUENTO])),
   ((B9*(1+IFERROR(VLOOKUP($D$2,COLORES[],2,FALSE),0)))+E9)
   *(1-_xlfn.XLOOKUP(1,(DESC_PROV[LINEA]=$B$2)*(DESC_PROV[LISTA]=$C$2),DESC_PROV[DESCUENTO]))
   *(1+VLOOKUP($C$2,LISTAS[],2,FALSE))
   *(1+VLOOKUP($C$2,LISTAS[],3,FALSE))
)
/5,0)*5,0)</f>
        <v>50540</v>
      </c>
      <c r="O9" s="42" cm="1">
        <f t="array" ref="O9">IFERROR(
ROUND(
IF($A$2="COSTO",
   ((B9*(1+IFERROR(VLOOKUP($D$2,COLORES[],2,FALSE),0)))+F9)
   *(1-_xlfn.XLOOKUP(1,(DESC_PROV[LINEA]=$B$2)*(DESC_PROV[LISTA]=$C$2),DESC_PROV[DESCUENTO])),
   ((B9*(1+IFERROR(VLOOKUP($D$2,COLORES[],2,FALSE),0)))+F9)
   *(1-_xlfn.XLOOKUP(1,(DESC_PROV[LINEA]=$B$2)*(DESC_PROV[LISTA]=$C$2),DESC_PROV[DESCUENTO]))
   *(1+VLOOKUP($C$2,LISTAS[],2,FALSE))
   *(1+VLOOKUP($C$2,LISTAS[],3,FALSE))
)
/5,0)*5,0)</f>
        <v>59405</v>
      </c>
      <c r="P9" s="42" cm="1">
        <f t="array" ref="P9">IFERROR(
ROUND(
IF($A$2="COSTO",
   ((B9*(1+IFERROR(VLOOKUP($D$2,COLORES[],2,FALSE),0)))+G9)
   *(1-_xlfn.XLOOKUP(1,(DESC_PROV[LINEA]=$B$2)*(DESC_PROV[LISTA]=$C$2),DESC_PROV[DESCUENTO])),
   ((B9*(1+IFERROR(VLOOKUP($D$2,COLORES[],2,FALSE),0)))+G9)
   *(1-_xlfn.XLOOKUP(1,(DESC_PROV[LINEA]=$B$2)*(DESC_PROV[LISTA]=$C$2),DESC_PROV[DESCUENTO]))
   *(1+VLOOKUP($C$2,LISTAS[],2,FALSE))
   *(1+VLOOKUP($C$2,LISTAS[],3,FALSE))
)
/5,0)*5,0)</f>
        <v>49290</v>
      </c>
      <c r="Q9" s="43" cm="1">
        <f t="array" ref="Q9">IFERROR(
ROUND(
IF($A$2="COSTO",
   ((B9*(1+IFERROR(VLOOKUP($D$2,COLORES[],2,FALSE),0)))+H9)
   *(1-_xlfn.XLOOKUP(1,(DESC_PROV[LINEA]=$B$2)*(DESC_PROV[LISTA]=$C$2),DESC_PROV[DESCUENTO])),
   ((B9*(1+IFERROR(VLOOKUP($D$2,COLORES[],2,FALSE),0)))+H9)
   *(1-_xlfn.XLOOKUP(1,(DESC_PROV[LINEA]=$B$2)*(DESC_PROV[LISTA]=$C$2),DESC_PROV[DESCUENTO]))
   *(1+VLOOKUP($C$2,LISTAS[],2,FALSE))
   *(1+VLOOKUP($C$2,LISTAS[],3,FALSE))
)
/5,0)*5,0)</f>
        <v>67590</v>
      </c>
    </row>
    <row r="10" spans="1:17">
      <c r="A10" s="47" t="s">
        <v>131</v>
      </c>
      <c r="B10" s="42">
        <v>36700</v>
      </c>
      <c r="C10" s="42">
        <v>4616</v>
      </c>
      <c r="D10" s="42">
        <v>5593</v>
      </c>
      <c r="E10" s="42">
        <v>7376</v>
      </c>
      <c r="F10" s="42">
        <v>15955</v>
      </c>
      <c r="G10" s="42">
        <v>6172</v>
      </c>
      <c r="H10" s="42">
        <v>23881</v>
      </c>
      <c r="I10" s="2"/>
      <c r="J10" s="2"/>
      <c r="K10" s="47" t="s">
        <v>131</v>
      </c>
      <c r="L10" s="42" cm="1">
        <f t="array" ref="L10">IFERROR(
ROUND(
IF($A$2="COSTO",
   ((B10*(1+IFERROR(VLOOKUP($D$2,COLORES[],2,FALSE),0)))+C10)
   *(1-_xlfn.XLOOKUP(1,(DESC_PROV[LINEA]=$B$2)*(DESC_PROV[LISTA]=$C$2),DESC_PROV[DESCUENTO])),
   ((B10*(1+IFERROR(VLOOKUP($D$2,COLORES[],2,FALSE),0)))+C10)
   *(1-_xlfn.XLOOKUP(1,(DESC_PROV[LINEA]=$B$2)*(DESC_PROV[LISTA]=$C$2),DESC_PROV[DESCUENTO]))
   *(1+VLOOKUP($C$2,LISTAS[],2,FALSE))
   *(1+VLOOKUP($C$2,LISTAS[],3,FALSE))
)
/5,0)*5,0)</f>
        <v>51240</v>
      </c>
      <c r="M10" s="42" cm="1">
        <f t="array" ref="M10">IFERROR(
ROUND(
IF($A$2="COSTO",
   ((B10*(1+IFERROR(VLOOKUP($D$2,COLORES[],2,FALSE),0)))+D10)
   *(1-_xlfn.XLOOKUP(1,(DESC_PROV[LINEA]=$B$2)*(DESC_PROV[LISTA]=$C$2),DESC_PROV[DESCUENTO])),
   ((B10*(1+IFERROR(VLOOKUP($D$2,COLORES[],2,FALSE),0)))+D10)
   *(1-_xlfn.XLOOKUP(1,(DESC_PROV[LINEA]=$B$2)*(DESC_PROV[LISTA]=$C$2),DESC_PROV[DESCUENTO]))
   *(1+VLOOKUP($C$2,LISTAS[],2,FALSE))
   *(1+VLOOKUP($C$2,LISTAS[],3,FALSE))
)
/5,0)*5,0)</f>
        <v>52450</v>
      </c>
      <c r="N10" s="42" cm="1">
        <f t="array" ref="N10">IFERROR(
ROUND(
IF($A$2="COSTO",
   ((B10*(1+IFERROR(VLOOKUP($D$2,COLORES[],2,FALSE),0)))+E10)
   *(1-_xlfn.XLOOKUP(1,(DESC_PROV[LINEA]=$B$2)*(DESC_PROV[LISTA]=$C$2),DESC_PROV[DESCUENTO])),
   ((B10*(1+IFERROR(VLOOKUP($D$2,COLORES[],2,FALSE),0)))+E10)
   *(1-_xlfn.XLOOKUP(1,(DESC_PROV[LINEA]=$B$2)*(DESC_PROV[LISTA]=$C$2),DESC_PROV[DESCUENTO]))
   *(1+VLOOKUP($C$2,LISTAS[],2,FALSE))
   *(1+VLOOKUP($C$2,LISTAS[],3,FALSE))
)
/5,0)*5,0)</f>
        <v>54665</v>
      </c>
      <c r="O10" s="42" cm="1">
        <f t="array" ref="O10">IFERROR(
ROUND(
IF($A$2="COSTO",
   ((B10*(1+IFERROR(VLOOKUP($D$2,COLORES[],2,FALSE),0)))+F10)
   *(1-_xlfn.XLOOKUP(1,(DESC_PROV[LINEA]=$B$2)*(DESC_PROV[LISTA]=$C$2),DESC_PROV[DESCUENTO])),
   ((B10*(1+IFERROR(VLOOKUP($D$2,COLORES[],2,FALSE),0)))+F10)
   *(1-_xlfn.XLOOKUP(1,(DESC_PROV[LINEA]=$B$2)*(DESC_PROV[LISTA]=$C$2),DESC_PROV[DESCUENTO]))
   *(1+VLOOKUP($C$2,LISTAS[],2,FALSE))
   *(1+VLOOKUP($C$2,LISTAS[],3,FALSE))
)
/5,0)*5,0)</f>
        <v>65305</v>
      </c>
      <c r="P10" s="42" cm="1">
        <f t="array" ref="P10">IFERROR(
ROUND(
IF($A$2="COSTO",
   ((B10*(1+IFERROR(VLOOKUP($D$2,COLORES[],2,FALSE),0)))+G10)
   *(1-_xlfn.XLOOKUP(1,(DESC_PROV[LINEA]=$B$2)*(DESC_PROV[LISTA]=$C$2),DESC_PROV[DESCUENTO])),
   ((B10*(1+IFERROR(VLOOKUP($D$2,COLORES[],2,FALSE),0)))+G10)
   *(1-_xlfn.XLOOKUP(1,(DESC_PROV[LINEA]=$B$2)*(DESC_PROV[LISTA]=$C$2),DESC_PROV[DESCUENTO]))
   *(1+VLOOKUP($C$2,LISTAS[],2,FALSE))
   *(1+VLOOKUP($C$2,LISTAS[],3,FALSE))
)
/5,0)*5,0)</f>
        <v>53170</v>
      </c>
      <c r="Q10" s="43" cm="1">
        <f t="array" ref="Q10">IFERROR(
ROUND(
IF($A$2="COSTO",
   ((B10*(1+IFERROR(VLOOKUP($D$2,COLORES[],2,FALSE),0)))+H10)
   *(1-_xlfn.XLOOKUP(1,(DESC_PROV[LINEA]=$B$2)*(DESC_PROV[LISTA]=$C$2),DESC_PROV[DESCUENTO])),
   ((B10*(1+IFERROR(VLOOKUP($D$2,COLORES[],2,FALSE),0)))+H10)
   *(1-_xlfn.XLOOKUP(1,(DESC_PROV[LINEA]=$B$2)*(DESC_PROV[LISTA]=$C$2),DESC_PROV[DESCUENTO]))
   *(1+VLOOKUP($C$2,LISTAS[],2,FALSE))
   *(1+VLOOKUP($C$2,LISTAS[],3,FALSE))
)
/5,0)*5,0)</f>
        <v>75135</v>
      </c>
    </row>
    <row r="11" spans="1:17">
      <c r="A11" s="47" t="s">
        <v>132</v>
      </c>
      <c r="B11" s="42">
        <v>38794</v>
      </c>
      <c r="C11" s="42">
        <v>5385</v>
      </c>
      <c r="D11" s="42">
        <v>6525</v>
      </c>
      <c r="E11" s="42">
        <v>8607</v>
      </c>
      <c r="F11" s="42">
        <v>18616</v>
      </c>
      <c r="G11" s="42">
        <v>7204</v>
      </c>
      <c r="H11" s="42">
        <v>27867</v>
      </c>
      <c r="I11" s="2"/>
      <c r="J11" s="2"/>
      <c r="K11" s="47" t="s">
        <v>132</v>
      </c>
      <c r="L11" s="42" cm="1">
        <f t="array" ref="L11">IFERROR(
ROUND(
IF($A$2="COSTO",
   ((B11*(1+IFERROR(VLOOKUP($D$2,COLORES[],2,FALSE),0)))+C11)
   *(1-_xlfn.XLOOKUP(1,(DESC_PROV[LINEA]=$B$2)*(DESC_PROV[LISTA]=$C$2),DESC_PROV[DESCUENTO])),
   ((B11*(1+IFERROR(VLOOKUP($D$2,COLORES[],2,FALSE),0)))+C11)
   *(1-_xlfn.XLOOKUP(1,(DESC_PROV[LINEA]=$B$2)*(DESC_PROV[LISTA]=$C$2),DESC_PROV[DESCUENTO]))
   *(1+VLOOKUP($C$2,LISTAS[],2,FALSE))
   *(1+VLOOKUP($C$2,LISTAS[],3,FALSE))
)
/5,0)*5,0)</f>
        <v>54790</v>
      </c>
      <c r="M11" s="42" cm="1">
        <f t="array" ref="M11">IFERROR(
ROUND(
IF($A$2="COSTO",
   ((B11*(1+IFERROR(VLOOKUP($D$2,COLORES[],2,FALSE),0)))+D11)
   *(1-_xlfn.XLOOKUP(1,(DESC_PROV[LINEA]=$B$2)*(DESC_PROV[LISTA]=$C$2),DESC_PROV[DESCUENTO])),
   ((B11*(1+IFERROR(VLOOKUP($D$2,COLORES[],2,FALSE),0)))+D11)
   *(1-_xlfn.XLOOKUP(1,(DESC_PROV[LINEA]=$B$2)*(DESC_PROV[LISTA]=$C$2),DESC_PROV[DESCUENTO]))
   *(1+VLOOKUP($C$2,LISTAS[],2,FALSE))
   *(1+VLOOKUP($C$2,LISTAS[],3,FALSE))
)
/5,0)*5,0)</f>
        <v>56205</v>
      </c>
      <c r="N11" s="42" cm="1">
        <f t="array" ref="N11">IFERROR(
ROUND(
IF($A$2="COSTO",
   ((B11*(1+IFERROR(VLOOKUP($D$2,COLORES[],2,FALSE),0)))+E11)
   *(1-_xlfn.XLOOKUP(1,(DESC_PROV[LINEA]=$B$2)*(DESC_PROV[LISTA]=$C$2),DESC_PROV[DESCUENTO])),
   ((B11*(1+IFERROR(VLOOKUP($D$2,COLORES[],2,FALSE),0)))+E11)
   *(1-_xlfn.XLOOKUP(1,(DESC_PROV[LINEA]=$B$2)*(DESC_PROV[LISTA]=$C$2),DESC_PROV[DESCUENTO]))
   *(1+VLOOKUP($C$2,LISTAS[],2,FALSE))
   *(1+VLOOKUP($C$2,LISTAS[],3,FALSE))
)
/5,0)*5,0)</f>
        <v>58785</v>
      </c>
      <c r="O11" s="42" cm="1">
        <f t="array" ref="O11">IFERROR(
ROUND(
IF($A$2="COSTO",
   ((B11*(1+IFERROR(VLOOKUP($D$2,COLORES[],2,FALSE),0)))+F11)
   *(1-_xlfn.XLOOKUP(1,(DESC_PROV[LINEA]=$B$2)*(DESC_PROV[LISTA]=$C$2),DESC_PROV[DESCUENTO])),
   ((B11*(1+IFERROR(VLOOKUP($D$2,COLORES[],2,FALSE),0)))+F11)
   *(1-_xlfn.XLOOKUP(1,(DESC_PROV[LINEA]=$B$2)*(DESC_PROV[LISTA]=$C$2),DESC_PROV[DESCUENTO]))
   *(1+VLOOKUP($C$2,LISTAS[],2,FALSE))
   *(1+VLOOKUP($C$2,LISTAS[],3,FALSE))
)
/5,0)*5,0)</f>
        <v>71200</v>
      </c>
      <c r="P11" s="42" cm="1">
        <f t="array" ref="P11">IFERROR(
ROUND(
IF($A$2="COSTO",
   ((B11*(1+IFERROR(VLOOKUP($D$2,COLORES[],2,FALSE),0)))+G11)
   *(1-_xlfn.XLOOKUP(1,(DESC_PROV[LINEA]=$B$2)*(DESC_PROV[LISTA]=$C$2),DESC_PROV[DESCUENTO])),
   ((B11*(1+IFERROR(VLOOKUP($D$2,COLORES[],2,FALSE),0)))+G11)
   *(1-_xlfn.XLOOKUP(1,(DESC_PROV[LINEA]=$B$2)*(DESC_PROV[LISTA]=$C$2),DESC_PROV[DESCUENTO]))
   *(1+VLOOKUP($C$2,LISTAS[],2,FALSE))
   *(1+VLOOKUP($C$2,LISTAS[],3,FALSE))
)
/5,0)*5,0)</f>
        <v>57045</v>
      </c>
      <c r="Q11" s="43" cm="1">
        <f t="array" ref="Q11">IFERROR(
ROUND(
IF($A$2="COSTO",
   ((B11*(1+IFERROR(VLOOKUP($D$2,COLORES[],2,FALSE),0)))+H11)
   *(1-_xlfn.XLOOKUP(1,(DESC_PROV[LINEA]=$B$2)*(DESC_PROV[LISTA]=$C$2),DESC_PROV[DESCUENTO])),
   ((B11*(1+IFERROR(VLOOKUP($D$2,COLORES[],2,FALSE),0)))+H11)
   *(1-_xlfn.XLOOKUP(1,(DESC_PROV[LINEA]=$B$2)*(DESC_PROV[LISTA]=$C$2),DESC_PROV[DESCUENTO]))
   *(1+VLOOKUP($C$2,LISTAS[],2,FALSE))
   *(1+VLOOKUP($C$2,LISTAS[],3,FALSE))
)
/5,0)*5,0)</f>
        <v>82675</v>
      </c>
    </row>
    <row r="12" spans="1:17">
      <c r="A12" s="47" t="s">
        <v>133</v>
      </c>
      <c r="B12" s="42">
        <v>40888</v>
      </c>
      <c r="C12" s="42">
        <v>6154</v>
      </c>
      <c r="D12" s="42">
        <v>7457</v>
      </c>
      <c r="E12" s="42">
        <v>9837</v>
      </c>
      <c r="F12" s="42">
        <v>21277</v>
      </c>
      <c r="G12" s="42">
        <v>8236</v>
      </c>
      <c r="H12" s="42">
        <v>31852</v>
      </c>
      <c r="I12" s="2"/>
      <c r="J12" s="2"/>
      <c r="K12" s="47" t="s">
        <v>133</v>
      </c>
      <c r="L12" s="42" cm="1">
        <f t="array" ref="L12">IFERROR(
ROUND(
IF($A$2="COSTO",
   ((B12*(1+IFERROR(VLOOKUP($D$2,COLORES[],2,FALSE),0)))+C12)
   *(1-_xlfn.XLOOKUP(1,(DESC_PROV[LINEA]=$B$2)*(DESC_PROV[LISTA]=$C$2),DESC_PROV[DESCUENTO])),
   ((B12*(1+IFERROR(VLOOKUP($D$2,COLORES[],2,FALSE),0)))+C12)
   *(1-_xlfn.XLOOKUP(1,(DESC_PROV[LINEA]=$B$2)*(DESC_PROV[LISTA]=$C$2),DESC_PROV[DESCUENTO]))
   *(1+VLOOKUP($C$2,LISTAS[],2,FALSE))
   *(1+VLOOKUP($C$2,LISTAS[],3,FALSE))
)
/5,0)*5,0)</f>
        <v>58340</v>
      </c>
      <c r="M12" s="42" cm="1">
        <f t="array" ref="M12">IFERROR(
ROUND(
IF($A$2="COSTO",
   ((B12*(1+IFERROR(VLOOKUP($D$2,COLORES[],2,FALSE),0)))+D12)
   *(1-_xlfn.XLOOKUP(1,(DESC_PROV[LINEA]=$B$2)*(DESC_PROV[LISTA]=$C$2),DESC_PROV[DESCUENTO])),
   ((B12*(1+IFERROR(VLOOKUP($D$2,COLORES[],2,FALSE),0)))+D12)
   *(1-_xlfn.XLOOKUP(1,(DESC_PROV[LINEA]=$B$2)*(DESC_PROV[LISTA]=$C$2),DESC_PROV[DESCUENTO]))
   *(1+VLOOKUP($C$2,LISTAS[],2,FALSE))
   *(1+VLOOKUP($C$2,LISTAS[],3,FALSE))
)
/5,0)*5,0)</f>
        <v>59955</v>
      </c>
      <c r="N12" s="42" cm="1">
        <f t="array" ref="N12">IFERROR(
ROUND(
IF($A$2="COSTO",
   ((B12*(1+IFERROR(VLOOKUP($D$2,COLORES[],2,FALSE),0)))+E12)
   *(1-_xlfn.XLOOKUP(1,(DESC_PROV[LINEA]=$B$2)*(DESC_PROV[LISTA]=$C$2),DESC_PROV[DESCUENTO])),
   ((B12*(1+IFERROR(VLOOKUP($D$2,COLORES[],2,FALSE),0)))+E12)
   *(1-_xlfn.XLOOKUP(1,(DESC_PROV[LINEA]=$B$2)*(DESC_PROV[LISTA]=$C$2),DESC_PROV[DESCUENTO]))
   *(1+VLOOKUP($C$2,LISTAS[],2,FALSE))
   *(1+VLOOKUP($C$2,LISTAS[],3,FALSE))
)
/5,0)*5,0)</f>
        <v>62910</v>
      </c>
      <c r="O12" s="42" cm="1">
        <f t="array" ref="O12">IFERROR(
ROUND(
IF($A$2="COSTO",
   ((B12*(1+IFERROR(VLOOKUP($D$2,COLORES[],2,FALSE),0)))+F12)
   *(1-_xlfn.XLOOKUP(1,(DESC_PROV[LINEA]=$B$2)*(DESC_PROV[LISTA]=$C$2),DESC_PROV[DESCUENTO])),
   ((B12*(1+IFERROR(VLOOKUP($D$2,COLORES[],2,FALSE),0)))+F12)
   *(1-_xlfn.XLOOKUP(1,(DESC_PROV[LINEA]=$B$2)*(DESC_PROV[LISTA]=$C$2),DESC_PROV[DESCUENTO]))
   *(1+VLOOKUP($C$2,LISTAS[],2,FALSE))
   *(1+VLOOKUP($C$2,LISTAS[],3,FALSE))
)
/5,0)*5,0)</f>
        <v>77095</v>
      </c>
      <c r="P12" s="42" cm="1">
        <f t="array" ref="P12">IFERROR(
ROUND(
IF($A$2="COSTO",
   ((B12*(1+IFERROR(VLOOKUP($D$2,COLORES[],2,FALSE),0)))+G12)
   *(1-_xlfn.XLOOKUP(1,(DESC_PROV[LINEA]=$B$2)*(DESC_PROV[LISTA]=$C$2),DESC_PROV[DESCUENTO])),
   ((B12*(1+IFERROR(VLOOKUP($D$2,COLORES[],2,FALSE),0)))+G12)
   *(1-_xlfn.XLOOKUP(1,(DESC_PROV[LINEA]=$B$2)*(DESC_PROV[LISTA]=$C$2),DESC_PROV[DESCUENTO]))
   *(1+VLOOKUP($C$2,LISTAS[],2,FALSE))
   *(1+VLOOKUP($C$2,LISTAS[],3,FALSE))
)
/5,0)*5,0)</f>
        <v>60925</v>
      </c>
      <c r="Q12" s="43" cm="1">
        <f t="array" ref="Q12">IFERROR(
ROUND(
IF($A$2="COSTO",
   ((B12*(1+IFERROR(VLOOKUP($D$2,COLORES[],2,FALSE),0)))+H12)
   *(1-_xlfn.XLOOKUP(1,(DESC_PROV[LINEA]=$B$2)*(DESC_PROV[LISTA]=$C$2),DESC_PROV[DESCUENTO])),
   ((B12*(1+IFERROR(VLOOKUP($D$2,COLORES[],2,FALSE),0)))+H12)
   *(1-_xlfn.XLOOKUP(1,(DESC_PROV[LINEA]=$B$2)*(DESC_PROV[LISTA]=$C$2),DESC_PROV[DESCUENTO]))
   *(1+VLOOKUP($C$2,LISTAS[],2,FALSE))
   *(1+VLOOKUP($C$2,LISTAS[],3,FALSE))
)
/5,0)*5,0)</f>
        <v>90210</v>
      </c>
    </row>
    <row r="13" spans="1:17">
      <c r="A13" s="47" t="s">
        <v>134</v>
      </c>
      <c r="B13" s="42">
        <v>42983</v>
      </c>
      <c r="C13" s="42">
        <v>6923</v>
      </c>
      <c r="D13" s="42">
        <v>8389</v>
      </c>
      <c r="E13" s="42">
        <v>11068</v>
      </c>
      <c r="F13" s="42">
        <v>23937</v>
      </c>
      <c r="G13" s="42">
        <v>9267</v>
      </c>
      <c r="H13" s="42">
        <v>35838</v>
      </c>
      <c r="I13" s="2"/>
      <c r="J13" s="2"/>
      <c r="K13" s="47" t="s">
        <v>134</v>
      </c>
      <c r="L13" s="42" cm="1">
        <f t="array" ref="L13">IFERROR(
ROUND(
IF($A$2="COSTO",
   ((B13*(1+IFERROR(VLOOKUP($D$2,COLORES[],2,FALSE),0)))+C13)
   *(1-_xlfn.XLOOKUP(1,(DESC_PROV[LINEA]=$B$2)*(DESC_PROV[LISTA]=$C$2),DESC_PROV[DESCUENTO])),
   ((B13*(1+IFERROR(VLOOKUP($D$2,COLORES[],2,FALSE),0)))+C13)
   *(1-_xlfn.XLOOKUP(1,(DESC_PROV[LINEA]=$B$2)*(DESC_PROV[LISTA]=$C$2),DESC_PROV[DESCUENTO]))
   *(1+VLOOKUP($C$2,LISTAS[],2,FALSE))
   *(1+VLOOKUP($C$2,LISTAS[],3,FALSE))
)
/5,0)*5,0)</f>
        <v>61895</v>
      </c>
      <c r="M13" s="42" cm="1">
        <f t="array" ref="M13">IFERROR(
ROUND(
IF($A$2="COSTO",
   ((B13*(1+IFERROR(VLOOKUP($D$2,COLORES[],2,FALSE),0)))+D13)
   *(1-_xlfn.XLOOKUP(1,(DESC_PROV[LINEA]=$B$2)*(DESC_PROV[LISTA]=$C$2),DESC_PROV[DESCUENTO])),
   ((B13*(1+IFERROR(VLOOKUP($D$2,COLORES[],2,FALSE),0)))+D13)
   *(1-_xlfn.XLOOKUP(1,(DESC_PROV[LINEA]=$B$2)*(DESC_PROV[LISTA]=$C$2),DESC_PROV[DESCUENTO]))
   *(1+VLOOKUP($C$2,LISTAS[],2,FALSE))
   *(1+VLOOKUP($C$2,LISTAS[],3,FALSE))
)
/5,0)*5,0)</f>
        <v>63710</v>
      </c>
      <c r="N13" s="42" cm="1">
        <f t="array" ref="N13">IFERROR(
ROUND(
IF($A$2="COSTO",
   ((B13*(1+IFERROR(VLOOKUP($D$2,COLORES[],2,FALSE),0)))+E13)
   *(1-_xlfn.XLOOKUP(1,(DESC_PROV[LINEA]=$B$2)*(DESC_PROV[LISTA]=$C$2),DESC_PROV[DESCUENTO])),
   ((B13*(1+IFERROR(VLOOKUP($D$2,COLORES[],2,FALSE),0)))+E13)
   *(1-_xlfn.XLOOKUP(1,(DESC_PROV[LINEA]=$B$2)*(DESC_PROV[LISTA]=$C$2),DESC_PROV[DESCUENTO]))
   *(1+VLOOKUP($C$2,LISTAS[],2,FALSE))
   *(1+VLOOKUP($C$2,LISTAS[],3,FALSE))
)
/5,0)*5,0)</f>
        <v>67035</v>
      </c>
      <c r="O13" s="42" cm="1">
        <f t="array" ref="O13">IFERROR(
ROUND(
IF($A$2="COSTO",
   ((B13*(1+IFERROR(VLOOKUP($D$2,COLORES[],2,FALSE),0)))+F13)
   *(1-_xlfn.XLOOKUP(1,(DESC_PROV[LINEA]=$B$2)*(DESC_PROV[LISTA]=$C$2),DESC_PROV[DESCUENTO])),
   ((B13*(1+IFERROR(VLOOKUP($D$2,COLORES[],2,FALSE),0)))+F13)
   *(1-_xlfn.XLOOKUP(1,(DESC_PROV[LINEA]=$B$2)*(DESC_PROV[LISTA]=$C$2),DESC_PROV[DESCUENTO]))
   *(1+VLOOKUP($C$2,LISTAS[],2,FALSE))
   *(1+VLOOKUP($C$2,LISTAS[],3,FALSE))
)
/5,0)*5,0)</f>
        <v>82995</v>
      </c>
      <c r="P13" s="42" cm="1">
        <f t="array" ref="P13">IFERROR(
ROUND(
IF($A$2="COSTO",
   ((B13*(1+IFERROR(VLOOKUP($D$2,COLORES[],2,FALSE),0)))+G13)
   *(1-_xlfn.XLOOKUP(1,(DESC_PROV[LINEA]=$B$2)*(DESC_PROV[LISTA]=$C$2),DESC_PROV[DESCUENTO])),
   ((B13*(1+IFERROR(VLOOKUP($D$2,COLORES[],2,FALSE),0)))+G13)
   *(1-_xlfn.XLOOKUP(1,(DESC_PROV[LINEA]=$B$2)*(DESC_PROV[LISTA]=$C$2),DESC_PROV[DESCUENTO]))
   *(1+VLOOKUP($C$2,LISTAS[],2,FALSE))
   *(1+VLOOKUP($C$2,LISTAS[],3,FALSE))
)
/5,0)*5,0)</f>
        <v>64800</v>
      </c>
      <c r="Q13" s="43" cm="1">
        <f t="array" ref="Q13">IFERROR(
ROUND(
IF($A$2="COSTO",
   ((B13*(1+IFERROR(VLOOKUP($D$2,COLORES[],2,FALSE),0)))+H13)
   *(1-_xlfn.XLOOKUP(1,(DESC_PROV[LINEA]=$B$2)*(DESC_PROV[LISTA]=$C$2),DESC_PROV[DESCUENTO])),
   ((B13*(1+IFERROR(VLOOKUP($D$2,COLORES[],2,FALSE),0)))+H13)
   *(1-_xlfn.XLOOKUP(1,(DESC_PROV[LINEA]=$B$2)*(DESC_PROV[LISTA]=$C$2),DESC_PROV[DESCUENTO]))
   *(1+VLOOKUP($C$2,LISTAS[],2,FALSE))
   *(1+VLOOKUP($C$2,LISTAS[],3,FALSE))
)
/5,0)*5,0)</f>
        <v>97755</v>
      </c>
    </row>
    <row r="14" spans="1:17">
      <c r="A14" s="47" t="s">
        <v>135</v>
      </c>
      <c r="B14" s="42">
        <v>32505</v>
      </c>
      <c r="C14" s="42">
        <v>3077</v>
      </c>
      <c r="D14" s="42">
        <v>3729</v>
      </c>
      <c r="E14" s="42">
        <v>4914</v>
      </c>
      <c r="F14" s="42">
        <v>10634</v>
      </c>
      <c r="G14" s="42">
        <v>4109</v>
      </c>
      <c r="H14" s="42">
        <v>15910</v>
      </c>
      <c r="I14" s="2"/>
      <c r="J14" s="2"/>
      <c r="K14" s="47" t="s">
        <v>135</v>
      </c>
      <c r="L14" s="42" cm="1">
        <f t="array" ref="L14">IFERROR(
ROUND(
IF($A$2="COSTO",
   ((B14*(1+IFERROR(VLOOKUP($D$2,COLORES[],2,FALSE),0)))+C14)
   *(1-_xlfn.XLOOKUP(1,(DESC_PROV[LINEA]=$B$2)*(DESC_PROV[LISTA]=$C$2),DESC_PROV[DESCUENTO])),
   ((B14*(1+IFERROR(VLOOKUP($D$2,COLORES[],2,FALSE),0)))+C14)
   *(1-_xlfn.XLOOKUP(1,(DESC_PROV[LINEA]=$B$2)*(DESC_PROV[LISTA]=$C$2),DESC_PROV[DESCUENTO]))
   *(1+VLOOKUP($C$2,LISTAS[],2,FALSE))
   *(1+VLOOKUP($C$2,LISTAS[],3,FALSE))
)
/5,0)*5,0)</f>
        <v>44130</v>
      </c>
      <c r="M14" s="42" cm="1">
        <f t="array" ref="M14">IFERROR(
ROUND(
IF($A$2="COSTO",
   ((B14*(1+IFERROR(VLOOKUP($D$2,COLORES[],2,FALSE),0)))+D14)
   *(1-_xlfn.XLOOKUP(1,(DESC_PROV[LINEA]=$B$2)*(DESC_PROV[LISTA]=$C$2),DESC_PROV[DESCUENTO])),
   ((B14*(1+IFERROR(VLOOKUP($D$2,COLORES[],2,FALSE),0)))+D14)
   *(1-_xlfn.XLOOKUP(1,(DESC_PROV[LINEA]=$B$2)*(DESC_PROV[LISTA]=$C$2),DESC_PROV[DESCUENTO]))
   *(1+VLOOKUP($C$2,LISTAS[],2,FALSE))
   *(1+VLOOKUP($C$2,LISTAS[],3,FALSE))
)
/5,0)*5,0)</f>
        <v>44935</v>
      </c>
      <c r="N14" s="42" cm="1">
        <f t="array" ref="N14">IFERROR(
ROUND(
IF($A$2="COSTO",
   ((B14*(1+IFERROR(VLOOKUP($D$2,COLORES[],2,FALSE),0)))+E14)
   *(1-_xlfn.XLOOKUP(1,(DESC_PROV[LINEA]=$B$2)*(DESC_PROV[LISTA]=$C$2),DESC_PROV[DESCUENTO])),
   ((B14*(1+IFERROR(VLOOKUP($D$2,COLORES[],2,FALSE),0)))+E14)
   *(1-_xlfn.XLOOKUP(1,(DESC_PROV[LINEA]=$B$2)*(DESC_PROV[LISTA]=$C$2),DESC_PROV[DESCUENTO]))
   *(1+VLOOKUP($C$2,LISTAS[],2,FALSE))
   *(1+VLOOKUP($C$2,LISTAS[],3,FALSE))
)
/5,0)*5,0)</f>
        <v>46405</v>
      </c>
      <c r="O14" s="42" cm="1">
        <f t="array" ref="O14">IFERROR(
ROUND(
IF($A$2="COSTO",
   ((B14*(1+IFERROR(VLOOKUP($D$2,COLORES[],2,FALSE),0)))+F14)
   *(1-_xlfn.XLOOKUP(1,(DESC_PROV[LINEA]=$B$2)*(DESC_PROV[LISTA]=$C$2),DESC_PROV[DESCUENTO])),
   ((B14*(1+IFERROR(VLOOKUP($D$2,COLORES[],2,FALSE),0)))+F14)
   *(1-_xlfn.XLOOKUP(1,(DESC_PROV[LINEA]=$B$2)*(DESC_PROV[LISTA]=$C$2),DESC_PROV[DESCUENTO]))
   *(1+VLOOKUP($C$2,LISTAS[],2,FALSE))
   *(1+VLOOKUP($C$2,LISTAS[],3,FALSE))
)
/5,0)*5,0)</f>
        <v>53500</v>
      </c>
      <c r="P14" s="42" cm="1">
        <f t="array" ref="P14">IFERROR(
ROUND(
IF($A$2="COSTO",
   ((B14*(1+IFERROR(VLOOKUP($D$2,COLORES[],2,FALSE),0)))+G14)
   *(1-_xlfn.XLOOKUP(1,(DESC_PROV[LINEA]=$B$2)*(DESC_PROV[LISTA]=$C$2),DESC_PROV[DESCUENTO])),
   ((B14*(1+IFERROR(VLOOKUP($D$2,COLORES[],2,FALSE),0)))+G14)
   *(1-_xlfn.XLOOKUP(1,(DESC_PROV[LINEA]=$B$2)*(DESC_PROV[LISTA]=$C$2),DESC_PROV[DESCUENTO]))
   *(1+VLOOKUP($C$2,LISTAS[],2,FALSE))
   *(1+VLOOKUP($C$2,LISTAS[],3,FALSE))
)
/5,0)*5,0)</f>
        <v>45410</v>
      </c>
      <c r="Q14" s="43" cm="1">
        <f t="array" ref="Q14">IFERROR(
ROUND(
IF($A$2="COSTO",
   ((B14*(1+IFERROR(VLOOKUP($D$2,COLORES[],2,FALSE),0)))+H14)
   *(1-_xlfn.XLOOKUP(1,(DESC_PROV[LINEA]=$B$2)*(DESC_PROV[LISTA]=$C$2),DESC_PROV[DESCUENTO])),
   ((B14*(1+IFERROR(VLOOKUP($D$2,COLORES[],2,FALSE),0)))+H14)
   *(1-_xlfn.XLOOKUP(1,(DESC_PROV[LINEA]=$B$2)*(DESC_PROV[LISTA]=$C$2),DESC_PROV[DESCUENTO]))
   *(1+VLOOKUP($C$2,LISTAS[],2,FALSE))
   *(1+VLOOKUP($C$2,LISTAS[],3,FALSE))
)
/5,0)*5,0)</f>
        <v>60045</v>
      </c>
    </row>
    <row r="15" spans="1:17">
      <c r="A15" s="47" t="s">
        <v>136</v>
      </c>
      <c r="B15" s="42">
        <v>34605</v>
      </c>
      <c r="C15" s="42">
        <v>4109</v>
      </c>
      <c r="D15" s="42">
        <v>4968</v>
      </c>
      <c r="E15" s="42">
        <v>6561</v>
      </c>
      <c r="F15" s="42">
        <v>14172</v>
      </c>
      <c r="G15" s="42">
        <v>5475</v>
      </c>
      <c r="H15" s="42">
        <v>21210</v>
      </c>
      <c r="I15" s="2"/>
      <c r="J15" s="2"/>
      <c r="K15" s="47" t="s">
        <v>136</v>
      </c>
      <c r="L15" s="42" cm="1">
        <f t="array" ref="L15">IFERROR(
ROUND(
IF($A$2="COSTO",
   ((B15*(1+IFERROR(VLOOKUP($D$2,COLORES[],2,FALSE),0)))+C15)
   *(1-_xlfn.XLOOKUP(1,(DESC_PROV[LINEA]=$B$2)*(DESC_PROV[LISTA]=$C$2),DESC_PROV[DESCUENTO])),
   ((B15*(1+IFERROR(VLOOKUP($D$2,COLORES[],2,FALSE),0)))+C15)
   *(1-_xlfn.XLOOKUP(1,(DESC_PROV[LINEA]=$B$2)*(DESC_PROV[LISTA]=$C$2),DESC_PROV[DESCUENTO]))
   *(1+VLOOKUP($C$2,LISTAS[],2,FALSE))
   *(1+VLOOKUP($C$2,LISTAS[],3,FALSE))
)
/5,0)*5,0)</f>
        <v>48015</v>
      </c>
      <c r="M15" s="42" cm="1">
        <f t="array" ref="M15">IFERROR(
ROUND(
IF($A$2="COSTO",
   ((B15*(1+IFERROR(VLOOKUP($D$2,COLORES[],2,FALSE),0)))+D15)
   *(1-_xlfn.XLOOKUP(1,(DESC_PROV[LINEA]=$B$2)*(DESC_PROV[LISTA]=$C$2),DESC_PROV[DESCUENTO])),
   ((B15*(1+IFERROR(VLOOKUP($D$2,COLORES[],2,FALSE),0)))+D15)
   *(1-_xlfn.XLOOKUP(1,(DESC_PROV[LINEA]=$B$2)*(DESC_PROV[LISTA]=$C$2),DESC_PROV[DESCUENTO]))
   *(1+VLOOKUP($C$2,LISTAS[],2,FALSE))
   *(1+VLOOKUP($C$2,LISTAS[],3,FALSE))
)
/5,0)*5,0)</f>
        <v>49080</v>
      </c>
      <c r="N15" s="42" cm="1">
        <f t="array" ref="N15">IFERROR(
ROUND(
IF($A$2="COSTO",
   ((B15*(1+IFERROR(VLOOKUP($D$2,COLORES[],2,FALSE),0)))+E15)
   *(1-_xlfn.XLOOKUP(1,(DESC_PROV[LINEA]=$B$2)*(DESC_PROV[LISTA]=$C$2),DESC_PROV[DESCUENTO])),
   ((B15*(1+IFERROR(VLOOKUP($D$2,COLORES[],2,FALSE),0)))+E15)
   *(1-_xlfn.XLOOKUP(1,(DESC_PROV[LINEA]=$B$2)*(DESC_PROV[LISTA]=$C$2),DESC_PROV[DESCUENTO]))
   *(1+VLOOKUP($C$2,LISTAS[],2,FALSE))
   *(1+VLOOKUP($C$2,LISTAS[],3,FALSE))
)
/5,0)*5,0)</f>
        <v>51055</v>
      </c>
      <c r="O15" s="42" cm="1">
        <f t="array" ref="O15">IFERROR(
ROUND(
IF($A$2="COSTO",
   ((B15*(1+IFERROR(VLOOKUP($D$2,COLORES[],2,FALSE),0)))+F15)
   *(1-_xlfn.XLOOKUP(1,(DESC_PROV[LINEA]=$B$2)*(DESC_PROV[LISTA]=$C$2),DESC_PROV[DESCUENTO])),
   ((B15*(1+IFERROR(VLOOKUP($D$2,COLORES[],2,FALSE),0)))+F15)
   *(1-_xlfn.XLOOKUP(1,(DESC_PROV[LINEA]=$B$2)*(DESC_PROV[LISTA]=$C$2),DESC_PROV[DESCUENTO]))
   *(1+VLOOKUP($C$2,LISTAS[],2,FALSE))
   *(1+VLOOKUP($C$2,LISTAS[],3,FALSE))
)
/5,0)*5,0)</f>
        <v>60495</v>
      </c>
      <c r="P15" s="42" cm="1">
        <f t="array" ref="P15">IFERROR(
ROUND(
IF($A$2="COSTO",
   ((B15*(1+IFERROR(VLOOKUP($D$2,COLORES[],2,FALSE),0)))+G15)
   *(1-_xlfn.XLOOKUP(1,(DESC_PROV[LINEA]=$B$2)*(DESC_PROV[LISTA]=$C$2),DESC_PROV[DESCUENTO])),
   ((B15*(1+IFERROR(VLOOKUP($D$2,COLORES[],2,FALSE),0)))+G15)
   *(1-_xlfn.XLOOKUP(1,(DESC_PROV[LINEA]=$B$2)*(DESC_PROV[LISTA]=$C$2),DESC_PROV[DESCUENTO]))
   *(1+VLOOKUP($C$2,LISTAS[],2,FALSE))
   *(1+VLOOKUP($C$2,LISTAS[],3,FALSE))
)
/5,0)*5,0)</f>
        <v>49705</v>
      </c>
      <c r="Q15" s="43" cm="1">
        <f t="array" ref="Q15">IFERROR(
ROUND(
IF($A$2="COSTO",
   ((B15*(1+IFERROR(VLOOKUP($D$2,COLORES[],2,FALSE),0)))+H15)
   *(1-_xlfn.XLOOKUP(1,(DESC_PROV[LINEA]=$B$2)*(DESC_PROV[LISTA]=$C$2),DESC_PROV[DESCUENTO])),
   ((B15*(1+IFERROR(VLOOKUP($D$2,COLORES[],2,FALSE),0)))+H15)
   *(1-_xlfn.XLOOKUP(1,(DESC_PROV[LINEA]=$B$2)*(DESC_PROV[LISTA]=$C$2),DESC_PROV[DESCUENTO]))
   *(1+VLOOKUP($C$2,LISTAS[],2,FALSE))
   *(1+VLOOKUP($C$2,LISTAS[],3,FALSE))
)
/5,0)*5,0)</f>
        <v>69220</v>
      </c>
    </row>
    <row r="16" spans="1:17">
      <c r="A16" s="47" t="s">
        <v>137</v>
      </c>
      <c r="B16" s="42">
        <v>36700</v>
      </c>
      <c r="C16" s="42">
        <v>5131</v>
      </c>
      <c r="D16" s="42">
        <v>6208</v>
      </c>
      <c r="E16" s="42">
        <v>8208</v>
      </c>
      <c r="F16" s="42">
        <v>17711</v>
      </c>
      <c r="G16" s="42">
        <v>6842</v>
      </c>
      <c r="H16" s="42">
        <v>26509</v>
      </c>
      <c r="I16" s="2"/>
      <c r="J16" s="2"/>
      <c r="K16" s="47" t="s">
        <v>137</v>
      </c>
      <c r="L16" s="42" cm="1">
        <f t="array" ref="L16">IFERROR(
ROUND(
IF($A$2="COSTO",
   ((B16*(1+IFERROR(VLOOKUP($D$2,COLORES[],2,FALSE),0)))+C16)
   *(1-_xlfn.XLOOKUP(1,(DESC_PROV[LINEA]=$B$2)*(DESC_PROV[LISTA]=$C$2),DESC_PROV[DESCUENTO])),
   ((B16*(1+IFERROR(VLOOKUP($D$2,COLORES[],2,FALSE),0)))+C16)
   *(1-_xlfn.XLOOKUP(1,(DESC_PROV[LINEA]=$B$2)*(DESC_PROV[LISTA]=$C$2),DESC_PROV[DESCUENTO]))
   *(1+VLOOKUP($C$2,LISTAS[],2,FALSE))
   *(1+VLOOKUP($C$2,LISTAS[],3,FALSE))
)
/5,0)*5,0)</f>
        <v>51880</v>
      </c>
      <c r="M16" s="42" cm="1">
        <f t="array" ref="M16">IFERROR(
ROUND(
IF($A$2="COSTO",
   ((B16*(1+IFERROR(VLOOKUP($D$2,COLORES[],2,FALSE),0)))+D16)
   *(1-_xlfn.XLOOKUP(1,(DESC_PROV[LINEA]=$B$2)*(DESC_PROV[LISTA]=$C$2),DESC_PROV[DESCUENTO])),
   ((B16*(1+IFERROR(VLOOKUP($D$2,COLORES[],2,FALSE),0)))+D16)
   *(1-_xlfn.XLOOKUP(1,(DESC_PROV[LINEA]=$B$2)*(DESC_PROV[LISTA]=$C$2),DESC_PROV[DESCUENTO]))
   *(1+VLOOKUP($C$2,LISTAS[],2,FALSE))
   *(1+VLOOKUP($C$2,LISTAS[],3,FALSE))
)
/5,0)*5,0)</f>
        <v>53215</v>
      </c>
      <c r="N16" s="42" cm="1">
        <f t="array" ref="N16">IFERROR(
ROUND(
IF($A$2="COSTO",
   ((B16*(1+IFERROR(VLOOKUP($D$2,COLORES[],2,FALSE),0)))+E16)
   *(1-_xlfn.XLOOKUP(1,(DESC_PROV[LINEA]=$B$2)*(DESC_PROV[LISTA]=$C$2),DESC_PROV[DESCUENTO])),
   ((B16*(1+IFERROR(VLOOKUP($D$2,COLORES[],2,FALSE),0)))+E16)
   *(1-_xlfn.XLOOKUP(1,(DESC_PROV[LINEA]=$B$2)*(DESC_PROV[LISTA]=$C$2),DESC_PROV[DESCUENTO]))
   *(1+VLOOKUP($C$2,LISTAS[],2,FALSE))
   *(1+VLOOKUP($C$2,LISTAS[],3,FALSE))
)
/5,0)*5,0)</f>
        <v>55695</v>
      </c>
      <c r="O16" s="42" cm="1">
        <f t="array" ref="O16">IFERROR(
ROUND(
IF($A$2="COSTO",
   ((B16*(1+IFERROR(VLOOKUP($D$2,COLORES[],2,FALSE),0)))+F16)
   *(1-_xlfn.XLOOKUP(1,(DESC_PROV[LINEA]=$B$2)*(DESC_PROV[LISTA]=$C$2),DESC_PROV[DESCUENTO])),
   ((B16*(1+IFERROR(VLOOKUP($D$2,COLORES[],2,FALSE),0)))+F16)
   *(1-_xlfn.XLOOKUP(1,(DESC_PROV[LINEA]=$B$2)*(DESC_PROV[LISTA]=$C$2),DESC_PROV[DESCUENTO]))
   *(1+VLOOKUP($C$2,LISTAS[],2,FALSE))
   *(1+VLOOKUP($C$2,LISTAS[],3,FALSE))
)
/5,0)*5,0)</f>
        <v>67480</v>
      </c>
      <c r="P16" s="42" cm="1">
        <f t="array" ref="P16">IFERROR(
ROUND(
IF($A$2="COSTO",
   ((B16*(1+IFERROR(VLOOKUP($D$2,COLORES[],2,FALSE),0)))+G16)
   *(1-_xlfn.XLOOKUP(1,(DESC_PROV[LINEA]=$B$2)*(DESC_PROV[LISTA]=$C$2),DESC_PROV[DESCUENTO])),
   ((B16*(1+IFERROR(VLOOKUP($D$2,COLORES[],2,FALSE),0)))+G16)
   *(1-_xlfn.XLOOKUP(1,(DESC_PROV[LINEA]=$B$2)*(DESC_PROV[LISTA]=$C$2),DESC_PROV[DESCUENTO]))
   *(1+VLOOKUP($C$2,LISTAS[],2,FALSE))
   *(1+VLOOKUP($C$2,LISTAS[],3,FALSE))
)
/5,0)*5,0)</f>
        <v>54000</v>
      </c>
      <c r="Q16" s="43" cm="1">
        <f t="array" ref="Q16">IFERROR(
ROUND(
IF($A$2="COSTO",
   ((B16*(1+IFERROR(VLOOKUP($D$2,COLORES[],2,FALSE),0)))+H16)
   *(1-_xlfn.XLOOKUP(1,(DESC_PROV[LINEA]=$B$2)*(DESC_PROV[LISTA]=$C$2),DESC_PROV[DESCUENTO])),
   ((B16*(1+IFERROR(VLOOKUP($D$2,COLORES[],2,FALSE),0)))+H16)
   *(1-_xlfn.XLOOKUP(1,(DESC_PROV[LINEA]=$B$2)*(DESC_PROV[LISTA]=$C$2),DESC_PROV[DESCUENTO]))
   *(1+VLOOKUP($C$2,LISTAS[],2,FALSE))
   *(1+VLOOKUP($C$2,LISTAS[],3,FALSE))
)
/5,0)*5,0)</f>
        <v>78390</v>
      </c>
    </row>
    <row r="17" spans="1:17">
      <c r="A17" s="47" t="s">
        <v>138</v>
      </c>
      <c r="B17" s="42">
        <v>38794</v>
      </c>
      <c r="C17" s="42">
        <v>6154</v>
      </c>
      <c r="D17" s="42">
        <v>7448</v>
      </c>
      <c r="E17" s="42">
        <v>9855</v>
      </c>
      <c r="F17" s="42">
        <v>21249</v>
      </c>
      <c r="G17" s="42">
        <v>8208</v>
      </c>
      <c r="H17" s="42">
        <v>31809</v>
      </c>
      <c r="I17" s="2"/>
      <c r="J17" s="2"/>
      <c r="K17" s="47" t="s">
        <v>138</v>
      </c>
      <c r="L17" s="42" cm="1">
        <f t="array" ref="L17">IFERROR(
ROUND(
IF($A$2="COSTO",
   ((B17*(1+IFERROR(VLOOKUP($D$2,COLORES[],2,FALSE),0)))+C17)
   *(1-_xlfn.XLOOKUP(1,(DESC_PROV[LINEA]=$B$2)*(DESC_PROV[LISTA]=$C$2),DESC_PROV[DESCUENTO])),
   ((B17*(1+IFERROR(VLOOKUP($D$2,COLORES[],2,FALSE),0)))+C17)
   *(1-_xlfn.XLOOKUP(1,(DESC_PROV[LINEA]=$B$2)*(DESC_PROV[LISTA]=$C$2),DESC_PROV[DESCUENTO]))
   *(1+VLOOKUP($C$2,LISTAS[],2,FALSE))
   *(1+VLOOKUP($C$2,LISTAS[],3,FALSE))
)
/5,0)*5,0)</f>
        <v>55745</v>
      </c>
      <c r="M17" s="42" cm="1">
        <f t="array" ref="M17">IFERROR(
ROUND(
IF($A$2="COSTO",
   ((B17*(1+IFERROR(VLOOKUP($D$2,COLORES[],2,FALSE),0)))+D17)
   *(1-_xlfn.XLOOKUP(1,(DESC_PROV[LINEA]=$B$2)*(DESC_PROV[LISTA]=$C$2),DESC_PROV[DESCUENTO])),
   ((B17*(1+IFERROR(VLOOKUP($D$2,COLORES[],2,FALSE),0)))+D17)
   *(1-_xlfn.XLOOKUP(1,(DESC_PROV[LINEA]=$B$2)*(DESC_PROV[LISTA]=$C$2),DESC_PROV[DESCUENTO]))
   *(1+VLOOKUP($C$2,LISTAS[],2,FALSE))
   *(1+VLOOKUP($C$2,LISTAS[],3,FALSE))
)
/5,0)*5,0)</f>
        <v>57350</v>
      </c>
      <c r="N17" s="42" cm="1">
        <f t="array" ref="N17">IFERROR(
ROUND(
IF($A$2="COSTO",
   ((B17*(1+IFERROR(VLOOKUP($D$2,COLORES[],2,FALSE),0)))+E17)
   *(1-_xlfn.XLOOKUP(1,(DESC_PROV[LINEA]=$B$2)*(DESC_PROV[LISTA]=$C$2),DESC_PROV[DESCUENTO])),
   ((B17*(1+IFERROR(VLOOKUP($D$2,COLORES[],2,FALSE),0)))+E17)
   *(1-_xlfn.XLOOKUP(1,(DESC_PROV[LINEA]=$B$2)*(DESC_PROV[LISTA]=$C$2),DESC_PROV[DESCUENTO]))
   *(1+VLOOKUP($C$2,LISTAS[],2,FALSE))
   *(1+VLOOKUP($C$2,LISTAS[],3,FALSE))
)
/5,0)*5,0)</f>
        <v>60335</v>
      </c>
      <c r="O17" s="42" cm="1">
        <f t="array" ref="O17">IFERROR(
ROUND(
IF($A$2="COSTO",
   ((B17*(1+IFERROR(VLOOKUP($D$2,COLORES[],2,FALSE),0)))+F17)
   *(1-_xlfn.XLOOKUP(1,(DESC_PROV[LINEA]=$B$2)*(DESC_PROV[LISTA]=$C$2),DESC_PROV[DESCUENTO])),
   ((B17*(1+IFERROR(VLOOKUP($D$2,COLORES[],2,FALSE),0)))+F17)
   *(1-_xlfn.XLOOKUP(1,(DESC_PROV[LINEA]=$B$2)*(DESC_PROV[LISTA]=$C$2),DESC_PROV[DESCUENTO]))
   *(1+VLOOKUP($C$2,LISTAS[],2,FALSE))
   *(1+VLOOKUP($C$2,LISTAS[],3,FALSE))
)
/5,0)*5,0)</f>
        <v>74465</v>
      </c>
      <c r="P17" s="42" cm="1">
        <f t="array" ref="P17">IFERROR(
ROUND(
IF($A$2="COSTO",
   ((B17*(1+IFERROR(VLOOKUP($D$2,COLORES[],2,FALSE),0)))+G17)
   *(1-_xlfn.XLOOKUP(1,(DESC_PROV[LINEA]=$B$2)*(DESC_PROV[LISTA]=$C$2),DESC_PROV[DESCUENTO])),
   ((B17*(1+IFERROR(VLOOKUP($D$2,COLORES[],2,FALSE),0)))+G17)
   *(1-_xlfn.XLOOKUP(1,(DESC_PROV[LINEA]=$B$2)*(DESC_PROV[LISTA]=$C$2),DESC_PROV[DESCUENTO]))
   *(1+VLOOKUP($C$2,LISTAS[],2,FALSE))
   *(1+VLOOKUP($C$2,LISTAS[],3,FALSE))
)
/5,0)*5,0)</f>
        <v>58290</v>
      </c>
      <c r="Q17" s="43" cm="1">
        <f t="array" ref="Q17">IFERROR(
ROUND(
IF($A$2="COSTO",
   ((B17*(1+IFERROR(VLOOKUP($D$2,COLORES[],2,FALSE),0)))+H17)
   *(1-_xlfn.XLOOKUP(1,(DESC_PROV[LINEA]=$B$2)*(DESC_PROV[LISTA]=$C$2),DESC_PROV[DESCUENTO])),
   ((B17*(1+IFERROR(VLOOKUP($D$2,COLORES[],2,FALSE),0)))+H17)
   *(1-_xlfn.XLOOKUP(1,(DESC_PROV[LINEA]=$B$2)*(DESC_PROV[LISTA]=$C$2),DESC_PROV[DESCUENTO]))
   *(1+VLOOKUP($C$2,LISTAS[],2,FALSE))
   *(1+VLOOKUP($C$2,LISTAS[],3,FALSE))
)
/5,0)*5,0)</f>
        <v>87560</v>
      </c>
    </row>
    <row r="18" spans="1:17">
      <c r="A18" s="47" t="s">
        <v>139</v>
      </c>
      <c r="B18" s="42">
        <v>40888</v>
      </c>
      <c r="C18" s="42">
        <v>7186</v>
      </c>
      <c r="D18" s="42">
        <v>8688</v>
      </c>
      <c r="E18" s="42">
        <v>11503</v>
      </c>
      <c r="F18" s="42">
        <v>24788</v>
      </c>
      <c r="G18" s="42">
        <v>9575</v>
      </c>
      <c r="H18" s="42">
        <v>37109</v>
      </c>
      <c r="I18" s="2"/>
      <c r="J18" s="2"/>
      <c r="K18" s="47" t="s">
        <v>139</v>
      </c>
      <c r="L18" s="42" cm="1">
        <f t="array" ref="L18">IFERROR(
ROUND(
IF($A$2="COSTO",
   ((B18*(1+IFERROR(VLOOKUP($D$2,COLORES[],2,FALSE),0)))+C18)
   *(1-_xlfn.XLOOKUP(1,(DESC_PROV[LINEA]=$B$2)*(DESC_PROV[LISTA]=$C$2),DESC_PROV[DESCUENTO])),
   ((B18*(1+IFERROR(VLOOKUP($D$2,COLORES[],2,FALSE),0)))+C18)
   *(1-_xlfn.XLOOKUP(1,(DESC_PROV[LINEA]=$B$2)*(DESC_PROV[LISTA]=$C$2),DESC_PROV[DESCUENTO]))
   *(1+VLOOKUP($C$2,LISTAS[],2,FALSE))
   *(1+VLOOKUP($C$2,LISTAS[],3,FALSE))
)
/5,0)*5,0)</f>
        <v>59620</v>
      </c>
      <c r="M18" s="42" cm="1">
        <f t="array" ref="M18">IFERROR(
ROUND(
IF($A$2="COSTO",
   ((B18*(1+IFERROR(VLOOKUP($D$2,COLORES[],2,FALSE),0)))+D18)
   *(1-_xlfn.XLOOKUP(1,(DESC_PROV[LINEA]=$B$2)*(DESC_PROV[LISTA]=$C$2),DESC_PROV[DESCUENTO])),
   ((B18*(1+IFERROR(VLOOKUP($D$2,COLORES[],2,FALSE),0)))+D18)
   *(1-_xlfn.XLOOKUP(1,(DESC_PROV[LINEA]=$B$2)*(DESC_PROV[LISTA]=$C$2),DESC_PROV[DESCUENTO]))
   *(1+VLOOKUP($C$2,LISTAS[],2,FALSE))
   *(1+VLOOKUP($C$2,LISTAS[],3,FALSE))
)
/5,0)*5,0)</f>
        <v>61485</v>
      </c>
      <c r="N18" s="42" cm="1">
        <f t="array" ref="N18">IFERROR(
ROUND(
IF($A$2="COSTO",
   ((B18*(1+IFERROR(VLOOKUP($D$2,COLORES[],2,FALSE),0)))+E18)
   *(1-_xlfn.XLOOKUP(1,(DESC_PROV[LINEA]=$B$2)*(DESC_PROV[LISTA]=$C$2),DESC_PROV[DESCUENTO])),
   ((B18*(1+IFERROR(VLOOKUP($D$2,COLORES[],2,FALSE),0)))+E18)
   *(1-_xlfn.XLOOKUP(1,(DESC_PROV[LINEA]=$B$2)*(DESC_PROV[LISTA]=$C$2),DESC_PROV[DESCUENTO]))
   *(1+VLOOKUP($C$2,LISTAS[],2,FALSE))
   *(1+VLOOKUP($C$2,LISTAS[],3,FALSE))
)
/5,0)*5,0)</f>
        <v>64975</v>
      </c>
      <c r="O18" s="42" cm="1">
        <f t="array" ref="O18">IFERROR(
ROUND(
IF($A$2="COSTO",
   ((B18*(1+IFERROR(VLOOKUP($D$2,COLORES[],2,FALSE),0)))+F18)
   *(1-_xlfn.XLOOKUP(1,(DESC_PROV[LINEA]=$B$2)*(DESC_PROV[LISTA]=$C$2),DESC_PROV[DESCUENTO])),
   ((B18*(1+IFERROR(VLOOKUP($D$2,COLORES[],2,FALSE),0)))+F18)
   *(1-_xlfn.XLOOKUP(1,(DESC_PROV[LINEA]=$B$2)*(DESC_PROV[LISTA]=$C$2),DESC_PROV[DESCUENTO]))
   *(1+VLOOKUP($C$2,LISTAS[],2,FALSE))
   *(1+VLOOKUP($C$2,LISTAS[],3,FALSE))
)
/5,0)*5,0)</f>
        <v>81450</v>
      </c>
      <c r="P18" s="42" cm="1">
        <f t="array" ref="P18">IFERROR(
ROUND(
IF($A$2="COSTO",
   ((B18*(1+IFERROR(VLOOKUP($D$2,COLORES[],2,FALSE),0)))+G18)
   *(1-_xlfn.XLOOKUP(1,(DESC_PROV[LINEA]=$B$2)*(DESC_PROV[LISTA]=$C$2),DESC_PROV[DESCUENTO])),
   ((B18*(1+IFERROR(VLOOKUP($D$2,COLORES[],2,FALSE),0)))+G18)
   *(1-_xlfn.XLOOKUP(1,(DESC_PROV[LINEA]=$B$2)*(DESC_PROV[LISTA]=$C$2),DESC_PROV[DESCUENTO]))
   *(1+VLOOKUP($C$2,LISTAS[],2,FALSE))
   *(1+VLOOKUP($C$2,LISTAS[],3,FALSE))
)
/5,0)*5,0)</f>
        <v>62585</v>
      </c>
      <c r="Q18" s="43" cm="1">
        <f t="array" ref="Q18">IFERROR(
ROUND(
IF($A$2="COSTO",
   ((B18*(1+IFERROR(VLOOKUP($D$2,COLORES[],2,FALSE),0)))+H18)
   *(1-_xlfn.XLOOKUP(1,(DESC_PROV[LINEA]=$B$2)*(DESC_PROV[LISTA]=$C$2),DESC_PROV[DESCUENTO])),
   ((B18*(1+IFERROR(VLOOKUP($D$2,COLORES[],2,FALSE),0)))+H18)
   *(1-_xlfn.XLOOKUP(1,(DESC_PROV[LINEA]=$B$2)*(DESC_PROV[LISTA]=$C$2),DESC_PROV[DESCUENTO]))
   *(1+VLOOKUP($C$2,LISTAS[],2,FALSE))
   *(1+VLOOKUP($C$2,LISTAS[],3,FALSE))
)
/5,0)*5,0)</f>
        <v>96730</v>
      </c>
    </row>
    <row r="19" spans="1:17">
      <c r="A19" s="47" t="s">
        <v>140</v>
      </c>
      <c r="B19" s="42">
        <v>42983</v>
      </c>
      <c r="C19" s="42">
        <v>8208</v>
      </c>
      <c r="D19" s="42">
        <v>9928</v>
      </c>
      <c r="E19" s="42">
        <v>13150</v>
      </c>
      <c r="F19" s="42">
        <v>28327</v>
      </c>
      <c r="G19" s="42">
        <v>10941</v>
      </c>
      <c r="H19" s="42">
        <v>42408</v>
      </c>
      <c r="I19" s="2"/>
      <c r="J19" s="2"/>
      <c r="K19" s="47" t="s">
        <v>140</v>
      </c>
      <c r="L19" s="42" cm="1">
        <f t="array" ref="L19">IFERROR(
ROUND(
IF($A$2="COSTO",
   ((B19*(1+IFERROR(VLOOKUP($D$2,COLORES[],2,FALSE),0)))+C19)
   *(1-_xlfn.XLOOKUP(1,(DESC_PROV[LINEA]=$B$2)*(DESC_PROV[LISTA]=$C$2),DESC_PROV[DESCUENTO])),
   ((B19*(1+IFERROR(VLOOKUP($D$2,COLORES[],2,FALSE),0)))+C19)
   *(1-_xlfn.XLOOKUP(1,(DESC_PROV[LINEA]=$B$2)*(DESC_PROV[LISTA]=$C$2),DESC_PROV[DESCUENTO]))
   *(1+VLOOKUP($C$2,LISTAS[],2,FALSE))
   *(1+VLOOKUP($C$2,LISTAS[],3,FALSE))
)
/5,0)*5,0)</f>
        <v>63485</v>
      </c>
      <c r="M19" s="42" cm="1">
        <f t="array" ref="M19">IFERROR(
ROUND(
IF($A$2="COSTO",
   ((B19*(1+IFERROR(VLOOKUP($D$2,COLORES[],2,FALSE),0)))+D19)
   *(1-_xlfn.XLOOKUP(1,(DESC_PROV[LINEA]=$B$2)*(DESC_PROV[LISTA]=$C$2),DESC_PROV[DESCUENTO])),
   ((B19*(1+IFERROR(VLOOKUP($D$2,COLORES[],2,FALSE),0)))+D19)
   *(1-_xlfn.XLOOKUP(1,(DESC_PROV[LINEA]=$B$2)*(DESC_PROV[LISTA]=$C$2),DESC_PROV[DESCUENTO]))
   *(1+VLOOKUP($C$2,LISTAS[],2,FALSE))
   *(1+VLOOKUP($C$2,LISTAS[],3,FALSE))
)
/5,0)*5,0)</f>
        <v>65620</v>
      </c>
      <c r="N19" s="42" cm="1">
        <f t="array" ref="N19">IFERROR(
ROUND(
IF($A$2="COSTO",
   ((B19*(1+IFERROR(VLOOKUP($D$2,COLORES[],2,FALSE),0)))+E19)
   *(1-_xlfn.XLOOKUP(1,(DESC_PROV[LINEA]=$B$2)*(DESC_PROV[LISTA]=$C$2),DESC_PROV[DESCUENTO])),
   ((B19*(1+IFERROR(VLOOKUP($D$2,COLORES[],2,FALSE),0)))+E19)
   *(1-_xlfn.XLOOKUP(1,(DESC_PROV[LINEA]=$B$2)*(DESC_PROV[LISTA]=$C$2),DESC_PROV[DESCUENTO]))
   *(1+VLOOKUP($C$2,LISTAS[],2,FALSE))
   *(1+VLOOKUP($C$2,LISTAS[],3,FALSE))
)
/5,0)*5,0)</f>
        <v>69615</v>
      </c>
      <c r="O19" s="42" cm="1">
        <f t="array" ref="O19">IFERROR(
ROUND(
IF($A$2="COSTO",
   ((B19*(1+IFERROR(VLOOKUP($D$2,COLORES[],2,FALSE),0)))+F19)
   *(1-_xlfn.XLOOKUP(1,(DESC_PROV[LINEA]=$B$2)*(DESC_PROV[LISTA]=$C$2),DESC_PROV[DESCUENTO])),
   ((B19*(1+IFERROR(VLOOKUP($D$2,COLORES[],2,FALSE),0)))+F19)
   *(1-_xlfn.XLOOKUP(1,(DESC_PROV[LINEA]=$B$2)*(DESC_PROV[LISTA]=$C$2),DESC_PROV[DESCUENTO]))
   *(1+VLOOKUP($C$2,LISTAS[],2,FALSE))
   *(1+VLOOKUP($C$2,LISTAS[],3,FALSE))
)
/5,0)*5,0)</f>
        <v>88440</v>
      </c>
      <c r="P19" s="42" cm="1">
        <f t="array" ref="P19">IFERROR(
ROUND(
IF($A$2="COSTO",
   ((B19*(1+IFERROR(VLOOKUP($D$2,COLORES[],2,FALSE),0)))+G19)
   *(1-_xlfn.XLOOKUP(1,(DESC_PROV[LINEA]=$B$2)*(DESC_PROV[LISTA]=$C$2),DESC_PROV[DESCUENTO])),
   ((B19*(1+IFERROR(VLOOKUP($D$2,COLORES[],2,FALSE),0)))+G19)
   *(1-_xlfn.XLOOKUP(1,(DESC_PROV[LINEA]=$B$2)*(DESC_PROV[LISTA]=$C$2),DESC_PROV[DESCUENTO]))
   *(1+VLOOKUP($C$2,LISTAS[],2,FALSE))
   *(1+VLOOKUP($C$2,LISTAS[],3,FALSE))
)
/5,0)*5,0)</f>
        <v>66875</v>
      </c>
      <c r="Q19" s="43" cm="1">
        <f t="array" ref="Q19">IFERROR(
ROUND(
IF($A$2="COSTO",
   ((B19*(1+IFERROR(VLOOKUP($D$2,COLORES[],2,FALSE),0)))+H19)
   *(1-_xlfn.XLOOKUP(1,(DESC_PROV[LINEA]=$B$2)*(DESC_PROV[LISTA]=$C$2),DESC_PROV[DESCUENTO])),
   ((B19*(1+IFERROR(VLOOKUP($D$2,COLORES[],2,FALSE),0)))+H19)
   *(1-_xlfn.XLOOKUP(1,(DESC_PROV[LINEA]=$B$2)*(DESC_PROV[LISTA]=$C$2),DESC_PROV[DESCUENTO]))
   *(1+VLOOKUP($C$2,LISTAS[],2,FALSE))
   *(1+VLOOKUP($C$2,LISTAS[],3,FALSE))
)
/5,0)*5,0)</f>
        <v>105900</v>
      </c>
    </row>
    <row r="20" spans="1:17">
      <c r="A20" s="47" t="s">
        <v>141</v>
      </c>
      <c r="B20" s="42">
        <v>45077</v>
      </c>
      <c r="C20" s="42">
        <v>9231</v>
      </c>
      <c r="D20" s="42">
        <v>11168</v>
      </c>
      <c r="E20" s="42">
        <v>14797</v>
      </c>
      <c r="F20" s="42">
        <v>31865</v>
      </c>
      <c r="G20" s="42">
        <v>12308</v>
      </c>
      <c r="H20" s="42">
        <v>47708</v>
      </c>
      <c r="I20" s="2"/>
      <c r="J20" s="2"/>
      <c r="K20" s="47" t="s">
        <v>141</v>
      </c>
      <c r="L20" s="42" cm="1">
        <f t="array" ref="L20">IFERROR(
ROUND(
IF($A$2="COSTO",
   ((B20*(1+IFERROR(VLOOKUP($D$2,COLORES[],2,FALSE),0)))+C20)
   *(1-_xlfn.XLOOKUP(1,(DESC_PROV[LINEA]=$B$2)*(DESC_PROV[LISTA]=$C$2),DESC_PROV[DESCUENTO])),
   ((B20*(1+IFERROR(VLOOKUP($D$2,COLORES[],2,FALSE),0)))+C20)
   *(1-_xlfn.XLOOKUP(1,(DESC_PROV[LINEA]=$B$2)*(DESC_PROV[LISTA]=$C$2),DESC_PROV[DESCUENTO]))
   *(1+VLOOKUP($C$2,LISTAS[],2,FALSE))
   *(1+VLOOKUP($C$2,LISTAS[],3,FALSE))
)
/5,0)*5,0)</f>
        <v>67355</v>
      </c>
      <c r="M20" s="42" cm="1">
        <f t="array" ref="M20">IFERROR(
ROUND(
IF($A$2="COSTO",
   ((B20*(1+IFERROR(VLOOKUP($D$2,COLORES[],2,FALSE),0)))+D20)
   *(1-_xlfn.XLOOKUP(1,(DESC_PROV[LINEA]=$B$2)*(DESC_PROV[LISTA]=$C$2),DESC_PROV[DESCUENTO])),
   ((B20*(1+IFERROR(VLOOKUP($D$2,COLORES[],2,FALSE),0)))+D20)
   *(1-_xlfn.XLOOKUP(1,(DESC_PROV[LINEA]=$B$2)*(DESC_PROV[LISTA]=$C$2),DESC_PROV[DESCUENTO]))
   *(1+VLOOKUP($C$2,LISTAS[],2,FALSE))
   *(1+VLOOKUP($C$2,LISTAS[],3,FALSE))
)
/5,0)*5,0)</f>
        <v>69755</v>
      </c>
      <c r="N20" s="42" cm="1">
        <f t="array" ref="N20">IFERROR(
ROUND(
IF($A$2="COSTO",
   ((B20*(1+IFERROR(VLOOKUP($D$2,COLORES[],2,FALSE),0)))+E20)
   *(1-_xlfn.XLOOKUP(1,(DESC_PROV[LINEA]=$B$2)*(DESC_PROV[LISTA]=$C$2),DESC_PROV[DESCUENTO])),
   ((B20*(1+IFERROR(VLOOKUP($D$2,COLORES[],2,FALSE),0)))+E20)
   *(1-_xlfn.XLOOKUP(1,(DESC_PROV[LINEA]=$B$2)*(DESC_PROV[LISTA]=$C$2),DESC_PROV[DESCUENTO]))
   *(1+VLOOKUP($C$2,LISTAS[],2,FALSE))
   *(1+VLOOKUP($C$2,LISTAS[],3,FALSE))
)
/5,0)*5,0)</f>
        <v>74255</v>
      </c>
      <c r="O20" s="42" cm="1">
        <f t="array" ref="O20">IFERROR(
ROUND(
IF($A$2="COSTO",
   ((B20*(1+IFERROR(VLOOKUP($D$2,COLORES[],2,FALSE),0)))+F20)
   *(1-_xlfn.XLOOKUP(1,(DESC_PROV[LINEA]=$B$2)*(DESC_PROV[LISTA]=$C$2),DESC_PROV[DESCUENTO])),
   ((B20*(1+IFERROR(VLOOKUP($D$2,COLORES[],2,FALSE),0)))+F20)
   *(1-_xlfn.XLOOKUP(1,(DESC_PROV[LINEA]=$B$2)*(DESC_PROV[LISTA]=$C$2),DESC_PROV[DESCUENTO]))
   *(1+VLOOKUP($C$2,LISTAS[],2,FALSE))
   *(1+VLOOKUP($C$2,LISTAS[],3,FALSE))
)
/5,0)*5,0)</f>
        <v>95425</v>
      </c>
      <c r="P20" s="42" cm="1">
        <f t="array" ref="P20">IFERROR(
ROUND(
IF($A$2="COSTO",
   ((B20*(1+IFERROR(VLOOKUP($D$2,COLORES[],2,FALSE),0)))+G20)
   *(1-_xlfn.XLOOKUP(1,(DESC_PROV[LINEA]=$B$2)*(DESC_PROV[LISTA]=$C$2),DESC_PROV[DESCUENTO])),
   ((B20*(1+IFERROR(VLOOKUP($D$2,COLORES[],2,FALSE),0)))+G20)
   *(1-_xlfn.XLOOKUP(1,(DESC_PROV[LINEA]=$B$2)*(DESC_PROV[LISTA]=$C$2),DESC_PROV[DESCUENTO]))
   *(1+VLOOKUP($C$2,LISTAS[],2,FALSE))
   *(1+VLOOKUP($C$2,LISTAS[],3,FALSE))
)
/5,0)*5,0)</f>
        <v>71170</v>
      </c>
      <c r="Q20" s="43" cm="1">
        <f t="array" ref="Q20">IFERROR(
ROUND(
IF($A$2="COSTO",
   ((B20*(1+IFERROR(VLOOKUP($D$2,COLORES[],2,FALSE),0)))+H20)
   *(1-_xlfn.XLOOKUP(1,(DESC_PROV[LINEA]=$B$2)*(DESC_PROV[LISTA]=$C$2),DESC_PROV[DESCUENTO])),
   ((B20*(1+IFERROR(VLOOKUP($D$2,COLORES[],2,FALSE),0)))+H20)
   *(1-_xlfn.XLOOKUP(1,(DESC_PROV[LINEA]=$B$2)*(DESC_PROV[LISTA]=$C$2),DESC_PROV[DESCUENTO]))
   *(1+VLOOKUP($C$2,LISTAS[],2,FALSE))
   *(1+VLOOKUP($C$2,LISTAS[],3,FALSE))
)
/5,0)*5,0)</f>
        <v>115070</v>
      </c>
    </row>
    <row r="21" spans="1:17">
      <c r="A21" s="47" t="s">
        <v>156</v>
      </c>
      <c r="B21" s="42">
        <v>34605</v>
      </c>
      <c r="C21" s="42">
        <v>3846</v>
      </c>
      <c r="D21" s="42">
        <v>4661</v>
      </c>
      <c r="E21" s="42">
        <v>6145</v>
      </c>
      <c r="F21" s="42">
        <v>13294</v>
      </c>
      <c r="G21" s="42">
        <v>5140</v>
      </c>
      <c r="H21" s="42">
        <v>19896</v>
      </c>
      <c r="I21" s="2"/>
      <c r="J21" s="2"/>
      <c r="K21" s="47" t="s">
        <v>156</v>
      </c>
      <c r="L21" s="42" cm="1">
        <f t="array" ref="L21">IFERROR(
ROUND(
IF($A$2="COSTO",
   ((B21*(1+IFERROR(VLOOKUP($D$2,COLORES[],2,FALSE),0)))+C21)
   *(1-_xlfn.XLOOKUP(1,(DESC_PROV[LINEA]=$B$2)*(DESC_PROV[LISTA]=$C$2),DESC_PROV[DESCUENTO])),
   ((B21*(1+IFERROR(VLOOKUP($D$2,COLORES[],2,FALSE),0)))+C21)
   *(1-_xlfn.XLOOKUP(1,(DESC_PROV[LINEA]=$B$2)*(DESC_PROV[LISTA]=$C$2),DESC_PROV[DESCUENTO]))
   *(1+VLOOKUP($C$2,LISTAS[],2,FALSE))
   *(1+VLOOKUP($C$2,LISTAS[],3,FALSE))
)
/5,0)*5,0)</f>
        <v>47685</v>
      </c>
      <c r="M21" s="42" cm="1">
        <f t="array" ref="M21">IFERROR(
ROUND(
IF($A$2="COSTO",
   ((B21*(1+IFERROR(VLOOKUP($D$2,COLORES[],2,FALSE),0)))+D21)
   *(1-_xlfn.XLOOKUP(1,(DESC_PROV[LINEA]=$B$2)*(DESC_PROV[LISTA]=$C$2),DESC_PROV[DESCUENTO])),
   ((B21*(1+IFERROR(VLOOKUP($D$2,COLORES[],2,FALSE),0)))+D21)
   *(1-_xlfn.XLOOKUP(1,(DESC_PROV[LINEA]=$B$2)*(DESC_PROV[LISTA]=$C$2),DESC_PROV[DESCUENTO]))
   *(1+VLOOKUP($C$2,LISTAS[],2,FALSE))
   *(1+VLOOKUP($C$2,LISTAS[],3,FALSE))
)
/5,0)*5,0)</f>
        <v>48700</v>
      </c>
      <c r="N21" s="42" cm="1">
        <f t="array" ref="N21">IFERROR(
ROUND(
IF($A$2="COSTO",
   ((B21*(1+IFERROR(VLOOKUP($D$2,COLORES[],2,FALSE),0)))+E21)
   *(1-_xlfn.XLOOKUP(1,(DESC_PROV[LINEA]=$B$2)*(DESC_PROV[LISTA]=$C$2),DESC_PROV[DESCUENTO])),
   ((B21*(1+IFERROR(VLOOKUP($D$2,COLORES[],2,FALSE),0)))+E21)
   *(1-_xlfn.XLOOKUP(1,(DESC_PROV[LINEA]=$B$2)*(DESC_PROV[LISTA]=$C$2),DESC_PROV[DESCUENTO]))
   *(1+VLOOKUP($C$2,LISTAS[],2,FALSE))
   *(1+VLOOKUP($C$2,LISTAS[],3,FALSE))
)
/5,0)*5,0)</f>
        <v>50540</v>
      </c>
      <c r="O21" s="42" cm="1">
        <f t="array" ref="O21">IFERROR(
ROUND(
IF($A$2="COSTO",
   ((B21*(1+IFERROR(VLOOKUP($D$2,COLORES[],2,FALSE),0)))+F21)
   *(1-_xlfn.XLOOKUP(1,(DESC_PROV[LINEA]=$B$2)*(DESC_PROV[LISTA]=$C$2),DESC_PROV[DESCUENTO])),
   ((B21*(1+IFERROR(VLOOKUP($D$2,COLORES[],2,FALSE),0)))+F21)
   *(1-_xlfn.XLOOKUP(1,(DESC_PROV[LINEA]=$B$2)*(DESC_PROV[LISTA]=$C$2),DESC_PROV[DESCUENTO]))
   *(1+VLOOKUP($C$2,LISTAS[],2,FALSE))
   *(1+VLOOKUP($C$2,LISTAS[],3,FALSE))
)
/5,0)*5,0)</f>
        <v>59405</v>
      </c>
      <c r="P21" s="42" cm="1">
        <f t="array" ref="P21">IFERROR(
ROUND(
IF($A$2="COSTO",
   ((B21*(1+IFERROR(VLOOKUP($D$2,COLORES[],2,FALSE),0)))+G21)
   *(1-_xlfn.XLOOKUP(1,(DESC_PROV[LINEA]=$B$2)*(DESC_PROV[LISTA]=$C$2),DESC_PROV[DESCUENTO])),
   ((B21*(1+IFERROR(VLOOKUP($D$2,COLORES[],2,FALSE),0)))+G21)
   *(1-_xlfn.XLOOKUP(1,(DESC_PROV[LINEA]=$B$2)*(DESC_PROV[LISTA]=$C$2),DESC_PROV[DESCUENTO]))
   *(1+VLOOKUP($C$2,LISTAS[],2,FALSE))
   *(1+VLOOKUP($C$2,LISTAS[],3,FALSE))
)
/5,0)*5,0)</f>
        <v>49290</v>
      </c>
      <c r="Q21" s="43" cm="1">
        <f t="array" ref="Q21">IFERROR(
ROUND(
IF($A$2="COSTO",
   ((B21*(1+IFERROR(VLOOKUP($D$2,COLORES[],2,FALSE),0)))+H21)
   *(1-_xlfn.XLOOKUP(1,(DESC_PROV[LINEA]=$B$2)*(DESC_PROV[LISTA]=$C$2),DESC_PROV[DESCUENTO])),
   ((B21*(1+IFERROR(VLOOKUP($D$2,COLORES[],2,FALSE),0)))+H21)
   *(1-_xlfn.XLOOKUP(1,(DESC_PROV[LINEA]=$B$2)*(DESC_PROV[LISTA]=$C$2),DESC_PROV[DESCUENTO]))
   *(1+VLOOKUP($C$2,LISTAS[],2,FALSE))
   *(1+VLOOKUP($C$2,LISTAS[],3,FALSE))
)
/5,0)*5,0)</f>
        <v>67590</v>
      </c>
    </row>
    <row r="22" spans="1:17">
      <c r="A22" s="47" t="s">
        <v>157</v>
      </c>
      <c r="B22" s="42">
        <v>36700</v>
      </c>
      <c r="C22" s="42">
        <v>5131</v>
      </c>
      <c r="D22" s="42">
        <v>6208</v>
      </c>
      <c r="E22" s="42">
        <v>8208</v>
      </c>
      <c r="F22" s="42">
        <v>17711</v>
      </c>
      <c r="G22" s="42">
        <v>6842</v>
      </c>
      <c r="H22" s="42">
        <v>26509</v>
      </c>
      <c r="I22" s="2"/>
      <c r="J22" s="2"/>
      <c r="K22" s="47" t="s">
        <v>157</v>
      </c>
      <c r="L22" s="42" cm="1">
        <f t="array" ref="L22">IFERROR(
ROUND(
IF($A$2="COSTO",
   ((B22*(1+IFERROR(VLOOKUP($D$2,COLORES[],2,FALSE),0)))+C22)
   *(1-_xlfn.XLOOKUP(1,(DESC_PROV[LINEA]=$B$2)*(DESC_PROV[LISTA]=$C$2),DESC_PROV[DESCUENTO])),
   ((B22*(1+IFERROR(VLOOKUP($D$2,COLORES[],2,FALSE),0)))+C22)
   *(1-_xlfn.XLOOKUP(1,(DESC_PROV[LINEA]=$B$2)*(DESC_PROV[LISTA]=$C$2),DESC_PROV[DESCUENTO]))
   *(1+VLOOKUP($C$2,LISTAS[],2,FALSE))
   *(1+VLOOKUP($C$2,LISTAS[],3,FALSE))
)
/5,0)*5,0)</f>
        <v>51880</v>
      </c>
      <c r="M22" s="42" cm="1">
        <f t="array" ref="M22">IFERROR(
ROUND(
IF($A$2="COSTO",
   ((B22*(1+IFERROR(VLOOKUP($D$2,COLORES[],2,FALSE),0)))+D22)
   *(1-_xlfn.XLOOKUP(1,(DESC_PROV[LINEA]=$B$2)*(DESC_PROV[LISTA]=$C$2),DESC_PROV[DESCUENTO])),
   ((B22*(1+IFERROR(VLOOKUP($D$2,COLORES[],2,FALSE),0)))+D22)
   *(1-_xlfn.XLOOKUP(1,(DESC_PROV[LINEA]=$B$2)*(DESC_PROV[LISTA]=$C$2),DESC_PROV[DESCUENTO]))
   *(1+VLOOKUP($C$2,LISTAS[],2,FALSE))
   *(1+VLOOKUP($C$2,LISTAS[],3,FALSE))
)
/5,0)*5,0)</f>
        <v>53215</v>
      </c>
      <c r="N22" s="42" cm="1">
        <f t="array" ref="N22">IFERROR(
ROUND(
IF($A$2="COSTO",
   ((B22*(1+IFERROR(VLOOKUP($D$2,COLORES[],2,FALSE),0)))+E22)
   *(1-_xlfn.XLOOKUP(1,(DESC_PROV[LINEA]=$B$2)*(DESC_PROV[LISTA]=$C$2),DESC_PROV[DESCUENTO])),
   ((B22*(1+IFERROR(VLOOKUP($D$2,COLORES[],2,FALSE),0)))+E22)
   *(1-_xlfn.XLOOKUP(1,(DESC_PROV[LINEA]=$B$2)*(DESC_PROV[LISTA]=$C$2),DESC_PROV[DESCUENTO]))
   *(1+VLOOKUP($C$2,LISTAS[],2,FALSE))
   *(1+VLOOKUP($C$2,LISTAS[],3,FALSE))
)
/5,0)*5,0)</f>
        <v>55695</v>
      </c>
      <c r="O22" s="42" cm="1">
        <f t="array" ref="O22">IFERROR(
ROUND(
IF($A$2="COSTO",
   ((B22*(1+IFERROR(VLOOKUP($D$2,COLORES[],2,FALSE),0)))+F22)
   *(1-_xlfn.XLOOKUP(1,(DESC_PROV[LINEA]=$B$2)*(DESC_PROV[LISTA]=$C$2),DESC_PROV[DESCUENTO])),
   ((B22*(1+IFERROR(VLOOKUP($D$2,COLORES[],2,FALSE),0)))+F22)
   *(1-_xlfn.XLOOKUP(1,(DESC_PROV[LINEA]=$B$2)*(DESC_PROV[LISTA]=$C$2),DESC_PROV[DESCUENTO]))
   *(1+VLOOKUP($C$2,LISTAS[],2,FALSE))
   *(1+VLOOKUP($C$2,LISTAS[],3,FALSE))
)
/5,0)*5,0)</f>
        <v>67480</v>
      </c>
      <c r="P22" s="42" cm="1">
        <f t="array" ref="P22">IFERROR(
ROUND(
IF($A$2="COSTO",
   ((B22*(1+IFERROR(VLOOKUP($D$2,COLORES[],2,FALSE),0)))+G22)
   *(1-_xlfn.XLOOKUP(1,(DESC_PROV[LINEA]=$B$2)*(DESC_PROV[LISTA]=$C$2),DESC_PROV[DESCUENTO])),
   ((B22*(1+IFERROR(VLOOKUP($D$2,COLORES[],2,FALSE),0)))+G22)
   *(1-_xlfn.XLOOKUP(1,(DESC_PROV[LINEA]=$B$2)*(DESC_PROV[LISTA]=$C$2),DESC_PROV[DESCUENTO]))
   *(1+VLOOKUP($C$2,LISTAS[],2,FALSE))
   *(1+VLOOKUP($C$2,LISTAS[],3,FALSE))
)
/5,0)*5,0)</f>
        <v>54000</v>
      </c>
      <c r="Q22" s="43" cm="1">
        <f t="array" ref="Q22">IFERROR(
ROUND(
IF($A$2="COSTO",
   ((B22*(1+IFERROR(VLOOKUP($D$2,COLORES[],2,FALSE),0)))+H22)
   *(1-_xlfn.XLOOKUP(1,(DESC_PROV[LINEA]=$B$2)*(DESC_PROV[LISTA]=$C$2),DESC_PROV[DESCUENTO])),
   ((B22*(1+IFERROR(VLOOKUP($D$2,COLORES[],2,FALSE),0)))+H22)
   *(1-_xlfn.XLOOKUP(1,(DESC_PROV[LINEA]=$B$2)*(DESC_PROV[LISTA]=$C$2),DESC_PROV[DESCUENTO]))
   *(1+VLOOKUP($C$2,LISTAS[],2,FALSE))
   *(1+VLOOKUP($C$2,LISTAS[],3,FALSE))
)
/5,0)*5,0)</f>
        <v>78390</v>
      </c>
    </row>
    <row r="23" spans="1:17">
      <c r="A23" s="47" t="s">
        <v>158</v>
      </c>
      <c r="B23" s="42">
        <v>38794</v>
      </c>
      <c r="C23" s="42">
        <v>6407</v>
      </c>
      <c r="D23" s="42">
        <v>7756</v>
      </c>
      <c r="E23" s="42">
        <v>10272</v>
      </c>
      <c r="F23" s="42">
        <v>22127</v>
      </c>
      <c r="G23" s="42">
        <v>8543</v>
      </c>
      <c r="H23" s="42">
        <v>33123</v>
      </c>
      <c r="I23" s="2"/>
      <c r="J23" s="2"/>
      <c r="K23" s="47" t="s">
        <v>158</v>
      </c>
      <c r="L23" s="42" cm="1">
        <f t="array" ref="L23">IFERROR(
ROUND(
IF($A$2="COSTO",
   ((B23*(1+IFERROR(VLOOKUP($D$2,COLORES[],2,FALSE),0)))+C23)
   *(1-_xlfn.XLOOKUP(1,(DESC_PROV[LINEA]=$B$2)*(DESC_PROV[LISTA]=$C$2),DESC_PROV[DESCUENTO])),
   ((B23*(1+IFERROR(VLOOKUP($D$2,COLORES[],2,FALSE),0)))+C23)
   *(1-_xlfn.XLOOKUP(1,(DESC_PROV[LINEA]=$B$2)*(DESC_PROV[LISTA]=$C$2),DESC_PROV[DESCUENTO]))
   *(1+VLOOKUP($C$2,LISTAS[],2,FALSE))
   *(1+VLOOKUP($C$2,LISTAS[],3,FALSE))
)
/5,0)*5,0)</f>
        <v>56060</v>
      </c>
      <c r="M23" s="42" cm="1">
        <f t="array" ref="M23">IFERROR(
ROUND(
IF($A$2="COSTO",
   ((B23*(1+IFERROR(VLOOKUP($D$2,COLORES[],2,FALSE),0)))+D23)
   *(1-_xlfn.XLOOKUP(1,(DESC_PROV[LINEA]=$B$2)*(DESC_PROV[LISTA]=$C$2),DESC_PROV[DESCUENTO])),
   ((B23*(1+IFERROR(VLOOKUP($D$2,COLORES[],2,FALSE),0)))+D23)
   *(1-_xlfn.XLOOKUP(1,(DESC_PROV[LINEA]=$B$2)*(DESC_PROV[LISTA]=$C$2),DESC_PROV[DESCUENTO]))
   *(1+VLOOKUP($C$2,LISTAS[],2,FALSE))
   *(1+VLOOKUP($C$2,LISTAS[],3,FALSE))
)
/5,0)*5,0)</f>
        <v>57730</v>
      </c>
      <c r="N23" s="42" cm="1">
        <f t="array" ref="N23">IFERROR(
ROUND(
IF($A$2="COSTO",
   ((B23*(1+IFERROR(VLOOKUP($D$2,COLORES[],2,FALSE),0)))+E23)
   *(1-_xlfn.XLOOKUP(1,(DESC_PROV[LINEA]=$B$2)*(DESC_PROV[LISTA]=$C$2),DESC_PROV[DESCUENTO])),
   ((B23*(1+IFERROR(VLOOKUP($D$2,COLORES[],2,FALSE),0)))+E23)
   *(1-_xlfn.XLOOKUP(1,(DESC_PROV[LINEA]=$B$2)*(DESC_PROV[LISTA]=$C$2),DESC_PROV[DESCUENTO]))
   *(1+VLOOKUP($C$2,LISTAS[],2,FALSE))
   *(1+VLOOKUP($C$2,LISTAS[],3,FALSE))
)
/5,0)*5,0)</f>
        <v>60850</v>
      </c>
      <c r="O23" s="42" cm="1">
        <f t="array" ref="O23">IFERROR(
ROUND(
IF($A$2="COSTO",
   ((B23*(1+IFERROR(VLOOKUP($D$2,COLORES[],2,FALSE),0)))+F23)
   *(1-_xlfn.XLOOKUP(1,(DESC_PROV[LINEA]=$B$2)*(DESC_PROV[LISTA]=$C$2),DESC_PROV[DESCUENTO])),
   ((B23*(1+IFERROR(VLOOKUP($D$2,COLORES[],2,FALSE),0)))+F23)
   *(1-_xlfn.XLOOKUP(1,(DESC_PROV[LINEA]=$B$2)*(DESC_PROV[LISTA]=$C$2),DESC_PROV[DESCUENTO]))
   *(1+VLOOKUP($C$2,LISTAS[],2,FALSE))
   *(1+VLOOKUP($C$2,LISTAS[],3,FALSE))
)
/5,0)*5,0)</f>
        <v>75555</v>
      </c>
      <c r="P23" s="42" cm="1">
        <f t="array" ref="P23">IFERROR(
ROUND(
IF($A$2="COSTO",
   ((B23*(1+IFERROR(VLOOKUP($D$2,COLORES[],2,FALSE),0)))+G23)
   *(1-_xlfn.XLOOKUP(1,(DESC_PROV[LINEA]=$B$2)*(DESC_PROV[LISTA]=$C$2),DESC_PROV[DESCUENTO])),
   ((B23*(1+IFERROR(VLOOKUP($D$2,COLORES[],2,FALSE),0)))+G23)
   *(1-_xlfn.XLOOKUP(1,(DESC_PROV[LINEA]=$B$2)*(DESC_PROV[LISTA]=$C$2),DESC_PROV[DESCUENTO]))
   *(1+VLOOKUP($C$2,LISTAS[],2,FALSE))
   *(1+VLOOKUP($C$2,LISTAS[],3,FALSE))
)
/5,0)*5,0)</f>
        <v>58705</v>
      </c>
      <c r="Q23" s="43" cm="1">
        <f t="array" ref="Q23">IFERROR(
ROUND(
IF($A$2="COSTO",
   ((B23*(1+IFERROR(VLOOKUP($D$2,COLORES[],2,FALSE),0)))+H23)
   *(1-_xlfn.XLOOKUP(1,(DESC_PROV[LINEA]=$B$2)*(DESC_PROV[LISTA]=$C$2),DESC_PROV[DESCUENTO])),
   ((B23*(1+IFERROR(VLOOKUP($D$2,COLORES[],2,FALSE),0)))+H23)
   *(1-_xlfn.XLOOKUP(1,(DESC_PROV[LINEA]=$B$2)*(DESC_PROV[LISTA]=$C$2),DESC_PROV[DESCUENTO]))
   *(1+VLOOKUP($C$2,LISTAS[],2,FALSE))
   *(1+VLOOKUP($C$2,LISTAS[],3,FALSE))
)
/5,0)*5,0)</f>
        <v>89190</v>
      </c>
    </row>
    <row r="24" spans="1:17">
      <c r="A24" s="47" t="s">
        <v>159</v>
      </c>
      <c r="B24" s="42">
        <v>40888</v>
      </c>
      <c r="C24" s="42">
        <v>7693</v>
      </c>
      <c r="D24" s="42">
        <v>9303</v>
      </c>
      <c r="E24" s="42">
        <v>12335</v>
      </c>
      <c r="F24" s="42">
        <v>26634</v>
      </c>
      <c r="G24" s="42">
        <v>10245</v>
      </c>
      <c r="H24" s="42">
        <v>39737</v>
      </c>
      <c r="I24" s="2"/>
      <c r="J24" s="2"/>
      <c r="K24" s="47" t="s">
        <v>159</v>
      </c>
      <c r="L24" s="42" cm="1">
        <f t="array" ref="L24">IFERROR(
ROUND(
IF($A$2="COSTO",
   ((B24*(1+IFERROR(VLOOKUP($D$2,COLORES[],2,FALSE),0)))+C24)
   *(1-_xlfn.XLOOKUP(1,(DESC_PROV[LINEA]=$B$2)*(DESC_PROV[LISTA]=$C$2),DESC_PROV[DESCUENTO])),
   ((B24*(1+IFERROR(VLOOKUP($D$2,COLORES[],2,FALSE),0)))+C24)
   *(1-_xlfn.XLOOKUP(1,(DESC_PROV[LINEA]=$B$2)*(DESC_PROV[LISTA]=$C$2),DESC_PROV[DESCUENTO]))
   *(1+VLOOKUP($C$2,LISTAS[],2,FALSE))
   *(1+VLOOKUP($C$2,LISTAS[],3,FALSE))
)
/5,0)*5,0)</f>
        <v>60250</v>
      </c>
      <c r="M24" s="42" cm="1">
        <f t="array" ref="M24">IFERROR(
ROUND(
IF($A$2="COSTO",
   ((B24*(1+IFERROR(VLOOKUP($D$2,COLORES[],2,FALSE),0)))+D24)
   *(1-_xlfn.XLOOKUP(1,(DESC_PROV[LINEA]=$B$2)*(DESC_PROV[LISTA]=$C$2),DESC_PROV[DESCUENTO])),
   ((B24*(1+IFERROR(VLOOKUP($D$2,COLORES[],2,FALSE),0)))+D24)
   *(1-_xlfn.XLOOKUP(1,(DESC_PROV[LINEA]=$B$2)*(DESC_PROV[LISTA]=$C$2),DESC_PROV[DESCUENTO]))
   *(1+VLOOKUP($C$2,LISTAS[],2,FALSE))
   *(1+VLOOKUP($C$2,LISTAS[],3,FALSE))
)
/5,0)*5,0)</f>
        <v>62245</v>
      </c>
      <c r="N24" s="42" cm="1">
        <f t="array" ref="N24">IFERROR(
ROUND(
IF($A$2="COSTO",
   ((B24*(1+IFERROR(VLOOKUP($D$2,COLORES[],2,FALSE),0)))+E24)
   *(1-_xlfn.XLOOKUP(1,(DESC_PROV[LINEA]=$B$2)*(DESC_PROV[LISTA]=$C$2),DESC_PROV[DESCUENTO])),
   ((B24*(1+IFERROR(VLOOKUP($D$2,COLORES[],2,FALSE),0)))+E24)
   *(1-_xlfn.XLOOKUP(1,(DESC_PROV[LINEA]=$B$2)*(DESC_PROV[LISTA]=$C$2),DESC_PROV[DESCUENTO]))
   *(1+VLOOKUP($C$2,LISTAS[],2,FALSE))
   *(1+VLOOKUP($C$2,LISTAS[],3,FALSE))
)
/5,0)*5,0)</f>
        <v>66005</v>
      </c>
      <c r="O24" s="42" cm="1">
        <f t="array" ref="O24">IFERROR(
ROUND(
IF($A$2="COSTO",
   ((B24*(1+IFERROR(VLOOKUP($D$2,COLORES[],2,FALSE),0)))+F24)
   *(1-_xlfn.XLOOKUP(1,(DESC_PROV[LINEA]=$B$2)*(DESC_PROV[LISTA]=$C$2),DESC_PROV[DESCUENTO])),
   ((B24*(1+IFERROR(VLOOKUP($D$2,COLORES[],2,FALSE),0)))+F24)
   *(1-_xlfn.XLOOKUP(1,(DESC_PROV[LINEA]=$B$2)*(DESC_PROV[LISTA]=$C$2),DESC_PROV[DESCUENTO]))
   *(1+VLOOKUP($C$2,LISTAS[],2,FALSE))
   *(1+VLOOKUP($C$2,LISTAS[],3,FALSE))
)
/5,0)*5,0)</f>
        <v>83740</v>
      </c>
      <c r="P24" s="42" cm="1">
        <f t="array" ref="P24">IFERROR(
ROUND(
IF($A$2="COSTO",
   ((B24*(1+IFERROR(VLOOKUP($D$2,COLORES[],2,FALSE),0)))+G24)
   *(1-_xlfn.XLOOKUP(1,(DESC_PROV[LINEA]=$B$2)*(DESC_PROV[LISTA]=$C$2),DESC_PROV[DESCUENTO])),
   ((B24*(1+IFERROR(VLOOKUP($D$2,COLORES[],2,FALSE),0)))+G24)
   *(1-_xlfn.XLOOKUP(1,(DESC_PROV[LINEA]=$B$2)*(DESC_PROV[LISTA]=$C$2),DESC_PROV[DESCUENTO]))
   *(1+VLOOKUP($C$2,LISTAS[],2,FALSE))
   *(1+VLOOKUP($C$2,LISTAS[],3,FALSE))
)
/5,0)*5,0)</f>
        <v>63415</v>
      </c>
      <c r="Q24" s="43" cm="1">
        <f t="array" ref="Q24">IFERROR(
ROUND(
IF($A$2="COSTO",
   ((B24*(1+IFERROR(VLOOKUP($D$2,COLORES[],2,FALSE),0)))+H24)
   *(1-_xlfn.XLOOKUP(1,(DESC_PROV[LINEA]=$B$2)*(DESC_PROV[LISTA]=$C$2),DESC_PROV[DESCUENTO])),
   ((B24*(1+IFERROR(VLOOKUP($D$2,COLORES[],2,FALSE),0)))+H24)
   *(1-_xlfn.XLOOKUP(1,(DESC_PROV[LINEA]=$B$2)*(DESC_PROV[LISTA]=$C$2),DESC_PROV[DESCUENTO]))
   *(1+VLOOKUP($C$2,LISTAS[],2,FALSE))
   *(1+VLOOKUP($C$2,LISTAS[],3,FALSE))
)
/5,0)*5,0)</f>
        <v>99990</v>
      </c>
    </row>
    <row r="25" spans="1:17">
      <c r="A25" s="47" t="s">
        <v>160</v>
      </c>
      <c r="B25" s="42">
        <v>42983</v>
      </c>
      <c r="C25" s="42">
        <v>8978</v>
      </c>
      <c r="D25" s="42">
        <v>10851</v>
      </c>
      <c r="E25" s="42">
        <v>14399</v>
      </c>
      <c r="F25" s="42">
        <v>31141</v>
      </c>
      <c r="G25" s="42">
        <v>11946</v>
      </c>
      <c r="H25" s="42">
        <v>46350</v>
      </c>
      <c r="I25" s="2"/>
      <c r="J25" s="2"/>
      <c r="K25" s="47" t="s">
        <v>160</v>
      </c>
      <c r="L25" s="42" cm="1">
        <f t="array" ref="L25">IFERROR(
ROUND(
IF($A$2="COSTO",
   ((B25*(1+IFERROR(VLOOKUP($D$2,COLORES[],2,FALSE),0)))+C25)
   *(1-_xlfn.XLOOKUP(1,(DESC_PROV[LINEA]=$B$2)*(DESC_PROV[LISTA]=$C$2),DESC_PROV[DESCUENTO])),
   ((B25*(1+IFERROR(VLOOKUP($D$2,COLORES[],2,FALSE),0)))+C25)
   *(1-_xlfn.XLOOKUP(1,(DESC_PROV[LINEA]=$B$2)*(DESC_PROV[LISTA]=$C$2),DESC_PROV[DESCUENTO]))
   *(1+VLOOKUP($C$2,LISTAS[],2,FALSE))
   *(1+VLOOKUP($C$2,LISTAS[],3,FALSE))
)
/5,0)*5,0)</f>
        <v>64440</v>
      </c>
      <c r="M25" s="42" cm="1">
        <f t="array" ref="M25">IFERROR(
ROUND(
IF($A$2="COSTO",
   ((B25*(1+IFERROR(VLOOKUP($D$2,COLORES[],2,FALSE),0)))+D25)
   *(1-_xlfn.XLOOKUP(1,(DESC_PROV[LINEA]=$B$2)*(DESC_PROV[LISTA]=$C$2),DESC_PROV[DESCUENTO])),
   ((B25*(1+IFERROR(VLOOKUP($D$2,COLORES[],2,FALSE),0)))+D25)
   *(1-_xlfn.XLOOKUP(1,(DESC_PROV[LINEA]=$B$2)*(DESC_PROV[LISTA]=$C$2),DESC_PROV[DESCUENTO]))
   *(1+VLOOKUP($C$2,LISTAS[],2,FALSE))
   *(1+VLOOKUP($C$2,LISTAS[],3,FALSE))
)
/5,0)*5,0)</f>
        <v>66765</v>
      </c>
      <c r="N25" s="42" cm="1">
        <f t="array" ref="N25">IFERROR(
ROUND(
IF($A$2="COSTO",
   ((B25*(1+IFERROR(VLOOKUP($D$2,COLORES[],2,FALSE),0)))+E25)
   *(1-_xlfn.XLOOKUP(1,(DESC_PROV[LINEA]=$B$2)*(DESC_PROV[LISTA]=$C$2),DESC_PROV[DESCUENTO])),
   ((B25*(1+IFERROR(VLOOKUP($D$2,COLORES[],2,FALSE),0)))+E25)
   *(1-_xlfn.XLOOKUP(1,(DESC_PROV[LINEA]=$B$2)*(DESC_PROV[LISTA]=$C$2),DESC_PROV[DESCUENTO]))
   *(1+VLOOKUP($C$2,LISTAS[],2,FALSE))
   *(1+VLOOKUP($C$2,LISTAS[],3,FALSE))
)
/5,0)*5,0)</f>
        <v>71165</v>
      </c>
      <c r="O25" s="42" cm="1">
        <f t="array" ref="O25">IFERROR(
ROUND(
IF($A$2="COSTO",
   ((B25*(1+IFERROR(VLOOKUP($D$2,COLORES[],2,FALSE),0)))+F25)
   *(1-_xlfn.XLOOKUP(1,(DESC_PROV[LINEA]=$B$2)*(DESC_PROV[LISTA]=$C$2),DESC_PROV[DESCUENTO])),
   ((B25*(1+IFERROR(VLOOKUP($D$2,COLORES[],2,FALSE),0)))+F25)
   *(1-_xlfn.XLOOKUP(1,(DESC_PROV[LINEA]=$B$2)*(DESC_PROV[LISTA]=$C$2),DESC_PROV[DESCUENTO]))
   *(1+VLOOKUP($C$2,LISTAS[],2,FALSE))
   *(1+VLOOKUP($C$2,LISTAS[],3,FALSE))
)
/5,0)*5,0)</f>
        <v>91930</v>
      </c>
      <c r="P25" s="42" cm="1">
        <f t="array" ref="P25">IFERROR(
ROUND(
IF($A$2="COSTO",
   ((B25*(1+IFERROR(VLOOKUP($D$2,COLORES[],2,FALSE),0)))+G25)
   *(1-_xlfn.XLOOKUP(1,(DESC_PROV[LINEA]=$B$2)*(DESC_PROV[LISTA]=$C$2),DESC_PROV[DESCUENTO])),
   ((B25*(1+IFERROR(VLOOKUP($D$2,COLORES[],2,FALSE),0)))+G25)
   *(1-_xlfn.XLOOKUP(1,(DESC_PROV[LINEA]=$B$2)*(DESC_PROV[LISTA]=$C$2),DESC_PROV[DESCUENTO]))
   *(1+VLOOKUP($C$2,LISTAS[],2,FALSE))
   *(1+VLOOKUP($C$2,LISTAS[],3,FALSE))
)
/5,0)*5,0)</f>
        <v>68125</v>
      </c>
      <c r="Q25" s="43" cm="1">
        <f t="array" ref="Q25">IFERROR(
ROUND(
IF($A$2="COSTO",
   ((B25*(1+IFERROR(VLOOKUP($D$2,COLORES[],2,FALSE),0)))+H25)
   *(1-_xlfn.XLOOKUP(1,(DESC_PROV[LINEA]=$B$2)*(DESC_PROV[LISTA]=$C$2),DESC_PROV[DESCUENTO])),
   ((B25*(1+IFERROR(VLOOKUP($D$2,COLORES[],2,FALSE),0)))+H25)
   *(1-_xlfn.XLOOKUP(1,(DESC_PROV[LINEA]=$B$2)*(DESC_PROV[LISTA]=$C$2),DESC_PROV[DESCUENTO]))
   *(1+VLOOKUP($C$2,LISTAS[],2,FALSE))
   *(1+VLOOKUP($C$2,LISTAS[],3,FALSE))
)
/5,0)*5,0)</f>
        <v>110790</v>
      </c>
    </row>
    <row r="26" spans="1:17">
      <c r="A26" s="47" t="s">
        <v>161</v>
      </c>
      <c r="B26" s="42">
        <v>45077</v>
      </c>
      <c r="C26" s="42">
        <v>10263</v>
      </c>
      <c r="D26" s="42">
        <v>12399</v>
      </c>
      <c r="E26" s="42">
        <v>16462</v>
      </c>
      <c r="F26" s="42">
        <v>35648</v>
      </c>
      <c r="G26" s="42">
        <v>13647</v>
      </c>
      <c r="H26" s="42">
        <v>52964</v>
      </c>
      <c r="I26" s="2"/>
      <c r="J26" s="2"/>
      <c r="K26" s="47" t="s">
        <v>161</v>
      </c>
      <c r="L26" s="42" cm="1">
        <f t="array" ref="L26">IFERROR(
ROUND(
IF($A$2="COSTO",
   ((B26*(1+IFERROR(VLOOKUP($D$2,COLORES[],2,FALSE),0)))+C26)
   *(1-_xlfn.XLOOKUP(1,(DESC_PROV[LINEA]=$B$2)*(DESC_PROV[LISTA]=$C$2),DESC_PROV[DESCUENTO])),
   ((B26*(1+IFERROR(VLOOKUP($D$2,COLORES[],2,FALSE),0)))+C26)
   *(1-_xlfn.XLOOKUP(1,(DESC_PROV[LINEA]=$B$2)*(DESC_PROV[LISTA]=$C$2),DESC_PROV[DESCUENTO]))
   *(1+VLOOKUP($C$2,LISTAS[],2,FALSE))
   *(1+VLOOKUP($C$2,LISTAS[],3,FALSE))
)
/5,0)*5,0)</f>
        <v>68635</v>
      </c>
      <c r="M26" s="42" cm="1">
        <f t="array" ref="M26">IFERROR(
ROUND(
IF($A$2="COSTO",
   ((B26*(1+IFERROR(VLOOKUP($D$2,COLORES[],2,FALSE),0)))+D26)
   *(1-_xlfn.XLOOKUP(1,(DESC_PROV[LINEA]=$B$2)*(DESC_PROV[LISTA]=$C$2),DESC_PROV[DESCUENTO])),
   ((B26*(1+IFERROR(VLOOKUP($D$2,COLORES[],2,FALSE),0)))+D26)
   *(1-_xlfn.XLOOKUP(1,(DESC_PROV[LINEA]=$B$2)*(DESC_PROV[LISTA]=$C$2),DESC_PROV[DESCUENTO]))
   *(1+VLOOKUP($C$2,LISTAS[],2,FALSE))
   *(1+VLOOKUP($C$2,LISTAS[],3,FALSE))
)
/5,0)*5,0)</f>
        <v>71280</v>
      </c>
      <c r="N26" s="42" cm="1">
        <f t="array" ref="N26">IFERROR(
ROUND(
IF($A$2="COSTO",
   ((B26*(1+IFERROR(VLOOKUP($D$2,COLORES[],2,FALSE),0)))+E26)
   *(1-_xlfn.XLOOKUP(1,(DESC_PROV[LINEA]=$B$2)*(DESC_PROV[LISTA]=$C$2),DESC_PROV[DESCUENTO])),
   ((B26*(1+IFERROR(VLOOKUP($D$2,COLORES[],2,FALSE),0)))+E26)
   *(1-_xlfn.XLOOKUP(1,(DESC_PROV[LINEA]=$B$2)*(DESC_PROV[LISTA]=$C$2),DESC_PROV[DESCUENTO]))
   *(1+VLOOKUP($C$2,LISTAS[],2,FALSE))
   *(1+VLOOKUP($C$2,LISTAS[],3,FALSE))
)
/5,0)*5,0)</f>
        <v>76320</v>
      </c>
      <c r="O26" s="42" cm="1">
        <f t="array" ref="O26">IFERROR(
ROUND(
IF($A$2="COSTO",
   ((B26*(1+IFERROR(VLOOKUP($D$2,COLORES[],2,FALSE),0)))+F26)
   *(1-_xlfn.XLOOKUP(1,(DESC_PROV[LINEA]=$B$2)*(DESC_PROV[LISTA]=$C$2),DESC_PROV[DESCUENTO])),
   ((B26*(1+IFERROR(VLOOKUP($D$2,COLORES[],2,FALSE),0)))+F26)
   *(1-_xlfn.XLOOKUP(1,(DESC_PROV[LINEA]=$B$2)*(DESC_PROV[LISTA]=$C$2),DESC_PROV[DESCUENTO]))
   *(1+VLOOKUP($C$2,LISTAS[],2,FALSE))
   *(1+VLOOKUP($C$2,LISTAS[],3,FALSE))
)
/5,0)*5,0)</f>
        <v>100115</v>
      </c>
      <c r="P26" s="42" cm="1">
        <f t="array" ref="P26">IFERROR(
ROUND(
IF($A$2="COSTO",
   ((B26*(1+IFERROR(VLOOKUP($D$2,COLORES[],2,FALSE),0)))+G26)
   *(1-_xlfn.XLOOKUP(1,(DESC_PROV[LINEA]=$B$2)*(DESC_PROV[LISTA]=$C$2),DESC_PROV[DESCUENTO])),
   ((B26*(1+IFERROR(VLOOKUP($D$2,COLORES[],2,FALSE),0)))+G26)
   *(1-_xlfn.XLOOKUP(1,(DESC_PROV[LINEA]=$B$2)*(DESC_PROV[LISTA]=$C$2),DESC_PROV[DESCUENTO]))
   *(1+VLOOKUP($C$2,LISTAS[],2,FALSE))
   *(1+VLOOKUP($C$2,LISTAS[],3,FALSE))
)
/5,0)*5,0)</f>
        <v>72830</v>
      </c>
      <c r="Q26" s="43" cm="1">
        <f t="array" ref="Q26">IFERROR(
ROUND(
IF($A$2="COSTO",
   ((B26*(1+IFERROR(VLOOKUP($D$2,COLORES[],2,FALSE),0)))+H26)
   *(1-_xlfn.XLOOKUP(1,(DESC_PROV[LINEA]=$B$2)*(DESC_PROV[LISTA]=$C$2),DESC_PROV[DESCUENTO])),
   ((B26*(1+IFERROR(VLOOKUP($D$2,COLORES[],2,FALSE),0)))+H26)
   *(1-_xlfn.XLOOKUP(1,(DESC_PROV[LINEA]=$B$2)*(DESC_PROV[LISTA]=$C$2),DESC_PROV[DESCUENTO]))
   *(1+VLOOKUP($C$2,LISTAS[],2,FALSE))
   *(1+VLOOKUP($C$2,LISTAS[],3,FALSE))
)
/5,0)*5,0)</f>
        <v>121590</v>
      </c>
    </row>
    <row r="27" spans="1:17">
      <c r="A27" s="47" t="s">
        <v>162</v>
      </c>
      <c r="B27" s="42">
        <v>47172</v>
      </c>
      <c r="C27" s="42">
        <v>11548</v>
      </c>
      <c r="D27" s="42">
        <v>13946</v>
      </c>
      <c r="E27" s="42">
        <v>18525</v>
      </c>
      <c r="F27" s="42">
        <v>40155</v>
      </c>
      <c r="G27" s="42">
        <v>15349</v>
      </c>
      <c r="H27" s="42">
        <v>59578</v>
      </c>
      <c r="I27" s="2"/>
      <c r="J27" s="2"/>
      <c r="K27" s="47" t="s">
        <v>162</v>
      </c>
      <c r="L27" s="42" cm="1">
        <f t="array" ref="L27">IFERROR(
ROUND(
IF($A$2="COSTO",
   ((B27*(1+IFERROR(VLOOKUP($D$2,COLORES[],2,FALSE),0)))+C27)
   *(1-_xlfn.XLOOKUP(1,(DESC_PROV[LINEA]=$B$2)*(DESC_PROV[LISTA]=$C$2),DESC_PROV[DESCUENTO])),
   ((B27*(1+IFERROR(VLOOKUP($D$2,COLORES[],2,FALSE),0)))+C27)
   *(1-_xlfn.XLOOKUP(1,(DESC_PROV[LINEA]=$B$2)*(DESC_PROV[LISTA]=$C$2),DESC_PROV[DESCUENTO]))
   *(1+VLOOKUP($C$2,LISTAS[],2,FALSE))
   *(1+VLOOKUP($C$2,LISTAS[],3,FALSE))
)
/5,0)*5,0)</f>
        <v>72825</v>
      </c>
      <c r="M27" s="42" cm="1">
        <f t="array" ref="M27">IFERROR(
ROUND(
IF($A$2="COSTO",
   ((B27*(1+IFERROR(VLOOKUP($D$2,COLORES[],2,FALSE),0)))+D27)
   *(1-_xlfn.XLOOKUP(1,(DESC_PROV[LINEA]=$B$2)*(DESC_PROV[LISTA]=$C$2),DESC_PROV[DESCUENTO])),
   ((B27*(1+IFERROR(VLOOKUP($D$2,COLORES[],2,FALSE),0)))+D27)
   *(1-_xlfn.XLOOKUP(1,(DESC_PROV[LINEA]=$B$2)*(DESC_PROV[LISTA]=$C$2),DESC_PROV[DESCUENTO]))
   *(1+VLOOKUP($C$2,LISTAS[],2,FALSE))
   *(1+VLOOKUP($C$2,LISTAS[],3,FALSE))
)
/5,0)*5,0)</f>
        <v>75800</v>
      </c>
      <c r="N27" s="42" cm="1">
        <f t="array" ref="N27">IFERROR(
ROUND(
IF($A$2="COSTO",
   ((B27*(1+IFERROR(VLOOKUP($D$2,COLORES[],2,FALSE),0)))+E27)
   *(1-_xlfn.XLOOKUP(1,(DESC_PROV[LINEA]=$B$2)*(DESC_PROV[LISTA]=$C$2),DESC_PROV[DESCUENTO])),
   ((B27*(1+IFERROR(VLOOKUP($D$2,COLORES[],2,FALSE),0)))+E27)
   *(1-_xlfn.XLOOKUP(1,(DESC_PROV[LINEA]=$B$2)*(DESC_PROV[LISTA]=$C$2),DESC_PROV[DESCUENTO]))
   *(1+VLOOKUP($C$2,LISTAS[],2,FALSE))
   *(1+VLOOKUP($C$2,LISTAS[],3,FALSE))
)
/5,0)*5,0)</f>
        <v>81475</v>
      </c>
      <c r="O27" s="42" cm="1">
        <f t="array" ref="O27">IFERROR(
ROUND(
IF($A$2="COSTO",
   ((B27*(1+IFERROR(VLOOKUP($D$2,COLORES[],2,FALSE),0)))+F27)
   *(1-_xlfn.XLOOKUP(1,(DESC_PROV[LINEA]=$B$2)*(DESC_PROV[LISTA]=$C$2),DESC_PROV[DESCUENTO])),
   ((B27*(1+IFERROR(VLOOKUP($D$2,COLORES[],2,FALSE),0)))+F27)
   *(1-_xlfn.XLOOKUP(1,(DESC_PROV[LINEA]=$B$2)*(DESC_PROV[LISTA]=$C$2),DESC_PROV[DESCUENTO]))
   *(1+VLOOKUP($C$2,LISTAS[],2,FALSE))
   *(1+VLOOKUP($C$2,LISTAS[],3,FALSE))
)
/5,0)*5,0)</f>
        <v>108305</v>
      </c>
      <c r="P27" s="42" cm="1">
        <f t="array" ref="P27">IFERROR(
ROUND(
IF($A$2="COSTO",
   ((B27*(1+IFERROR(VLOOKUP($D$2,COLORES[],2,FALSE),0)))+G27)
   *(1-_xlfn.XLOOKUP(1,(DESC_PROV[LINEA]=$B$2)*(DESC_PROV[LISTA]=$C$2),DESC_PROV[DESCUENTO])),
   ((B27*(1+IFERROR(VLOOKUP($D$2,COLORES[],2,FALSE),0)))+G27)
   *(1-_xlfn.XLOOKUP(1,(DESC_PROV[LINEA]=$B$2)*(DESC_PROV[LISTA]=$C$2),DESC_PROV[DESCUENTO]))
   *(1+VLOOKUP($C$2,LISTAS[],2,FALSE))
   *(1+VLOOKUP($C$2,LISTAS[],3,FALSE))
)
/5,0)*5,0)</f>
        <v>77540</v>
      </c>
      <c r="Q27" s="43" cm="1">
        <f t="array" ref="Q27">IFERROR(
ROUND(
IF($A$2="COSTO",
   ((B27*(1+IFERROR(VLOOKUP($D$2,COLORES[],2,FALSE),0)))+H27)
   *(1-_xlfn.XLOOKUP(1,(DESC_PROV[LINEA]=$B$2)*(DESC_PROV[LISTA]=$C$2),DESC_PROV[DESCUENTO])),
   ((B27*(1+IFERROR(VLOOKUP($D$2,COLORES[],2,FALSE),0)))+H27)
   *(1-_xlfn.XLOOKUP(1,(DESC_PROV[LINEA]=$B$2)*(DESC_PROV[LISTA]=$C$2),DESC_PROV[DESCUENTO]))
   *(1+VLOOKUP($C$2,LISTAS[],2,FALSE))
   *(1+VLOOKUP($C$2,LISTAS[],3,FALSE))
)
/5,0)*5,0)</f>
        <v>132390</v>
      </c>
    </row>
    <row r="28" spans="1:17">
      <c r="A28" s="47" t="s">
        <v>163</v>
      </c>
      <c r="B28" s="42">
        <v>36700</v>
      </c>
      <c r="C28" s="42">
        <v>4616</v>
      </c>
      <c r="D28" s="42">
        <v>5593</v>
      </c>
      <c r="E28" s="42">
        <v>7376</v>
      </c>
      <c r="F28" s="42">
        <v>15955</v>
      </c>
      <c r="G28" s="42">
        <v>6172</v>
      </c>
      <c r="H28" s="42">
        <v>23881</v>
      </c>
      <c r="I28" s="2"/>
      <c r="J28" s="2"/>
      <c r="K28" s="47" t="s">
        <v>163</v>
      </c>
      <c r="L28" s="42" cm="1">
        <f t="array" ref="L28">IFERROR(
ROUND(
IF($A$2="COSTO",
   ((B28*(1+IFERROR(VLOOKUP($D$2,COLORES[],2,FALSE),0)))+C28)
   *(1-_xlfn.XLOOKUP(1,(DESC_PROV[LINEA]=$B$2)*(DESC_PROV[LISTA]=$C$2),DESC_PROV[DESCUENTO])),
   ((B28*(1+IFERROR(VLOOKUP($D$2,COLORES[],2,FALSE),0)))+C28)
   *(1-_xlfn.XLOOKUP(1,(DESC_PROV[LINEA]=$B$2)*(DESC_PROV[LISTA]=$C$2),DESC_PROV[DESCUENTO]))
   *(1+VLOOKUP($C$2,LISTAS[],2,FALSE))
   *(1+VLOOKUP($C$2,LISTAS[],3,FALSE))
)
/5,0)*5,0)</f>
        <v>51240</v>
      </c>
      <c r="M28" s="42" cm="1">
        <f t="array" ref="M28">IFERROR(
ROUND(
IF($A$2="COSTO",
   ((B28*(1+IFERROR(VLOOKUP($D$2,COLORES[],2,FALSE),0)))+D28)
   *(1-_xlfn.XLOOKUP(1,(DESC_PROV[LINEA]=$B$2)*(DESC_PROV[LISTA]=$C$2),DESC_PROV[DESCUENTO])),
   ((B28*(1+IFERROR(VLOOKUP($D$2,COLORES[],2,FALSE),0)))+D28)
   *(1-_xlfn.XLOOKUP(1,(DESC_PROV[LINEA]=$B$2)*(DESC_PROV[LISTA]=$C$2),DESC_PROV[DESCUENTO]))
   *(1+VLOOKUP($C$2,LISTAS[],2,FALSE))
   *(1+VLOOKUP($C$2,LISTAS[],3,FALSE))
)
/5,0)*5,0)</f>
        <v>52450</v>
      </c>
      <c r="N28" s="42" cm="1">
        <f t="array" ref="N28">IFERROR(
ROUND(
IF($A$2="COSTO",
   ((B28*(1+IFERROR(VLOOKUP($D$2,COLORES[],2,FALSE),0)))+E28)
   *(1-_xlfn.XLOOKUP(1,(DESC_PROV[LINEA]=$B$2)*(DESC_PROV[LISTA]=$C$2),DESC_PROV[DESCUENTO])),
   ((B28*(1+IFERROR(VLOOKUP($D$2,COLORES[],2,FALSE),0)))+E28)
   *(1-_xlfn.XLOOKUP(1,(DESC_PROV[LINEA]=$B$2)*(DESC_PROV[LISTA]=$C$2),DESC_PROV[DESCUENTO]))
   *(1+VLOOKUP($C$2,LISTAS[],2,FALSE))
   *(1+VLOOKUP($C$2,LISTAS[],3,FALSE))
)
/5,0)*5,0)</f>
        <v>54665</v>
      </c>
      <c r="O28" s="42" cm="1">
        <f t="array" ref="O28">IFERROR(
ROUND(
IF($A$2="COSTO",
   ((B28*(1+IFERROR(VLOOKUP($D$2,COLORES[],2,FALSE),0)))+F28)
   *(1-_xlfn.XLOOKUP(1,(DESC_PROV[LINEA]=$B$2)*(DESC_PROV[LISTA]=$C$2),DESC_PROV[DESCUENTO])),
   ((B28*(1+IFERROR(VLOOKUP($D$2,COLORES[],2,FALSE),0)))+F28)
   *(1-_xlfn.XLOOKUP(1,(DESC_PROV[LINEA]=$B$2)*(DESC_PROV[LISTA]=$C$2),DESC_PROV[DESCUENTO]))
   *(1+VLOOKUP($C$2,LISTAS[],2,FALSE))
   *(1+VLOOKUP($C$2,LISTAS[],3,FALSE))
)
/5,0)*5,0)</f>
        <v>65305</v>
      </c>
      <c r="P28" s="42" cm="1">
        <f t="array" ref="P28">IFERROR(
ROUND(
IF($A$2="COSTO",
   ((B28*(1+IFERROR(VLOOKUP($D$2,COLORES[],2,FALSE),0)))+G28)
   *(1-_xlfn.XLOOKUP(1,(DESC_PROV[LINEA]=$B$2)*(DESC_PROV[LISTA]=$C$2),DESC_PROV[DESCUENTO])),
   ((B28*(1+IFERROR(VLOOKUP($D$2,COLORES[],2,FALSE),0)))+G28)
   *(1-_xlfn.XLOOKUP(1,(DESC_PROV[LINEA]=$B$2)*(DESC_PROV[LISTA]=$C$2),DESC_PROV[DESCUENTO]))
   *(1+VLOOKUP($C$2,LISTAS[],2,FALSE))
   *(1+VLOOKUP($C$2,LISTAS[],3,FALSE))
)
/5,0)*5,0)</f>
        <v>53170</v>
      </c>
      <c r="Q28" s="43" cm="1">
        <f t="array" ref="Q28">IFERROR(
ROUND(
IF($A$2="COSTO",
   ((B28*(1+IFERROR(VLOOKUP($D$2,COLORES[],2,FALSE),0)))+H28)
   *(1-_xlfn.XLOOKUP(1,(DESC_PROV[LINEA]=$B$2)*(DESC_PROV[LISTA]=$C$2),DESC_PROV[DESCUENTO])),
   ((B28*(1+IFERROR(VLOOKUP($D$2,COLORES[],2,FALSE),0)))+H28)
   *(1-_xlfn.XLOOKUP(1,(DESC_PROV[LINEA]=$B$2)*(DESC_PROV[LISTA]=$C$2),DESC_PROV[DESCUENTO]))
   *(1+VLOOKUP($C$2,LISTAS[],2,FALSE))
   *(1+VLOOKUP($C$2,LISTAS[],3,FALSE))
)
/5,0)*5,0)</f>
        <v>75135</v>
      </c>
    </row>
    <row r="29" spans="1:17">
      <c r="A29" s="47" t="s">
        <v>164</v>
      </c>
      <c r="B29" s="42">
        <v>38794</v>
      </c>
      <c r="C29" s="42">
        <v>6154</v>
      </c>
      <c r="D29" s="42">
        <v>7448</v>
      </c>
      <c r="E29" s="42">
        <v>9855</v>
      </c>
      <c r="F29" s="42">
        <v>21249</v>
      </c>
      <c r="G29" s="42">
        <v>8208</v>
      </c>
      <c r="H29" s="42">
        <v>31809</v>
      </c>
      <c r="I29" s="2"/>
      <c r="J29" s="2"/>
      <c r="K29" s="47" t="s">
        <v>164</v>
      </c>
      <c r="L29" s="42" cm="1">
        <f t="array" ref="L29">IFERROR(
ROUND(
IF($A$2="COSTO",
   ((B29*(1+IFERROR(VLOOKUP($D$2,COLORES[],2,FALSE),0)))+C29)
   *(1-_xlfn.XLOOKUP(1,(DESC_PROV[LINEA]=$B$2)*(DESC_PROV[LISTA]=$C$2),DESC_PROV[DESCUENTO])),
   ((B29*(1+IFERROR(VLOOKUP($D$2,COLORES[],2,FALSE),0)))+C29)
   *(1-_xlfn.XLOOKUP(1,(DESC_PROV[LINEA]=$B$2)*(DESC_PROV[LISTA]=$C$2),DESC_PROV[DESCUENTO]))
   *(1+VLOOKUP($C$2,LISTAS[],2,FALSE))
   *(1+VLOOKUP($C$2,LISTAS[],3,FALSE))
)
/5,0)*5,0)</f>
        <v>55745</v>
      </c>
      <c r="M29" s="42" cm="1">
        <f t="array" ref="M29">IFERROR(
ROUND(
IF($A$2="COSTO",
   ((B29*(1+IFERROR(VLOOKUP($D$2,COLORES[],2,FALSE),0)))+D29)
   *(1-_xlfn.XLOOKUP(1,(DESC_PROV[LINEA]=$B$2)*(DESC_PROV[LISTA]=$C$2),DESC_PROV[DESCUENTO])),
   ((B29*(1+IFERROR(VLOOKUP($D$2,COLORES[],2,FALSE),0)))+D29)
   *(1-_xlfn.XLOOKUP(1,(DESC_PROV[LINEA]=$B$2)*(DESC_PROV[LISTA]=$C$2),DESC_PROV[DESCUENTO]))
   *(1+VLOOKUP($C$2,LISTAS[],2,FALSE))
   *(1+VLOOKUP($C$2,LISTAS[],3,FALSE))
)
/5,0)*5,0)</f>
        <v>57350</v>
      </c>
      <c r="N29" s="42" cm="1">
        <f t="array" ref="N29">IFERROR(
ROUND(
IF($A$2="COSTO",
   ((B29*(1+IFERROR(VLOOKUP($D$2,COLORES[],2,FALSE),0)))+E29)
   *(1-_xlfn.XLOOKUP(1,(DESC_PROV[LINEA]=$B$2)*(DESC_PROV[LISTA]=$C$2),DESC_PROV[DESCUENTO])),
   ((B29*(1+IFERROR(VLOOKUP($D$2,COLORES[],2,FALSE),0)))+E29)
   *(1-_xlfn.XLOOKUP(1,(DESC_PROV[LINEA]=$B$2)*(DESC_PROV[LISTA]=$C$2),DESC_PROV[DESCUENTO]))
   *(1+VLOOKUP($C$2,LISTAS[],2,FALSE))
   *(1+VLOOKUP($C$2,LISTAS[],3,FALSE))
)
/5,0)*5,0)</f>
        <v>60335</v>
      </c>
      <c r="O29" s="42" cm="1">
        <f t="array" ref="O29">IFERROR(
ROUND(
IF($A$2="COSTO",
   ((B29*(1+IFERROR(VLOOKUP($D$2,COLORES[],2,FALSE),0)))+F29)
   *(1-_xlfn.XLOOKUP(1,(DESC_PROV[LINEA]=$B$2)*(DESC_PROV[LISTA]=$C$2),DESC_PROV[DESCUENTO])),
   ((B29*(1+IFERROR(VLOOKUP($D$2,COLORES[],2,FALSE),0)))+F29)
   *(1-_xlfn.XLOOKUP(1,(DESC_PROV[LINEA]=$B$2)*(DESC_PROV[LISTA]=$C$2),DESC_PROV[DESCUENTO]))
   *(1+VLOOKUP($C$2,LISTAS[],2,FALSE))
   *(1+VLOOKUP($C$2,LISTAS[],3,FALSE))
)
/5,0)*5,0)</f>
        <v>74465</v>
      </c>
      <c r="P29" s="42" cm="1">
        <f t="array" ref="P29">IFERROR(
ROUND(
IF($A$2="COSTO",
   ((B29*(1+IFERROR(VLOOKUP($D$2,COLORES[],2,FALSE),0)))+G29)
   *(1-_xlfn.XLOOKUP(1,(DESC_PROV[LINEA]=$B$2)*(DESC_PROV[LISTA]=$C$2),DESC_PROV[DESCUENTO])),
   ((B29*(1+IFERROR(VLOOKUP($D$2,COLORES[],2,FALSE),0)))+G29)
   *(1-_xlfn.XLOOKUP(1,(DESC_PROV[LINEA]=$B$2)*(DESC_PROV[LISTA]=$C$2),DESC_PROV[DESCUENTO]))
   *(1+VLOOKUP($C$2,LISTAS[],2,FALSE))
   *(1+VLOOKUP($C$2,LISTAS[],3,FALSE))
)
/5,0)*5,0)</f>
        <v>58290</v>
      </c>
      <c r="Q29" s="43" cm="1">
        <f t="array" ref="Q29">IFERROR(
ROUND(
IF($A$2="COSTO",
   ((B29*(1+IFERROR(VLOOKUP($D$2,COLORES[],2,FALSE),0)))+H29)
   *(1-_xlfn.XLOOKUP(1,(DESC_PROV[LINEA]=$B$2)*(DESC_PROV[LISTA]=$C$2),DESC_PROV[DESCUENTO])),
   ((B29*(1+IFERROR(VLOOKUP($D$2,COLORES[],2,FALSE),0)))+H29)
   *(1-_xlfn.XLOOKUP(1,(DESC_PROV[LINEA]=$B$2)*(DESC_PROV[LISTA]=$C$2),DESC_PROV[DESCUENTO]))
   *(1+VLOOKUP($C$2,LISTAS[],2,FALSE))
   *(1+VLOOKUP($C$2,LISTAS[],3,FALSE))
)
/5,0)*5,0)</f>
        <v>87560</v>
      </c>
    </row>
    <row r="30" spans="1:17">
      <c r="A30" s="47" t="s">
        <v>165</v>
      </c>
      <c r="B30" s="42">
        <v>40888</v>
      </c>
      <c r="C30" s="42">
        <v>7693</v>
      </c>
      <c r="D30" s="42">
        <v>9303</v>
      </c>
      <c r="E30" s="42">
        <v>12335</v>
      </c>
      <c r="F30" s="42">
        <v>26634</v>
      </c>
      <c r="G30" s="42">
        <v>10245</v>
      </c>
      <c r="H30" s="42">
        <v>39737</v>
      </c>
      <c r="I30" s="2"/>
      <c r="J30" s="2"/>
      <c r="K30" s="47" t="s">
        <v>165</v>
      </c>
      <c r="L30" s="42" cm="1">
        <f t="array" ref="L30">IFERROR(
ROUND(
IF($A$2="COSTO",
   ((B30*(1+IFERROR(VLOOKUP($D$2,COLORES[],2,FALSE),0)))+C30)
   *(1-_xlfn.XLOOKUP(1,(DESC_PROV[LINEA]=$B$2)*(DESC_PROV[LISTA]=$C$2),DESC_PROV[DESCUENTO])),
   ((B30*(1+IFERROR(VLOOKUP($D$2,COLORES[],2,FALSE),0)))+C30)
   *(1-_xlfn.XLOOKUP(1,(DESC_PROV[LINEA]=$B$2)*(DESC_PROV[LISTA]=$C$2),DESC_PROV[DESCUENTO]))
   *(1+VLOOKUP($C$2,LISTAS[],2,FALSE))
   *(1+VLOOKUP($C$2,LISTAS[],3,FALSE))
)
/5,0)*5,0)</f>
        <v>60250</v>
      </c>
      <c r="M30" s="42" cm="1">
        <f t="array" ref="M30">IFERROR(
ROUND(
IF($A$2="COSTO",
   ((B30*(1+IFERROR(VLOOKUP($D$2,COLORES[],2,FALSE),0)))+D30)
   *(1-_xlfn.XLOOKUP(1,(DESC_PROV[LINEA]=$B$2)*(DESC_PROV[LISTA]=$C$2),DESC_PROV[DESCUENTO])),
   ((B30*(1+IFERROR(VLOOKUP($D$2,COLORES[],2,FALSE),0)))+D30)
   *(1-_xlfn.XLOOKUP(1,(DESC_PROV[LINEA]=$B$2)*(DESC_PROV[LISTA]=$C$2),DESC_PROV[DESCUENTO]))
   *(1+VLOOKUP($C$2,LISTAS[],2,FALSE))
   *(1+VLOOKUP($C$2,LISTAS[],3,FALSE))
)
/5,0)*5,0)</f>
        <v>62245</v>
      </c>
      <c r="N30" s="42" cm="1">
        <f t="array" ref="N30">IFERROR(
ROUND(
IF($A$2="COSTO",
   ((B30*(1+IFERROR(VLOOKUP($D$2,COLORES[],2,FALSE),0)))+E30)
   *(1-_xlfn.XLOOKUP(1,(DESC_PROV[LINEA]=$B$2)*(DESC_PROV[LISTA]=$C$2),DESC_PROV[DESCUENTO])),
   ((B30*(1+IFERROR(VLOOKUP($D$2,COLORES[],2,FALSE),0)))+E30)
   *(1-_xlfn.XLOOKUP(1,(DESC_PROV[LINEA]=$B$2)*(DESC_PROV[LISTA]=$C$2),DESC_PROV[DESCUENTO]))
   *(1+VLOOKUP($C$2,LISTAS[],2,FALSE))
   *(1+VLOOKUP($C$2,LISTAS[],3,FALSE))
)
/5,0)*5,0)</f>
        <v>66005</v>
      </c>
      <c r="O30" s="42" cm="1">
        <f t="array" ref="O30">IFERROR(
ROUND(
IF($A$2="COSTO",
   ((B30*(1+IFERROR(VLOOKUP($D$2,COLORES[],2,FALSE),0)))+F30)
   *(1-_xlfn.XLOOKUP(1,(DESC_PROV[LINEA]=$B$2)*(DESC_PROV[LISTA]=$C$2),DESC_PROV[DESCUENTO])),
   ((B30*(1+IFERROR(VLOOKUP($D$2,COLORES[],2,FALSE),0)))+F30)
   *(1-_xlfn.XLOOKUP(1,(DESC_PROV[LINEA]=$B$2)*(DESC_PROV[LISTA]=$C$2),DESC_PROV[DESCUENTO]))
   *(1+VLOOKUP($C$2,LISTAS[],2,FALSE))
   *(1+VLOOKUP($C$2,LISTAS[],3,FALSE))
)
/5,0)*5,0)</f>
        <v>83740</v>
      </c>
      <c r="P30" s="42" cm="1">
        <f t="array" ref="P30">IFERROR(
ROUND(
IF($A$2="COSTO",
   ((B30*(1+IFERROR(VLOOKUP($D$2,COLORES[],2,FALSE),0)))+G30)
   *(1-_xlfn.XLOOKUP(1,(DESC_PROV[LINEA]=$B$2)*(DESC_PROV[LISTA]=$C$2),DESC_PROV[DESCUENTO])),
   ((B30*(1+IFERROR(VLOOKUP($D$2,COLORES[],2,FALSE),0)))+G30)
   *(1-_xlfn.XLOOKUP(1,(DESC_PROV[LINEA]=$B$2)*(DESC_PROV[LISTA]=$C$2),DESC_PROV[DESCUENTO]))
   *(1+VLOOKUP($C$2,LISTAS[],2,FALSE))
   *(1+VLOOKUP($C$2,LISTAS[],3,FALSE))
)
/5,0)*5,0)</f>
        <v>63415</v>
      </c>
      <c r="Q30" s="43" cm="1">
        <f t="array" ref="Q30">IFERROR(
ROUND(
IF($A$2="COSTO",
   ((B30*(1+IFERROR(VLOOKUP($D$2,COLORES[],2,FALSE),0)))+H30)
   *(1-_xlfn.XLOOKUP(1,(DESC_PROV[LINEA]=$B$2)*(DESC_PROV[LISTA]=$C$2),DESC_PROV[DESCUENTO])),
   ((B30*(1+IFERROR(VLOOKUP($D$2,COLORES[],2,FALSE),0)))+H30)
   *(1-_xlfn.XLOOKUP(1,(DESC_PROV[LINEA]=$B$2)*(DESC_PROV[LISTA]=$C$2),DESC_PROV[DESCUENTO]))
   *(1+VLOOKUP($C$2,LISTAS[],2,FALSE))
   *(1+VLOOKUP($C$2,LISTAS[],3,FALSE))
)
/5,0)*5,0)</f>
        <v>99990</v>
      </c>
    </row>
    <row r="31" spans="1:17">
      <c r="A31" s="47" t="s">
        <v>166</v>
      </c>
      <c r="B31" s="42">
        <v>42983</v>
      </c>
      <c r="C31" s="42">
        <v>9240</v>
      </c>
      <c r="D31" s="42">
        <v>11159</v>
      </c>
      <c r="E31" s="42">
        <v>14815</v>
      </c>
      <c r="F31" s="42">
        <v>32019</v>
      </c>
      <c r="G31" s="42">
        <v>12281</v>
      </c>
      <c r="H31" s="42">
        <v>47665</v>
      </c>
      <c r="I31" s="2"/>
      <c r="J31" s="2"/>
      <c r="K31" s="47" t="s">
        <v>166</v>
      </c>
      <c r="L31" s="42" cm="1">
        <f t="array" ref="L31">IFERROR(
ROUND(
IF($A$2="COSTO",
   ((B31*(1+IFERROR(VLOOKUP($D$2,COLORES[],2,FALSE),0)))+C31)
   *(1-_xlfn.XLOOKUP(1,(DESC_PROV[LINEA]=$B$2)*(DESC_PROV[LISTA]=$C$2),DESC_PROV[DESCUENTO])),
   ((B31*(1+IFERROR(VLOOKUP($D$2,COLORES[],2,FALSE),0)))+C31)
   *(1-_xlfn.XLOOKUP(1,(DESC_PROV[LINEA]=$B$2)*(DESC_PROV[LISTA]=$C$2),DESC_PROV[DESCUENTO]))
   *(1+VLOOKUP($C$2,LISTAS[],2,FALSE))
   *(1+VLOOKUP($C$2,LISTAS[],3,FALSE))
)
/5,0)*5,0)</f>
        <v>64765</v>
      </c>
      <c r="M31" s="42" cm="1">
        <f t="array" ref="M31">IFERROR(
ROUND(
IF($A$2="COSTO",
   ((B31*(1+IFERROR(VLOOKUP($D$2,COLORES[],2,FALSE),0)))+D31)
   *(1-_xlfn.XLOOKUP(1,(DESC_PROV[LINEA]=$B$2)*(DESC_PROV[LISTA]=$C$2),DESC_PROV[DESCUENTO])),
   ((B31*(1+IFERROR(VLOOKUP($D$2,COLORES[],2,FALSE),0)))+D31)
   *(1-_xlfn.XLOOKUP(1,(DESC_PROV[LINEA]=$B$2)*(DESC_PROV[LISTA]=$C$2),DESC_PROV[DESCUENTO]))
   *(1+VLOOKUP($C$2,LISTAS[],2,FALSE))
   *(1+VLOOKUP($C$2,LISTAS[],3,FALSE))
)
/5,0)*5,0)</f>
        <v>67145</v>
      </c>
      <c r="N31" s="42" cm="1">
        <f t="array" ref="N31">IFERROR(
ROUND(
IF($A$2="COSTO",
   ((B31*(1+IFERROR(VLOOKUP($D$2,COLORES[],2,FALSE),0)))+E31)
   *(1-_xlfn.XLOOKUP(1,(DESC_PROV[LINEA]=$B$2)*(DESC_PROV[LISTA]=$C$2),DESC_PROV[DESCUENTO])),
   ((B31*(1+IFERROR(VLOOKUP($D$2,COLORES[],2,FALSE),0)))+E31)
   *(1-_xlfn.XLOOKUP(1,(DESC_PROV[LINEA]=$B$2)*(DESC_PROV[LISTA]=$C$2),DESC_PROV[DESCUENTO]))
   *(1+VLOOKUP($C$2,LISTAS[],2,FALSE))
   *(1+VLOOKUP($C$2,LISTAS[],3,FALSE))
)
/5,0)*5,0)</f>
        <v>71680</v>
      </c>
      <c r="O31" s="42" cm="1">
        <f t="array" ref="O31">IFERROR(
ROUND(
IF($A$2="COSTO",
   ((B31*(1+IFERROR(VLOOKUP($D$2,COLORES[],2,FALSE),0)))+F31)
   *(1-_xlfn.XLOOKUP(1,(DESC_PROV[LINEA]=$B$2)*(DESC_PROV[LISTA]=$C$2),DESC_PROV[DESCUENTO])),
   ((B31*(1+IFERROR(VLOOKUP($D$2,COLORES[],2,FALSE),0)))+F31)
   *(1-_xlfn.XLOOKUP(1,(DESC_PROV[LINEA]=$B$2)*(DESC_PROV[LISTA]=$C$2),DESC_PROV[DESCUENTO]))
   *(1+VLOOKUP($C$2,LISTAS[],2,FALSE))
   *(1+VLOOKUP($C$2,LISTAS[],3,FALSE))
)
/5,0)*5,0)</f>
        <v>93015</v>
      </c>
      <c r="P31" s="42" cm="1">
        <f t="array" ref="P31">IFERROR(
ROUND(
IF($A$2="COSTO",
   ((B31*(1+IFERROR(VLOOKUP($D$2,COLORES[],2,FALSE),0)))+G31)
   *(1-_xlfn.XLOOKUP(1,(DESC_PROV[LINEA]=$B$2)*(DESC_PROV[LISTA]=$C$2),DESC_PROV[DESCUENTO])),
   ((B31*(1+IFERROR(VLOOKUP($D$2,COLORES[],2,FALSE),0)))+G31)
   *(1-_xlfn.XLOOKUP(1,(DESC_PROV[LINEA]=$B$2)*(DESC_PROV[LISTA]=$C$2),DESC_PROV[DESCUENTO]))
   *(1+VLOOKUP($C$2,LISTAS[],2,FALSE))
   *(1+VLOOKUP($C$2,LISTAS[],3,FALSE))
)
/5,0)*5,0)</f>
        <v>68540</v>
      </c>
      <c r="Q31" s="43" cm="1">
        <f t="array" ref="Q31">IFERROR(
ROUND(
IF($A$2="COSTO",
   ((B31*(1+IFERROR(VLOOKUP($D$2,COLORES[],2,FALSE),0)))+H31)
   *(1-_xlfn.XLOOKUP(1,(DESC_PROV[LINEA]=$B$2)*(DESC_PROV[LISTA]=$C$2),DESC_PROV[DESCUENTO])),
   ((B31*(1+IFERROR(VLOOKUP($D$2,COLORES[],2,FALSE),0)))+H31)
   *(1-_xlfn.XLOOKUP(1,(DESC_PROV[LINEA]=$B$2)*(DESC_PROV[LISTA]=$C$2),DESC_PROV[DESCUENTO]))
   *(1+VLOOKUP($C$2,LISTAS[],2,FALSE))
   *(1+VLOOKUP($C$2,LISTAS[],3,FALSE))
)
/5,0)*5,0)</f>
        <v>112420</v>
      </c>
    </row>
    <row r="32" spans="1:17">
      <c r="A32" s="47" t="s">
        <v>167</v>
      </c>
      <c r="B32" s="42">
        <v>45077</v>
      </c>
      <c r="C32" s="42">
        <v>10779</v>
      </c>
      <c r="D32" s="42">
        <v>13014</v>
      </c>
      <c r="E32" s="42">
        <v>17295</v>
      </c>
      <c r="F32" s="42">
        <v>37404</v>
      </c>
      <c r="G32" s="42">
        <v>14317</v>
      </c>
      <c r="H32" s="42">
        <v>55592</v>
      </c>
      <c r="I32" s="2"/>
      <c r="J32" s="2"/>
      <c r="K32" s="47" t="s">
        <v>167</v>
      </c>
      <c r="L32" s="42" cm="1">
        <f t="array" ref="L32">IFERROR(
ROUND(
IF($A$2="COSTO",
   ((B32*(1+IFERROR(VLOOKUP($D$2,COLORES[],2,FALSE),0)))+C32)
   *(1-_xlfn.XLOOKUP(1,(DESC_PROV[LINEA]=$B$2)*(DESC_PROV[LISTA]=$C$2),DESC_PROV[DESCUENTO])),
   ((B32*(1+IFERROR(VLOOKUP($D$2,COLORES[],2,FALSE),0)))+C32)
   *(1-_xlfn.XLOOKUP(1,(DESC_PROV[LINEA]=$B$2)*(DESC_PROV[LISTA]=$C$2),DESC_PROV[DESCUENTO]))
   *(1+VLOOKUP($C$2,LISTAS[],2,FALSE))
   *(1+VLOOKUP($C$2,LISTAS[],3,FALSE))
)
/5,0)*5,0)</f>
        <v>69275</v>
      </c>
      <c r="M32" s="42" cm="1">
        <f t="array" ref="M32">IFERROR(
ROUND(
IF($A$2="COSTO",
   ((B32*(1+IFERROR(VLOOKUP($D$2,COLORES[],2,FALSE),0)))+D32)
   *(1-_xlfn.XLOOKUP(1,(DESC_PROV[LINEA]=$B$2)*(DESC_PROV[LISTA]=$C$2),DESC_PROV[DESCUENTO])),
   ((B32*(1+IFERROR(VLOOKUP($D$2,COLORES[],2,FALSE),0)))+D32)
   *(1-_xlfn.XLOOKUP(1,(DESC_PROV[LINEA]=$B$2)*(DESC_PROV[LISTA]=$C$2),DESC_PROV[DESCUENTO]))
   *(1+VLOOKUP($C$2,LISTAS[],2,FALSE))
   *(1+VLOOKUP($C$2,LISTAS[],3,FALSE))
)
/5,0)*5,0)</f>
        <v>72045</v>
      </c>
      <c r="N32" s="42" cm="1">
        <f t="array" ref="N32">IFERROR(
ROUND(
IF($A$2="COSTO",
   ((B32*(1+IFERROR(VLOOKUP($D$2,COLORES[],2,FALSE),0)))+E32)
   *(1-_xlfn.XLOOKUP(1,(DESC_PROV[LINEA]=$B$2)*(DESC_PROV[LISTA]=$C$2),DESC_PROV[DESCUENTO])),
   ((B32*(1+IFERROR(VLOOKUP($D$2,COLORES[],2,FALSE),0)))+E32)
   *(1-_xlfn.XLOOKUP(1,(DESC_PROV[LINEA]=$B$2)*(DESC_PROV[LISTA]=$C$2),DESC_PROV[DESCUENTO]))
   *(1+VLOOKUP($C$2,LISTAS[],2,FALSE))
   *(1+VLOOKUP($C$2,LISTAS[],3,FALSE))
)
/5,0)*5,0)</f>
        <v>77355</v>
      </c>
      <c r="O32" s="42" cm="1">
        <f t="array" ref="O32">IFERROR(
ROUND(
IF($A$2="COSTO",
   ((B32*(1+IFERROR(VLOOKUP($D$2,COLORES[],2,FALSE),0)))+F32)
   *(1-_xlfn.XLOOKUP(1,(DESC_PROV[LINEA]=$B$2)*(DESC_PROV[LISTA]=$C$2),DESC_PROV[DESCUENTO])),
   ((B32*(1+IFERROR(VLOOKUP($D$2,COLORES[],2,FALSE),0)))+F32)
   *(1-_xlfn.XLOOKUP(1,(DESC_PROV[LINEA]=$B$2)*(DESC_PROV[LISTA]=$C$2),DESC_PROV[DESCUENTO]))
   *(1+VLOOKUP($C$2,LISTAS[],2,FALSE))
   *(1+VLOOKUP($C$2,LISTAS[],3,FALSE))
)
/5,0)*5,0)</f>
        <v>102295</v>
      </c>
      <c r="P32" s="42" cm="1">
        <f t="array" ref="P32">IFERROR(
ROUND(
IF($A$2="COSTO",
   ((B32*(1+IFERROR(VLOOKUP($D$2,COLORES[],2,FALSE),0)))+G32)
   *(1-_xlfn.XLOOKUP(1,(DESC_PROV[LINEA]=$B$2)*(DESC_PROV[LISTA]=$C$2),DESC_PROV[DESCUENTO])),
   ((B32*(1+IFERROR(VLOOKUP($D$2,COLORES[],2,FALSE),0)))+G32)
   *(1-_xlfn.XLOOKUP(1,(DESC_PROV[LINEA]=$B$2)*(DESC_PROV[LISTA]=$C$2),DESC_PROV[DESCUENTO]))
   *(1+VLOOKUP($C$2,LISTAS[],2,FALSE))
   *(1+VLOOKUP($C$2,LISTAS[],3,FALSE))
)
/5,0)*5,0)</f>
        <v>73660</v>
      </c>
      <c r="Q32" s="43" cm="1">
        <f t="array" ref="Q32">IFERROR(
ROUND(
IF($A$2="COSTO",
   ((B32*(1+IFERROR(VLOOKUP($D$2,COLORES[],2,FALSE),0)))+H32)
   *(1-_xlfn.XLOOKUP(1,(DESC_PROV[LINEA]=$B$2)*(DESC_PROV[LISTA]=$C$2),DESC_PROV[DESCUENTO])),
   ((B32*(1+IFERROR(VLOOKUP($D$2,COLORES[],2,FALSE),0)))+H32)
   *(1-_xlfn.XLOOKUP(1,(DESC_PROV[LINEA]=$B$2)*(DESC_PROV[LISTA]=$C$2),DESC_PROV[DESCUENTO]))
   *(1+VLOOKUP($C$2,LISTAS[],2,FALSE))
   *(1+VLOOKUP($C$2,LISTAS[],3,FALSE))
)
/5,0)*5,0)</f>
        <v>124850</v>
      </c>
    </row>
    <row r="33" spans="1:17">
      <c r="A33" s="47" t="s">
        <v>168</v>
      </c>
      <c r="B33" s="42">
        <v>47172</v>
      </c>
      <c r="C33" s="42">
        <v>12317</v>
      </c>
      <c r="D33" s="42">
        <v>14869</v>
      </c>
      <c r="E33" s="42">
        <v>19774</v>
      </c>
      <c r="F33" s="42">
        <v>42788</v>
      </c>
      <c r="G33" s="42">
        <v>16353</v>
      </c>
      <c r="H33" s="42">
        <v>63520</v>
      </c>
      <c r="I33" s="2"/>
      <c r="J33" s="2"/>
      <c r="K33" s="47" t="s">
        <v>168</v>
      </c>
      <c r="L33" s="42" cm="1">
        <f t="array" ref="L33">IFERROR(
ROUND(
IF($A$2="COSTO",
   ((B33*(1+IFERROR(VLOOKUP($D$2,COLORES[],2,FALSE),0)))+C33)
   *(1-_xlfn.XLOOKUP(1,(DESC_PROV[LINEA]=$B$2)*(DESC_PROV[LISTA]=$C$2),DESC_PROV[DESCUENTO])),
   ((B33*(1+IFERROR(VLOOKUP($D$2,COLORES[],2,FALSE),0)))+C33)
   *(1-_xlfn.XLOOKUP(1,(DESC_PROV[LINEA]=$B$2)*(DESC_PROV[LISTA]=$C$2),DESC_PROV[DESCUENTO]))
   *(1+VLOOKUP($C$2,LISTAS[],2,FALSE))
   *(1+VLOOKUP($C$2,LISTAS[],3,FALSE))
)
/5,0)*5,0)</f>
        <v>73780</v>
      </c>
      <c r="M33" s="42" cm="1">
        <f t="array" ref="M33">IFERROR(
ROUND(
IF($A$2="COSTO",
   ((B33*(1+IFERROR(VLOOKUP($D$2,COLORES[],2,FALSE),0)))+D33)
   *(1-_xlfn.XLOOKUP(1,(DESC_PROV[LINEA]=$B$2)*(DESC_PROV[LISTA]=$C$2),DESC_PROV[DESCUENTO])),
   ((B33*(1+IFERROR(VLOOKUP($D$2,COLORES[],2,FALSE),0)))+D33)
   *(1-_xlfn.XLOOKUP(1,(DESC_PROV[LINEA]=$B$2)*(DESC_PROV[LISTA]=$C$2),DESC_PROV[DESCUENTO]))
   *(1+VLOOKUP($C$2,LISTAS[],2,FALSE))
   *(1+VLOOKUP($C$2,LISTAS[],3,FALSE))
)
/5,0)*5,0)</f>
        <v>76945</v>
      </c>
      <c r="N33" s="42" cm="1">
        <f t="array" ref="N33">IFERROR(
ROUND(
IF($A$2="COSTO",
   ((B33*(1+IFERROR(VLOOKUP($D$2,COLORES[],2,FALSE),0)))+E33)
   *(1-_xlfn.XLOOKUP(1,(DESC_PROV[LINEA]=$B$2)*(DESC_PROV[LISTA]=$C$2),DESC_PROV[DESCUENTO])),
   ((B33*(1+IFERROR(VLOOKUP($D$2,COLORES[],2,FALSE),0)))+E33)
   *(1-_xlfn.XLOOKUP(1,(DESC_PROV[LINEA]=$B$2)*(DESC_PROV[LISTA]=$C$2),DESC_PROV[DESCUENTO]))
   *(1+VLOOKUP($C$2,LISTAS[],2,FALSE))
   *(1+VLOOKUP($C$2,LISTAS[],3,FALSE))
)
/5,0)*5,0)</f>
        <v>83025</v>
      </c>
      <c r="O33" s="42" cm="1">
        <f t="array" ref="O33">IFERROR(
ROUND(
IF($A$2="COSTO",
   ((B33*(1+IFERROR(VLOOKUP($D$2,COLORES[],2,FALSE),0)))+F33)
   *(1-_xlfn.XLOOKUP(1,(DESC_PROV[LINEA]=$B$2)*(DESC_PROV[LISTA]=$C$2),DESC_PROV[DESCUENTO])),
   ((B33*(1+IFERROR(VLOOKUP($D$2,COLORES[],2,FALSE),0)))+F33)
   *(1-_xlfn.XLOOKUP(1,(DESC_PROV[LINEA]=$B$2)*(DESC_PROV[LISTA]=$C$2),DESC_PROV[DESCUENTO]))
   *(1+VLOOKUP($C$2,LISTAS[],2,FALSE))
   *(1+VLOOKUP($C$2,LISTAS[],3,FALSE))
)
/5,0)*5,0)</f>
        <v>111570</v>
      </c>
      <c r="P33" s="42" cm="1">
        <f t="array" ref="P33">IFERROR(
ROUND(
IF($A$2="COSTO",
   ((B33*(1+IFERROR(VLOOKUP($D$2,COLORES[],2,FALSE),0)))+G33)
   *(1-_xlfn.XLOOKUP(1,(DESC_PROV[LINEA]=$B$2)*(DESC_PROV[LISTA]=$C$2),DESC_PROV[DESCUENTO])),
   ((B33*(1+IFERROR(VLOOKUP($D$2,COLORES[],2,FALSE),0)))+G33)
   *(1-_xlfn.XLOOKUP(1,(DESC_PROV[LINEA]=$B$2)*(DESC_PROV[LISTA]=$C$2),DESC_PROV[DESCUENTO]))
   *(1+VLOOKUP($C$2,LISTAS[],2,FALSE))
   *(1+VLOOKUP($C$2,LISTAS[],3,FALSE))
)
/5,0)*5,0)</f>
        <v>78785</v>
      </c>
      <c r="Q33" s="43" cm="1">
        <f t="array" ref="Q33">IFERROR(
ROUND(
IF($A$2="COSTO",
   ((B33*(1+IFERROR(VLOOKUP($D$2,COLORES[],2,FALSE),0)))+H33)
   *(1-_xlfn.XLOOKUP(1,(DESC_PROV[LINEA]=$B$2)*(DESC_PROV[LISTA]=$C$2),DESC_PROV[DESCUENTO])),
   ((B33*(1+IFERROR(VLOOKUP($D$2,COLORES[],2,FALSE),0)))+H33)
   *(1-_xlfn.XLOOKUP(1,(DESC_PROV[LINEA]=$B$2)*(DESC_PROV[LISTA]=$C$2),DESC_PROV[DESCUENTO]))
   *(1+VLOOKUP($C$2,LISTAS[],2,FALSE))
   *(1+VLOOKUP($C$2,LISTAS[],3,FALSE))
)
/5,0)*5,0)</f>
        <v>137280</v>
      </c>
    </row>
    <row r="34" spans="1:17">
      <c r="A34" s="47" t="s">
        <v>169</v>
      </c>
      <c r="B34" s="42">
        <v>49266</v>
      </c>
      <c r="C34" s="42">
        <v>13856</v>
      </c>
      <c r="D34" s="42">
        <v>16724</v>
      </c>
      <c r="E34" s="42">
        <v>22254</v>
      </c>
      <c r="F34" s="42">
        <v>48173</v>
      </c>
      <c r="G34" s="42">
        <v>18390</v>
      </c>
      <c r="H34" s="42">
        <v>71448</v>
      </c>
      <c r="I34" s="2"/>
      <c r="J34" s="2"/>
      <c r="K34" s="47" t="s">
        <v>169</v>
      </c>
      <c r="L34" s="42" cm="1">
        <f t="array" ref="L34">IFERROR(
ROUND(
IF($A$2="COSTO",
   ((B34*(1+IFERROR(VLOOKUP($D$2,COLORES[],2,FALSE),0)))+C34)
   *(1-_xlfn.XLOOKUP(1,(DESC_PROV[LINEA]=$B$2)*(DESC_PROV[LISTA]=$C$2),DESC_PROV[DESCUENTO])),
   ((B34*(1+IFERROR(VLOOKUP($D$2,COLORES[],2,FALSE),0)))+C34)
   *(1-_xlfn.XLOOKUP(1,(DESC_PROV[LINEA]=$B$2)*(DESC_PROV[LISTA]=$C$2),DESC_PROV[DESCUENTO]))
   *(1+VLOOKUP($C$2,LISTAS[],2,FALSE))
   *(1+VLOOKUP($C$2,LISTAS[],3,FALSE))
)
/5,0)*5,0)</f>
        <v>78285</v>
      </c>
      <c r="M34" s="42" cm="1">
        <f t="array" ref="M34">IFERROR(
ROUND(
IF($A$2="COSTO",
   ((B34*(1+IFERROR(VLOOKUP($D$2,COLORES[],2,FALSE),0)))+D34)
   *(1-_xlfn.XLOOKUP(1,(DESC_PROV[LINEA]=$B$2)*(DESC_PROV[LISTA]=$C$2),DESC_PROV[DESCUENTO])),
   ((B34*(1+IFERROR(VLOOKUP($D$2,COLORES[],2,FALSE),0)))+D34)
   *(1-_xlfn.XLOOKUP(1,(DESC_PROV[LINEA]=$B$2)*(DESC_PROV[LISTA]=$C$2),DESC_PROV[DESCUENTO]))
   *(1+VLOOKUP($C$2,LISTAS[],2,FALSE))
   *(1+VLOOKUP($C$2,LISTAS[],3,FALSE))
)
/5,0)*5,0)</f>
        <v>81840</v>
      </c>
      <c r="N34" s="42" cm="1">
        <f t="array" ref="N34">IFERROR(
ROUND(
IF($A$2="COSTO",
   ((B34*(1+IFERROR(VLOOKUP($D$2,COLORES[],2,FALSE),0)))+E34)
   *(1-_xlfn.XLOOKUP(1,(DESC_PROV[LINEA]=$B$2)*(DESC_PROV[LISTA]=$C$2),DESC_PROV[DESCUENTO])),
   ((B34*(1+IFERROR(VLOOKUP($D$2,COLORES[],2,FALSE),0)))+E34)
   *(1-_xlfn.XLOOKUP(1,(DESC_PROV[LINEA]=$B$2)*(DESC_PROV[LISTA]=$C$2),DESC_PROV[DESCUENTO]))
   *(1+VLOOKUP($C$2,LISTAS[],2,FALSE))
   *(1+VLOOKUP($C$2,LISTAS[],3,FALSE))
)
/5,0)*5,0)</f>
        <v>88700</v>
      </c>
      <c r="O34" s="42" cm="1">
        <f t="array" ref="O34">IFERROR(
ROUND(
IF($A$2="COSTO",
   ((B34*(1+IFERROR(VLOOKUP($D$2,COLORES[],2,FALSE),0)))+F34)
   *(1-_xlfn.XLOOKUP(1,(DESC_PROV[LINEA]=$B$2)*(DESC_PROV[LISTA]=$C$2),DESC_PROV[DESCUENTO])),
   ((B34*(1+IFERROR(VLOOKUP($D$2,COLORES[],2,FALSE),0)))+F34)
   *(1-_xlfn.XLOOKUP(1,(DESC_PROV[LINEA]=$B$2)*(DESC_PROV[LISTA]=$C$2),DESC_PROV[DESCUENTO]))
   *(1+VLOOKUP($C$2,LISTAS[],2,FALSE))
   *(1+VLOOKUP($C$2,LISTAS[],3,FALSE))
)
/5,0)*5,0)</f>
        <v>120845</v>
      </c>
      <c r="P34" s="42" cm="1">
        <f t="array" ref="P34">IFERROR(
ROUND(
IF($A$2="COSTO",
   ((B34*(1+IFERROR(VLOOKUP($D$2,COLORES[],2,FALSE),0)))+G34)
   *(1-_xlfn.XLOOKUP(1,(DESC_PROV[LINEA]=$B$2)*(DESC_PROV[LISTA]=$C$2),DESC_PROV[DESCUENTO])),
   ((B34*(1+IFERROR(VLOOKUP($D$2,COLORES[],2,FALSE),0)))+G34)
   *(1-_xlfn.XLOOKUP(1,(DESC_PROV[LINEA]=$B$2)*(DESC_PROV[LISTA]=$C$2),DESC_PROV[DESCUENTO]))
   *(1+VLOOKUP($C$2,LISTAS[],2,FALSE))
   *(1+VLOOKUP($C$2,LISTAS[],3,FALSE))
)
/5,0)*5,0)</f>
        <v>83905</v>
      </c>
      <c r="Q34" s="43" cm="1">
        <f t="array" ref="Q34">IFERROR(
ROUND(
IF($A$2="COSTO",
   ((B34*(1+IFERROR(VLOOKUP($D$2,COLORES[],2,FALSE),0)))+H34)
   *(1-_xlfn.XLOOKUP(1,(DESC_PROV[LINEA]=$B$2)*(DESC_PROV[LISTA]=$C$2),DESC_PROV[DESCUENTO])),
   ((B34*(1+IFERROR(VLOOKUP($D$2,COLORES[],2,FALSE),0)))+H34)
   *(1-_xlfn.XLOOKUP(1,(DESC_PROV[LINEA]=$B$2)*(DESC_PROV[LISTA]=$C$2),DESC_PROV[DESCUENTO]))
   *(1+VLOOKUP($C$2,LISTAS[],2,FALSE))
   *(1+VLOOKUP($C$2,LISTAS[],3,FALSE))
)
/5,0)*5,0)</f>
        <v>149710</v>
      </c>
    </row>
    <row r="35" spans="1:17">
      <c r="A35" s="47" t="s">
        <v>170</v>
      </c>
      <c r="B35" s="42">
        <v>38794</v>
      </c>
      <c r="C35" s="42">
        <v>5385</v>
      </c>
      <c r="D35" s="42">
        <v>6525</v>
      </c>
      <c r="E35" s="42">
        <v>8607</v>
      </c>
      <c r="F35" s="42">
        <v>18616</v>
      </c>
      <c r="G35" s="42">
        <v>7204</v>
      </c>
      <c r="H35" s="42">
        <v>27867</v>
      </c>
      <c r="I35" s="2"/>
      <c r="J35" s="2"/>
      <c r="K35" s="47" t="s">
        <v>170</v>
      </c>
      <c r="L35" s="42" cm="1">
        <f t="array" ref="L35">IFERROR(
ROUND(
IF($A$2="COSTO",
   ((B35*(1+IFERROR(VLOOKUP($D$2,COLORES[],2,FALSE),0)))+C35)
   *(1-_xlfn.XLOOKUP(1,(DESC_PROV[LINEA]=$B$2)*(DESC_PROV[LISTA]=$C$2),DESC_PROV[DESCUENTO])),
   ((B35*(1+IFERROR(VLOOKUP($D$2,COLORES[],2,FALSE),0)))+C35)
   *(1-_xlfn.XLOOKUP(1,(DESC_PROV[LINEA]=$B$2)*(DESC_PROV[LISTA]=$C$2),DESC_PROV[DESCUENTO]))
   *(1+VLOOKUP($C$2,LISTAS[],2,FALSE))
   *(1+VLOOKUP($C$2,LISTAS[],3,FALSE))
)
/5,0)*5,0)</f>
        <v>54790</v>
      </c>
      <c r="M35" s="42" cm="1">
        <f t="array" ref="M35">IFERROR(
ROUND(
IF($A$2="COSTO",
   ((B35*(1+IFERROR(VLOOKUP($D$2,COLORES[],2,FALSE),0)))+D35)
   *(1-_xlfn.XLOOKUP(1,(DESC_PROV[LINEA]=$B$2)*(DESC_PROV[LISTA]=$C$2),DESC_PROV[DESCUENTO])),
   ((B35*(1+IFERROR(VLOOKUP($D$2,COLORES[],2,FALSE),0)))+D35)
   *(1-_xlfn.XLOOKUP(1,(DESC_PROV[LINEA]=$B$2)*(DESC_PROV[LISTA]=$C$2),DESC_PROV[DESCUENTO]))
   *(1+VLOOKUP($C$2,LISTAS[],2,FALSE))
   *(1+VLOOKUP($C$2,LISTAS[],3,FALSE))
)
/5,0)*5,0)</f>
        <v>56205</v>
      </c>
      <c r="N35" s="42" cm="1">
        <f t="array" ref="N35">IFERROR(
ROUND(
IF($A$2="COSTO",
   ((B35*(1+IFERROR(VLOOKUP($D$2,COLORES[],2,FALSE),0)))+E35)
   *(1-_xlfn.XLOOKUP(1,(DESC_PROV[LINEA]=$B$2)*(DESC_PROV[LISTA]=$C$2),DESC_PROV[DESCUENTO])),
   ((B35*(1+IFERROR(VLOOKUP($D$2,COLORES[],2,FALSE),0)))+E35)
   *(1-_xlfn.XLOOKUP(1,(DESC_PROV[LINEA]=$B$2)*(DESC_PROV[LISTA]=$C$2),DESC_PROV[DESCUENTO]))
   *(1+VLOOKUP($C$2,LISTAS[],2,FALSE))
   *(1+VLOOKUP($C$2,LISTAS[],3,FALSE))
)
/5,0)*5,0)</f>
        <v>58785</v>
      </c>
      <c r="O35" s="42" cm="1">
        <f t="array" ref="O35">IFERROR(
ROUND(
IF($A$2="COSTO",
   ((B35*(1+IFERROR(VLOOKUP($D$2,COLORES[],2,FALSE),0)))+F35)
   *(1-_xlfn.XLOOKUP(1,(DESC_PROV[LINEA]=$B$2)*(DESC_PROV[LISTA]=$C$2),DESC_PROV[DESCUENTO])),
   ((B35*(1+IFERROR(VLOOKUP($D$2,COLORES[],2,FALSE),0)))+F35)
   *(1-_xlfn.XLOOKUP(1,(DESC_PROV[LINEA]=$B$2)*(DESC_PROV[LISTA]=$C$2),DESC_PROV[DESCUENTO]))
   *(1+VLOOKUP($C$2,LISTAS[],2,FALSE))
   *(1+VLOOKUP($C$2,LISTAS[],3,FALSE))
)
/5,0)*5,0)</f>
        <v>71200</v>
      </c>
      <c r="P35" s="42" cm="1">
        <f t="array" ref="P35">IFERROR(
ROUND(
IF($A$2="COSTO",
   ((B35*(1+IFERROR(VLOOKUP($D$2,COLORES[],2,FALSE),0)))+G35)
   *(1-_xlfn.XLOOKUP(1,(DESC_PROV[LINEA]=$B$2)*(DESC_PROV[LISTA]=$C$2),DESC_PROV[DESCUENTO])),
   ((B35*(1+IFERROR(VLOOKUP($D$2,COLORES[],2,FALSE),0)))+G35)
   *(1-_xlfn.XLOOKUP(1,(DESC_PROV[LINEA]=$B$2)*(DESC_PROV[LISTA]=$C$2),DESC_PROV[DESCUENTO]))
   *(1+VLOOKUP($C$2,LISTAS[],2,FALSE))
   *(1+VLOOKUP($C$2,LISTAS[],3,FALSE))
)
/5,0)*5,0)</f>
        <v>57045</v>
      </c>
      <c r="Q35" s="43" cm="1">
        <f t="array" ref="Q35">IFERROR(
ROUND(
IF($A$2="COSTO",
   ((B35*(1+IFERROR(VLOOKUP($D$2,COLORES[],2,FALSE),0)))+H35)
   *(1-_xlfn.XLOOKUP(1,(DESC_PROV[LINEA]=$B$2)*(DESC_PROV[LISTA]=$C$2),DESC_PROV[DESCUENTO])),
   ((B35*(1+IFERROR(VLOOKUP($D$2,COLORES[],2,FALSE),0)))+H35)
   *(1-_xlfn.XLOOKUP(1,(DESC_PROV[LINEA]=$B$2)*(DESC_PROV[LISTA]=$C$2),DESC_PROV[DESCUENTO]))
   *(1+VLOOKUP($C$2,LISTAS[],2,FALSE))
   *(1+VLOOKUP($C$2,LISTAS[],3,FALSE))
)
/5,0)*5,0)</f>
        <v>82675</v>
      </c>
    </row>
    <row r="36" spans="1:17">
      <c r="A36" s="47" t="s">
        <v>171</v>
      </c>
      <c r="B36" s="42">
        <v>40888</v>
      </c>
      <c r="C36" s="42">
        <v>7186</v>
      </c>
      <c r="D36" s="42">
        <v>8688</v>
      </c>
      <c r="E36" s="42">
        <v>11503</v>
      </c>
      <c r="F36" s="42">
        <v>24788</v>
      </c>
      <c r="G36" s="42">
        <v>9575</v>
      </c>
      <c r="H36" s="42">
        <v>37109</v>
      </c>
      <c r="I36" s="2"/>
      <c r="J36" s="2"/>
      <c r="K36" s="47" t="s">
        <v>171</v>
      </c>
      <c r="L36" s="42" cm="1">
        <f t="array" ref="L36">IFERROR(
ROUND(
IF($A$2="COSTO",
   ((B36*(1+IFERROR(VLOOKUP($D$2,COLORES[],2,FALSE),0)))+C36)
   *(1-_xlfn.XLOOKUP(1,(DESC_PROV[LINEA]=$B$2)*(DESC_PROV[LISTA]=$C$2),DESC_PROV[DESCUENTO])),
   ((B36*(1+IFERROR(VLOOKUP($D$2,COLORES[],2,FALSE),0)))+C36)
   *(1-_xlfn.XLOOKUP(1,(DESC_PROV[LINEA]=$B$2)*(DESC_PROV[LISTA]=$C$2),DESC_PROV[DESCUENTO]))
   *(1+VLOOKUP($C$2,LISTAS[],2,FALSE))
   *(1+VLOOKUP($C$2,LISTAS[],3,FALSE))
)
/5,0)*5,0)</f>
        <v>59620</v>
      </c>
      <c r="M36" s="42" cm="1">
        <f t="array" ref="M36">IFERROR(
ROUND(
IF($A$2="COSTO",
   ((B36*(1+IFERROR(VLOOKUP($D$2,COLORES[],2,FALSE),0)))+D36)
   *(1-_xlfn.XLOOKUP(1,(DESC_PROV[LINEA]=$B$2)*(DESC_PROV[LISTA]=$C$2),DESC_PROV[DESCUENTO])),
   ((B36*(1+IFERROR(VLOOKUP($D$2,COLORES[],2,FALSE),0)))+D36)
   *(1-_xlfn.XLOOKUP(1,(DESC_PROV[LINEA]=$B$2)*(DESC_PROV[LISTA]=$C$2),DESC_PROV[DESCUENTO]))
   *(1+VLOOKUP($C$2,LISTAS[],2,FALSE))
   *(1+VLOOKUP($C$2,LISTAS[],3,FALSE))
)
/5,0)*5,0)</f>
        <v>61485</v>
      </c>
      <c r="N36" s="42" cm="1">
        <f t="array" ref="N36">IFERROR(
ROUND(
IF($A$2="COSTO",
   ((B36*(1+IFERROR(VLOOKUP($D$2,COLORES[],2,FALSE),0)))+E36)
   *(1-_xlfn.XLOOKUP(1,(DESC_PROV[LINEA]=$B$2)*(DESC_PROV[LISTA]=$C$2),DESC_PROV[DESCUENTO])),
   ((B36*(1+IFERROR(VLOOKUP($D$2,COLORES[],2,FALSE),0)))+E36)
   *(1-_xlfn.XLOOKUP(1,(DESC_PROV[LINEA]=$B$2)*(DESC_PROV[LISTA]=$C$2),DESC_PROV[DESCUENTO]))
   *(1+VLOOKUP($C$2,LISTAS[],2,FALSE))
   *(1+VLOOKUP($C$2,LISTAS[],3,FALSE))
)
/5,0)*5,0)</f>
        <v>64975</v>
      </c>
      <c r="O36" s="42" cm="1">
        <f t="array" ref="O36">IFERROR(
ROUND(
IF($A$2="COSTO",
   ((B36*(1+IFERROR(VLOOKUP($D$2,COLORES[],2,FALSE),0)))+F36)
   *(1-_xlfn.XLOOKUP(1,(DESC_PROV[LINEA]=$B$2)*(DESC_PROV[LISTA]=$C$2),DESC_PROV[DESCUENTO])),
   ((B36*(1+IFERROR(VLOOKUP($D$2,COLORES[],2,FALSE),0)))+F36)
   *(1-_xlfn.XLOOKUP(1,(DESC_PROV[LINEA]=$B$2)*(DESC_PROV[LISTA]=$C$2),DESC_PROV[DESCUENTO]))
   *(1+VLOOKUP($C$2,LISTAS[],2,FALSE))
   *(1+VLOOKUP($C$2,LISTAS[],3,FALSE))
)
/5,0)*5,0)</f>
        <v>81450</v>
      </c>
      <c r="P36" s="42" cm="1">
        <f t="array" ref="P36">IFERROR(
ROUND(
IF($A$2="COSTO",
   ((B36*(1+IFERROR(VLOOKUP($D$2,COLORES[],2,FALSE),0)))+G36)
   *(1-_xlfn.XLOOKUP(1,(DESC_PROV[LINEA]=$B$2)*(DESC_PROV[LISTA]=$C$2),DESC_PROV[DESCUENTO])),
   ((B36*(1+IFERROR(VLOOKUP($D$2,COLORES[],2,FALSE),0)))+G36)
   *(1-_xlfn.XLOOKUP(1,(DESC_PROV[LINEA]=$B$2)*(DESC_PROV[LISTA]=$C$2),DESC_PROV[DESCUENTO]))
   *(1+VLOOKUP($C$2,LISTAS[],2,FALSE))
   *(1+VLOOKUP($C$2,LISTAS[],3,FALSE))
)
/5,0)*5,0)</f>
        <v>62585</v>
      </c>
      <c r="Q36" s="43" cm="1">
        <f t="array" ref="Q36">IFERROR(
ROUND(
IF($A$2="COSTO",
   ((B36*(1+IFERROR(VLOOKUP($D$2,COLORES[],2,FALSE),0)))+H36)
   *(1-_xlfn.XLOOKUP(1,(DESC_PROV[LINEA]=$B$2)*(DESC_PROV[LISTA]=$C$2),DESC_PROV[DESCUENTO])),
   ((B36*(1+IFERROR(VLOOKUP($D$2,COLORES[],2,FALSE),0)))+H36)
   *(1-_xlfn.XLOOKUP(1,(DESC_PROV[LINEA]=$B$2)*(DESC_PROV[LISTA]=$C$2),DESC_PROV[DESCUENTO]))
   *(1+VLOOKUP($C$2,LISTAS[],2,FALSE))
   *(1+VLOOKUP($C$2,LISTAS[],3,FALSE))
)
/5,0)*5,0)</f>
        <v>96730</v>
      </c>
    </row>
    <row r="37" spans="1:17">
      <c r="A37" s="47" t="s">
        <v>172</v>
      </c>
      <c r="B37" s="42">
        <v>45077</v>
      </c>
      <c r="C37" s="42">
        <v>10779</v>
      </c>
      <c r="D37" s="42">
        <v>13014</v>
      </c>
      <c r="E37" s="42">
        <v>17295</v>
      </c>
      <c r="F37" s="42">
        <v>37404</v>
      </c>
      <c r="G37" s="42">
        <v>14317</v>
      </c>
      <c r="H37" s="42">
        <v>55592</v>
      </c>
      <c r="I37" s="2"/>
      <c r="J37" s="2"/>
      <c r="K37" s="47" t="s">
        <v>172</v>
      </c>
      <c r="L37" s="42" cm="1">
        <f t="array" ref="L37">IFERROR(
ROUND(
IF($A$2="COSTO",
   ((B37*(1+IFERROR(VLOOKUP($D$2,COLORES[],2,FALSE),0)))+C37)
   *(1-_xlfn.XLOOKUP(1,(DESC_PROV[LINEA]=$B$2)*(DESC_PROV[LISTA]=$C$2),DESC_PROV[DESCUENTO])),
   ((B37*(1+IFERROR(VLOOKUP($D$2,COLORES[],2,FALSE),0)))+C37)
   *(1-_xlfn.XLOOKUP(1,(DESC_PROV[LINEA]=$B$2)*(DESC_PROV[LISTA]=$C$2),DESC_PROV[DESCUENTO]))
   *(1+VLOOKUP($C$2,LISTAS[],2,FALSE))
   *(1+VLOOKUP($C$2,LISTAS[],3,FALSE))
)
/5,0)*5,0)</f>
        <v>69275</v>
      </c>
      <c r="M37" s="42" cm="1">
        <f t="array" ref="M37">IFERROR(
ROUND(
IF($A$2="COSTO",
   ((B37*(1+IFERROR(VLOOKUP($D$2,COLORES[],2,FALSE),0)))+D37)
   *(1-_xlfn.XLOOKUP(1,(DESC_PROV[LINEA]=$B$2)*(DESC_PROV[LISTA]=$C$2),DESC_PROV[DESCUENTO])),
   ((B37*(1+IFERROR(VLOOKUP($D$2,COLORES[],2,FALSE),0)))+D37)
   *(1-_xlfn.XLOOKUP(1,(DESC_PROV[LINEA]=$B$2)*(DESC_PROV[LISTA]=$C$2),DESC_PROV[DESCUENTO]))
   *(1+VLOOKUP($C$2,LISTAS[],2,FALSE))
   *(1+VLOOKUP($C$2,LISTAS[],3,FALSE))
)
/5,0)*5,0)</f>
        <v>72045</v>
      </c>
      <c r="N37" s="42" cm="1">
        <f t="array" ref="N37">IFERROR(
ROUND(
IF($A$2="COSTO",
   ((B37*(1+IFERROR(VLOOKUP($D$2,COLORES[],2,FALSE),0)))+E37)
   *(1-_xlfn.XLOOKUP(1,(DESC_PROV[LINEA]=$B$2)*(DESC_PROV[LISTA]=$C$2),DESC_PROV[DESCUENTO])),
   ((B37*(1+IFERROR(VLOOKUP($D$2,COLORES[],2,FALSE),0)))+E37)
   *(1-_xlfn.XLOOKUP(1,(DESC_PROV[LINEA]=$B$2)*(DESC_PROV[LISTA]=$C$2),DESC_PROV[DESCUENTO]))
   *(1+VLOOKUP($C$2,LISTAS[],2,FALSE))
   *(1+VLOOKUP($C$2,LISTAS[],3,FALSE))
)
/5,0)*5,0)</f>
        <v>77355</v>
      </c>
      <c r="O37" s="42" cm="1">
        <f t="array" ref="O37">IFERROR(
ROUND(
IF($A$2="COSTO",
   ((B37*(1+IFERROR(VLOOKUP($D$2,COLORES[],2,FALSE),0)))+F37)
   *(1-_xlfn.XLOOKUP(1,(DESC_PROV[LINEA]=$B$2)*(DESC_PROV[LISTA]=$C$2),DESC_PROV[DESCUENTO])),
   ((B37*(1+IFERROR(VLOOKUP($D$2,COLORES[],2,FALSE),0)))+F37)
   *(1-_xlfn.XLOOKUP(1,(DESC_PROV[LINEA]=$B$2)*(DESC_PROV[LISTA]=$C$2),DESC_PROV[DESCUENTO]))
   *(1+VLOOKUP($C$2,LISTAS[],2,FALSE))
   *(1+VLOOKUP($C$2,LISTAS[],3,FALSE))
)
/5,0)*5,0)</f>
        <v>102295</v>
      </c>
      <c r="P37" s="42" cm="1">
        <f t="array" ref="P37">IFERROR(
ROUND(
IF($A$2="COSTO",
   ((B37*(1+IFERROR(VLOOKUP($D$2,COLORES[],2,FALSE),0)))+G37)
   *(1-_xlfn.XLOOKUP(1,(DESC_PROV[LINEA]=$B$2)*(DESC_PROV[LISTA]=$C$2),DESC_PROV[DESCUENTO])),
   ((B37*(1+IFERROR(VLOOKUP($D$2,COLORES[],2,FALSE),0)))+G37)
   *(1-_xlfn.XLOOKUP(1,(DESC_PROV[LINEA]=$B$2)*(DESC_PROV[LISTA]=$C$2),DESC_PROV[DESCUENTO]))
   *(1+VLOOKUP($C$2,LISTAS[],2,FALSE))
   *(1+VLOOKUP($C$2,LISTAS[],3,FALSE))
)
/5,0)*5,0)</f>
        <v>73660</v>
      </c>
      <c r="Q37" s="43" cm="1">
        <f t="array" ref="Q37">IFERROR(
ROUND(
IF($A$2="COSTO",
   ((B37*(1+IFERROR(VLOOKUP($D$2,COLORES[],2,FALSE),0)))+H37)
   *(1-_xlfn.XLOOKUP(1,(DESC_PROV[LINEA]=$B$2)*(DESC_PROV[LISTA]=$C$2),DESC_PROV[DESCUENTO])),
   ((B37*(1+IFERROR(VLOOKUP($D$2,COLORES[],2,FALSE),0)))+H37)
   *(1-_xlfn.XLOOKUP(1,(DESC_PROV[LINEA]=$B$2)*(DESC_PROV[LISTA]=$C$2),DESC_PROV[DESCUENTO]))
   *(1+VLOOKUP($C$2,LISTAS[],2,FALSE))
   *(1+VLOOKUP($C$2,LISTAS[],3,FALSE))
)
/5,0)*5,0)</f>
        <v>124850</v>
      </c>
    </row>
    <row r="38" spans="1:17">
      <c r="A38" s="47" t="s">
        <v>173</v>
      </c>
      <c r="B38" s="42">
        <v>47172</v>
      </c>
      <c r="C38" s="42">
        <v>12570</v>
      </c>
      <c r="D38" s="42">
        <v>15177</v>
      </c>
      <c r="E38" s="42">
        <v>20191</v>
      </c>
      <c r="F38" s="42">
        <v>43666</v>
      </c>
      <c r="G38" s="42">
        <v>16688</v>
      </c>
      <c r="H38" s="42">
        <v>64834</v>
      </c>
      <c r="I38" s="2"/>
      <c r="J38" s="2"/>
      <c r="K38" s="47" t="s">
        <v>173</v>
      </c>
      <c r="L38" s="42" cm="1">
        <f t="array" ref="L38">IFERROR(
ROUND(
IF($A$2="COSTO",
   ((B38*(1+IFERROR(VLOOKUP($D$2,COLORES[],2,FALSE),0)))+C38)
   *(1-_xlfn.XLOOKUP(1,(DESC_PROV[LINEA]=$B$2)*(DESC_PROV[LISTA]=$C$2),DESC_PROV[DESCUENTO])),
   ((B38*(1+IFERROR(VLOOKUP($D$2,COLORES[],2,FALSE),0)))+C38)
   *(1-_xlfn.XLOOKUP(1,(DESC_PROV[LINEA]=$B$2)*(DESC_PROV[LISTA]=$C$2),DESC_PROV[DESCUENTO]))
   *(1+VLOOKUP($C$2,LISTAS[],2,FALSE))
   *(1+VLOOKUP($C$2,LISTAS[],3,FALSE))
)
/5,0)*5,0)</f>
        <v>74090</v>
      </c>
      <c r="M38" s="42" cm="1">
        <f t="array" ref="M38">IFERROR(
ROUND(
IF($A$2="COSTO",
   ((B38*(1+IFERROR(VLOOKUP($D$2,COLORES[],2,FALSE),0)))+D38)
   *(1-_xlfn.XLOOKUP(1,(DESC_PROV[LINEA]=$B$2)*(DESC_PROV[LISTA]=$C$2),DESC_PROV[DESCUENTO])),
   ((B38*(1+IFERROR(VLOOKUP($D$2,COLORES[],2,FALSE),0)))+D38)
   *(1-_xlfn.XLOOKUP(1,(DESC_PROV[LINEA]=$B$2)*(DESC_PROV[LISTA]=$C$2),DESC_PROV[DESCUENTO]))
   *(1+VLOOKUP($C$2,LISTAS[],2,FALSE))
   *(1+VLOOKUP($C$2,LISTAS[],3,FALSE))
)
/5,0)*5,0)</f>
        <v>77325</v>
      </c>
      <c r="N38" s="42" cm="1">
        <f t="array" ref="N38">IFERROR(
ROUND(
IF($A$2="COSTO",
   ((B38*(1+IFERROR(VLOOKUP($D$2,COLORES[],2,FALSE),0)))+E38)
   *(1-_xlfn.XLOOKUP(1,(DESC_PROV[LINEA]=$B$2)*(DESC_PROV[LISTA]=$C$2),DESC_PROV[DESCUENTO])),
   ((B38*(1+IFERROR(VLOOKUP($D$2,COLORES[],2,FALSE),0)))+E38)
   *(1-_xlfn.XLOOKUP(1,(DESC_PROV[LINEA]=$B$2)*(DESC_PROV[LISTA]=$C$2),DESC_PROV[DESCUENTO]))
   *(1+VLOOKUP($C$2,LISTAS[],2,FALSE))
   *(1+VLOOKUP($C$2,LISTAS[],3,FALSE))
)
/5,0)*5,0)</f>
        <v>83545</v>
      </c>
      <c r="O38" s="42" cm="1">
        <f t="array" ref="O38">IFERROR(
ROUND(
IF($A$2="COSTO",
   ((B38*(1+IFERROR(VLOOKUP($D$2,COLORES[],2,FALSE),0)))+F38)
   *(1-_xlfn.XLOOKUP(1,(DESC_PROV[LINEA]=$B$2)*(DESC_PROV[LISTA]=$C$2),DESC_PROV[DESCUENTO])),
   ((B38*(1+IFERROR(VLOOKUP($D$2,COLORES[],2,FALSE),0)))+F38)
   *(1-_xlfn.XLOOKUP(1,(DESC_PROV[LINEA]=$B$2)*(DESC_PROV[LISTA]=$C$2),DESC_PROV[DESCUENTO]))
   *(1+VLOOKUP($C$2,LISTAS[],2,FALSE))
   *(1+VLOOKUP($C$2,LISTAS[],3,FALSE))
)
/5,0)*5,0)</f>
        <v>112655</v>
      </c>
      <c r="P38" s="42" cm="1">
        <f t="array" ref="P38">IFERROR(
ROUND(
IF($A$2="COSTO",
   ((B38*(1+IFERROR(VLOOKUP($D$2,COLORES[],2,FALSE),0)))+G38)
   *(1-_xlfn.XLOOKUP(1,(DESC_PROV[LINEA]=$B$2)*(DESC_PROV[LISTA]=$C$2),DESC_PROV[DESCUENTO])),
   ((B38*(1+IFERROR(VLOOKUP($D$2,COLORES[],2,FALSE),0)))+G38)
   *(1-_xlfn.XLOOKUP(1,(DESC_PROV[LINEA]=$B$2)*(DESC_PROV[LISTA]=$C$2),DESC_PROV[DESCUENTO]))
   *(1+VLOOKUP($C$2,LISTAS[],2,FALSE))
   *(1+VLOOKUP($C$2,LISTAS[],3,FALSE))
)
/5,0)*5,0)</f>
        <v>79200</v>
      </c>
      <c r="Q38" s="43" cm="1">
        <f t="array" ref="Q38">IFERROR(
ROUND(
IF($A$2="COSTO",
   ((B38*(1+IFERROR(VLOOKUP($D$2,COLORES[],2,FALSE),0)))+H38)
   *(1-_xlfn.XLOOKUP(1,(DESC_PROV[LINEA]=$B$2)*(DESC_PROV[LISTA]=$C$2),DESC_PROV[DESCUENTO])),
   ((B38*(1+IFERROR(VLOOKUP($D$2,COLORES[],2,FALSE),0)))+H38)
   *(1-_xlfn.XLOOKUP(1,(DESC_PROV[LINEA]=$B$2)*(DESC_PROV[LISTA]=$C$2),DESC_PROV[DESCUENTO]))
   *(1+VLOOKUP($C$2,LISTAS[],2,FALSE))
   *(1+VLOOKUP($C$2,LISTAS[],3,FALSE))
)
/5,0)*5,0)</f>
        <v>138910</v>
      </c>
    </row>
    <row r="39" spans="1:17">
      <c r="A39" s="47" t="s">
        <v>174</v>
      </c>
      <c r="B39" s="42">
        <v>49266</v>
      </c>
      <c r="C39" s="42">
        <v>14362</v>
      </c>
      <c r="D39" s="42">
        <v>17340</v>
      </c>
      <c r="E39" s="42">
        <v>23087</v>
      </c>
      <c r="F39" s="42">
        <v>49929</v>
      </c>
      <c r="G39" s="42">
        <v>19059</v>
      </c>
      <c r="H39" s="42">
        <v>74076</v>
      </c>
      <c r="I39" s="2"/>
      <c r="J39" s="2"/>
      <c r="K39" s="47" t="s">
        <v>174</v>
      </c>
      <c r="L39" s="42" cm="1">
        <f t="array" ref="L39">IFERROR(
ROUND(
IF($A$2="COSTO",
   ((B39*(1+IFERROR(VLOOKUP($D$2,COLORES[],2,FALSE),0)))+C39)
   *(1-_xlfn.XLOOKUP(1,(DESC_PROV[LINEA]=$B$2)*(DESC_PROV[LISTA]=$C$2),DESC_PROV[DESCUENTO])),
   ((B39*(1+IFERROR(VLOOKUP($D$2,COLORES[],2,FALSE),0)))+C39)
   *(1-_xlfn.XLOOKUP(1,(DESC_PROV[LINEA]=$B$2)*(DESC_PROV[LISTA]=$C$2),DESC_PROV[DESCUENTO]))
   *(1+VLOOKUP($C$2,LISTAS[],2,FALSE))
   *(1+VLOOKUP($C$2,LISTAS[],3,FALSE))
)
/5,0)*5,0)</f>
        <v>78910</v>
      </c>
      <c r="M39" s="42" cm="1">
        <f t="array" ref="M39">IFERROR(
ROUND(
IF($A$2="COSTO",
   ((B39*(1+IFERROR(VLOOKUP($D$2,COLORES[],2,FALSE),0)))+D39)
   *(1-_xlfn.XLOOKUP(1,(DESC_PROV[LINEA]=$B$2)*(DESC_PROV[LISTA]=$C$2),DESC_PROV[DESCUENTO])),
   ((B39*(1+IFERROR(VLOOKUP($D$2,COLORES[],2,FALSE),0)))+D39)
   *(1-_xlfn.XLOOKUP(1,(DESC_PROV[LINEA]=$B$2)*(DESC_PROV[LISTA]=$C$2),DESC_PROV[DESCUENTO]))
   *(1+VLOOKUP($C$2,LISTAS[],2,FALSE))
   *(1+VLOOKUP($C$2,LISTAS[],3,FALSE))
)
/5,0)*5,0)</f>
        <v>82605</v>
      </c>
      <c r="N39" s="42" cm="1">
        <f t="array" ref="N39">IFERROR(
ROUND(
IF($A$2="COSTO",
   ((B39*(1+IFERROR(VLOOKUP($D$2,COLORES[],2,FALSE),0)))+E39)
   *(1-_xlfn.XLOOKUP(1,(DESC_PROV[LINEA]=$B$2)*(DESC_PROV[LISTA]=$C$2),DESC_PROV[DESCUENTO])),
   ((B39*(1+IFERROR(VLOOKUP($D$2,COLORES[],2,FALSE),0)))+E39)
   *(1-_xlfn.XLOOKUP(1,(DESC_PROV[LINEA]=$B$2)*(DESC_PROV[LISTA]=$C$2),DESC_PROV[DESCUENTO]))
   *(1+VLOOKUP($C$2,LISTAS[],2,FALSE))
   *(1+VLOOKUP($C$2,LISTAS[],3,FALSE))
)
/5,0)*5,0)</f>
        <v>89730</v>
      </c>
      <c r="O39" s="42" cm="1">
        <f t="array" ref="O39">IFERROR(
ROUND(
IF($A$2="COSTO",
   ((B39*(1+IFERROR(VLOOKUP($D$2,COLORES[],2,FALSE),0)))+F39)
   *(1-_xlfn.XLOOKUP(1,(DESC_PROV[LINEA]=$B$2)*(DESC_PROV[LISTA]=$C$2),DESC_PROV[DESCUENTO])),
   ((B39*(1+IFERROR(VLOOKUP($D$2,COLORES[],2,FALSE),0)))+F39)
   *(1-_xlfn.XLOOKUP(1,(DESC_PROV[LINEA]=$B$2)*(DESC_PROV[LISTA]=$C$2),DESC_PROV[DESCUENTO]))
   *(1+VLOOKUP($C$2,LISTAS[],2,FALSE))
   *(1+VLOOKUP($C$2,LISTAS[],3,FALSE))
)
/5,0)*5,0)</f>
        <v>123020</v>
      </c>
      <c r="P39" s="42" cm="1">
        <f t="array" ref="P39">IFERROR(
ROUND(
IF($A$2="COSTO",
   ((B39*(1+IFERROR(VLOOKUP($D$2,COLORES[],2,FALSE),0)))+G39)
   *(1-_xlfn.XLOOKUP(1,(DESC_PROV[LINEA]=$B$2)*(DESC_PROV[LISTA]=$C$2),DESC_PROV[DESCUENTO])),
   ((B39*(1+IFERROR(VLOOKUP($D$2,COLORES[],2,FALSE),0)))+G39)
   *(1-_xlfn.XLOOKUP(1,(DESC_PROV[LINEA]=$B$2)*(DESC_PROV[LISTA]=$C$2),DESC_PROV[DESCUENTO]))
   *(1+VLOOKUP($C$2,LISTAS[],2,FALSE))
   *(1+VLOOKUP($C$2,LISTAS[],3,FALSE))
)
/5,0)*5,0)</f>
        <v>84735</v>
      </c>
      <c r="Q39" s="43" cm="1">
        <f t="array" ref="Q39">IFERROR(
ROUND(
IF($A$2="COSTO",
   ((B39*(1+IFERROR(VLOOKUP($D$2,COLORES[],2,FALSE),0)))+H39)
   *(1-_xlfn.XLOOKUP(1,(DESC_PROV[LINEA]=$B$2)*(DESC_PROV[LISTA]=$C$2),DESC_PROV[DESCUENTO])),
   ((B39*(1+IFERROR(VLOOKUP($D$2,COLORES[],2,FALSE),0)))+H39)
   *(1-_xlfn.XLOOKUP(1,(DESC_PROV[LINEA]=$B$2)*(DESC_PROV[LISTA]=$C$2),DESC_PROV[DESCUENTO]))
   *(1+VLOOKUP($C$2,LISTAS[],2,FALSE))
   *(1+VLOOKUP($C$2,LISTAS[],3,FALSE))
)
/5,0)*5,0)</f>
        <v>152970</v>
      </c>
    </row>
    <row r="40" spans="1:17">
      <c r="A40" s="47" t="s">
        <v>175</v>
      </c>
      <c r="B40" s="42">
        <v>51360</v>
      </c>
      <c r="C40" s="42">
        <v>16154</v>
      </c>
      <c r="D40" s="42">
        <v>19503</v>
      </c>
      <c r="E40" s="42">
        <v>25983</v>
      </c>
      <c r="F40" s="42">
        <v>56191</v>
      </c>
      <c r="G40" s="42">
        <v>21430</v>
      </c>
      <c r="H40" s="42">
        <v>83318</v>
      </c>
      <c r="I40" s="2"/>
      <c r="J40" s="2"/>
      <c r="K40" s="47" t="s">
        <v>175</v>
      </c>
      <c r="L40" s="42" cm="1">
        <f t="array" ref="L40">IFERROR(
ROUND(
IF($A$2="COSTO",
   ((B40*(1+IFERROR(VLOOKUP($D$2,COLORES[],2,FALSE),0)))+C40)
   *(1-_xlfn.XLOOKUP(1,(DESC_PROV[LINEA]=$B$2)*(DESC_PROV[LISTA]=$C$2),DESC_PROV[DESCUENTO])),
   ((B40*(1+IFERROR(VLOOKUP($D$2,COLORES[],2,FALSE),0)))+C40)
   *(1-_xlfn.XLOOKUP(1,(DESC_PROV[LINEA]=$B$2)*(DESC_PROV[LISTA]=$C$2),DESC_PROV[DESCUENTO]))
   *(1+VLOOKUP($C$2,LISTAS[],2,FALSE))
   *(1+VLOOKUP($C$2,LISTAS[],3,FALSE))
)
/5,0)*5,0)</f>
        <v>83730</v>
      </c>
      <c r="M40" s="42" cm="1">
        <f t="array" ref="M40">IFERROR(
ROUND(
IF($A$2="COSTO",
   ((B40*(1+IFERROR(VLOOKUP($D$2,COLORES[],2,FALSE),0)))+D40)
   *(1-_xlfn.XLOOKUP(1,(DESC_PROV[LINEA]=$B$2)*(DESC_PROV[LISTA]=$C$2),DESC_PROV[DESCUENTO])),
   ((B40*(1+IFERROR(VLOOKUP($D$2,COLORES[],2,FALSE),0)))+D40)
   *(1-_xlfn.XLOOKUP(1,(DESC_PROV[LINEA]=$B$2)*(DESC_PROV[LISTA]=$C$2),DESC_PROV[DESCUENTO]))
   *(1+VLOOKUP($C$2,LISTAS[],2,FALSE))
   *(1+VLOOKUP($C$2,LISTAS[],3,FALSE))
)
/5,0)*5,0)</f>
        <v>87885</v>
      </c>
      <c r="N40" s="42" cm="1">
        <f t="array" ref="N40">IFERROR(
ROUND(
IF($A$2="COSTO",
   ((B40*(1+IFERROR(VLOOKUP($D$2,COLORES[],2,FALSE),0)))+E40)
   *(1-_xlfn.XLOOKUP(1,(DESC_PROV[LINEA]=$B$2)*(DESC_PROV[LISTA]=$C$2),DESC_PROV[DESCUENTO])),
   ((B40*(1+IFERROR(VLOOKUP($D$2,COLORES[],2,FALSE),0)))+E40)
   *(1-_xlfn.XLOOKUP(1,(DESC_PROV[LINEA]=$B$2)*(DESC_PROV[LISTA]=$C$2),DESC_PROV[DESCUENTO]))
   *(1+VLOOKUP($C$2,LISTAS[],2,FALSE))
   *(1+VLOOKUP($C$2,LISTAS[],3,FALSE))
)
/5,0)*5,0)</f>
        <v>95920</v>
      </c>
      <c r="O40" s="42" cm="1">
        <f t="array" ref="O40">IFERROR(
ROUND(
IF($A$2="COSTO",
   ((B40*(1+IFERROR(VLOOKUP($D$2,COLORES[],2,FALSE),0)))+F40)
   *(1-_xlfn.XLOOKUP(1,(DESC_PROV[LINEA]=$B$2)*(DESC_PROV[LISTA]=$C$2),DESC_PROV[DESCUENTO])),
   ((B40*(1+IFERROR(VLOOKUP($D$2,COLORES[],2,FALSE),0)))+F40)
   *(1-_xlfn.XLOOKUP(1,(DESC_PROV[LINEA]=$B$2)*(DESC_PROV[LISTA]=$C$2),DESC_PROV[DESCUENTO]))
   *(1+VLOOKUP($C$2,LISTAS[],2,FALSE))
   *(1+VLOOKUP($C$2,LISTAS[],3,FALSE))
)
/5,0)*5,0)</f>
        <v>133385</v>
      </c>
      <c r="P40" s="42" cm="1">
        <f t="array" ref="P40">IFERROR(
ROUND(
IF($A$2="COSTO",
   ((B40*(1+IFERROR(VLOOKUP($D$2,COLORES[],2,FALSE),0)))+G40)
   *(1-_xlfn.XLOOKUP(1,(DESC_PROV[LINEA]=$B$2)*(DESC_PROV[LISTA]=$C$2),DESC_PROV[DESCUENTO])),
   ((B40*(1+IFERROR(VLOOKUP($D$2,COLORES[],2,FALSE),0)))+G40)
   *(1-_xlfn.XLOOKUP(1,(DESC_PROV[LINEA]=$B$2)*(DESC_PROV[LISTA]=$C$2),DESC_PROV[DESCUENTO]))
   *(1+VLOOKUP($C$2,LISTAS[],2,FALSE))
   *(1+VLOOKUP($C$2,LISTAS[],3,FALSE))
)
/5,0)*5,0)</f>
        <v>90275</v>
      </c>
      <c r="Q40" s="43" cm="1">
        <f t="array" ref="Q40">IFERROR(
ROUND(
IF($A$2="COSTO",
   ((B40*(1+IFERROR(VLOOKUP($D$2,COLORES[],2,FALSE),0)))+H40)
   *(1-_xlfn.XLOOKUP(1,(DESC_PROV[LINEA]=$B$2)*(DESC_PROV[LISTA]=$C$2),DESC_PROV[DESCUENTO])),
   ((B40*(1+IFERROR(VLOOKUP($D$2,COLORES[],2,FALSE),0)))+H40)
   *(1-_xlfn.XLOOKUP(1,(DESC_PROV[LINEA]=$B$2)*(DESC_PROV[LISTA]=$C$2),DESC_PROV[DESCUENTO]))
   *(1+VLOOKUP($C$2,LISTAS[],2,FALSE))
   *(1+VLOOKUP($C$2,LISTAS[],3,FALSE))
)
/5,0)*5,0)</f>
        <v>167030</v>
      </c>
    </row>
    <row r="41" spans="1:17">
      <c r="A41" s="47" t="s">
        <v>176</v>
      </c>
      <c r="B41" s="42">
        <v>40888</v>
      </c>
      <c r="C41" s="42">
        <v>6154</v>
      </c>
      <c r="D41" s="42">
        <v>7457</v>
      </c>
      <c r="E41" s="42">
        <v>9837</v>
      </c>
      <c r="F41" s="42">
        <v>21277</v>
      </c>
      <c r="G41" s="42">
        <v>8236</v>
      </c>
      <c r="H41" s="42">
        <v>31852</v>
      </c>
      <c r="I41" s="2"/>
      <c r="J41" s="2"/>
      <c r="K41" s="47" t="s">
        <v>176</v>
      </c>
      <c r="L41" s="42" cm="1">
        <f t="array" ref="L41">IFERROR(
ROUND(
IF($A$2="COSTO",
   ((B41*(1+IFERROR(VLOOKUP($D$2,COLORES[],2,FALSE),0)))+C41)
   *(1-_xlfn.XLOOKUP(1,(DESC_PROV[LINEA]=$B$2)*(DESC_PROV[LISTA]=$C$2),DESC_PROV[DESCUENTO])),
   ((B41*(1+IFERROR(VLOOKUP($D$2,COLORES[],2,FALSE),0)))+C41)
   *(1-_xlfn.XLOOKUP(1,(DESC_PROV[LINEA]=$B$2)*(DESC_PROV[LISTA]=$C$2),DESC_PROV[DESCUENTO]))
   *(1+VLOOKUP($C$2,LISTAS[],2,FALSE))
   *(1+VLOOKUP($C$2,LISTAS[],3,FALSE))
)
/5,0)*5,0)</f>
        <v>58340</v>
      </c>
      <c r="M41" s="42" cm="1">
        <f t="array" ref="M41">IFERROR(
ROUND(
IF($A$2="COSTO",
   ((B41*(1+IFERROR(VLOOKUP($D$2,COLORES[],2,FALSE),0)))+D41)
   *(1-_xlfn.XLOOKUP(1,(DESC_PROV[LINEA]=$B$2)*(DESC_PROV[LISTA]=$C$2),DESC_PROV[DESCUENTO])),
   ((B41*(1+IFERROR(VLOOKUP($D$2,COLORES[],2,FALSE),0)))+D41)
   *(1-_xlfn.XLOOKUP(1,(DESC_PROV[LINEA]=$B$2)*(DESC_PROV[LISTA]=$C$2),DESC_PROV[DESCUENTO]))
   *(1+VLOOKUP($C$2,LISTAS[],2,FALSE))
   *(1+VLOOKUP($C$2,LISTAS[],3,FALSE))
)
/5,0)*5,0)</f>
        <v>59955</v>
      </c>
      <c r="N41" s="42" cm="1">
        <f t="array" ref="N41">IFERROR(
ROUND(
IF($A$2="COSTO",
   ((B41*(1+IFERROR(VLOOKUP($D$2,COLORES[],2,FALSE),0)))+E41)
   *(1-_xlfn.XLOOKUP(1,(DESC_PROV[LINEA]=$B$2)*(DESC_PROV[LISTA]=$C$2),DESC_PROV[DESCUENTO])),
   ((B41*(1+IFERROR(VLOOKUP($D$2,COLORES[],2,FALSE),0)))+E41)
   *(1-_xlfn.XLOOKUP(1,(DESC_PROV[LINEA]=$B$2)*(DESC_PROV[LISTA]=$C$2),DESC_PROV[DESCUENTO]))
   *(1+VLOOKUP($C$2,LISTAS[],2,FALSE))
   *(1+VLOOKUP($C$2,LISTAS[],3,FALSE))
)
/5,0)*5,0)</f>
        <v>62910</v>
      </c>
      <c r="O41" s="42" cm="1">
        <f t="array" ref="O41">IFERROR(
ROUND(
IF($A$2="COSTO",
   ((B41*(1+IFERROR(VLOOKUP($D$2,COLORES[],2,FALSE),0)))+F41)
   *(1-_xlfn.XLOOKUP(1,(DESC_PROV[LINEA]=$B$2)*(DESC_PROV[LISTA]=$C$2),DESC_PROV[DESCUENTO])),
   ((B41*(1+IFERROR(VLOOKUP($D$2,COLORES[],2,FALSE),0)))+F41)
   *(1-_xlfn.XLOOKUP(1,(DESC_PROV[LINEA]=$B$2)*(DESC_PROV[LISTA]=$C$2),DESC_PROV[DESCUENTO]))
   *(1+VLOOKUP($C$2,LISTAS[],2,FALSE))
   *(1+VLOOKUP($C$2,LISTAS[],3,FALSE))
)
/5,0)*5,0)</f>
        <v>77095</v>
      </c>
      <c r="P41" s="42" cm="1">
        <f t="array" ref="P41">IFERROR(
ROUND(
IF($A$2="COSTO",
   ((B41*(1+IFERROR(VLOOKUP($D$2,COLORES[],2,FALSE),0)))+G41)
   *(1-_xlfn.XLOOKUP(1,(DESC_PROV[LINEA]=$B$2)*(DESC_PROV[LISTA]=$C$2),DESC_PROV[DESCUENTO])),
   ((B41*(1+IFERROR(VLOOKUP($D$2,COLORES[],2,FALSE),0)))+G41)
   *(1-_xlfn.XLOOKUP(1,(DESC_PROV[LINEA]=$B$2)*(DESC_PROV[LISTA]=$C$2),DESC_PROV[DESCUENTO]))
   *(1+VLOOKUP($C$2,LISTAS[],2,FALSE))
   *(1+VLOOKUP($C$2,LISTAS[],3,FALSE))
)
/5,0)*5,0)</f>
        <v>60925</v>
      </c>
      <c r="Q41" s="43" cm="1">
        <f t="array" ref="Q41">IFERROR(
ROUND(
IF($A$2="COSTO",
   ((B41*(1+IFERROR(VLOOKUP($D$2,COLORES[],2,FALSE),0)))+H41)
   *(1-_xlfn.XLOOKUP(1,(DESC_PROV[LINEA]=$B$2)*(DESC_PROV[LISTA]=$C$2),DESC_PROV[DESCUENTO])),
   ((B41*(1+IFERROR(VLOOKUP($D$2,COLORES[],2,FALSE),0)))+H41)
   *(1-_xlfn.XLOOKUP(1,(DESC_PROV[LINEA]=$B$2)*(DESC_PROV[LISTA]=$C$2),DESC_PROV[DESCUENTO]))
   *(1+VLOOKUP($C$2,LISTAS[],2,FALSE))
   *(1+VLOOKUP($C$2,LISTAS[],3,FALSE))
)
/5,0)*5,0)</f>
        <v>90210</v>
      </c>
    </row>
    <row r="42" spans="1:17">
      <c r="A42" s="47" t="s">
        <v>177</v>
      </c>
      <c r="B42" s="42">
        <v>42983</v>
      </c>
      <c r="C42" s="42">
        <v>8208</v>
      </c>
      <c r="D42" s="42">
        <v>9928</v>
      </c>
      <c r="E42" s="42">
        <v>13150</v>
      </c>
      <c r="F42" s="42">
        <v>28327</v>
      </c>
      <c r="G42" s="42">
        <v>10941</v>
      </c>
      <c r="H42" s="42">
        <v>42408</v>
      </c>
      <c r="I42" s="2"/>
      <c r="J42" s="2"/>
      <c r="K42" s="47" t="s">
        <v>177</v>
      </c>
      <c r="L42" s="42" cm="1">
        <f t="array" ref="L42">IFERROR(
ROUND(
IF($A$2="COSTO",
   ((B42*(1+IFERROR(VLOOKUP($D$2,COLORES[],2,FALSE),0)))+C42)
   *(1-_xlfn.XLOOKUP(1,(DESC_PROV[LINEA]=$B$2)*(DESC_PROV[LISTA]=$C$2),DESC_PROV[DESCUENTO])),
   ((B42*(1+IFERROR(VLOOKUP($D$2,COLORES[],2,FALSE),0)))+C42)
   *(1-_xlfn.XLOOKUP(1,(DESC_PROV[LINEA]=$B$2)*(DESC_PROV[LISTA]=$C$2),DESC_PROV[DESCUENTO]))
   *(1+VLOOKUP($C$2,LISTAS[],2,FALSE))
   *(1+VLOOKUP($C$2,LISTAS[],3,FALSE))
)
/5,0)*5,0)</f>
        <v>63485</v>
      </c>
      <c r="M42" s="42" cm="1">
        <f t="array" ref="M42">IFERROR(
ROUND(
IF($A$2="COSTO",
   ((B42*(1+IFERROR(VLOOKUP($D$2,COLORES[],2,FALSE),0)))+D42)
   *(1-_xlfn.XLOOKUP(1,(DESC_PROV[LINEA]=$B$2)*(DESC_PROV[LISTA]=$C$2),DESC_PROV[DESCUENTO])),
   ((B42*(1+IFERROR(VLOOKUP($D$2,COLORES[],2,FALSE),0)))+D42)
   *(1-_xlfn.XLOOKUP(1,(DESC_PROV[LINEA]=$B$2)*(DESC_PROV[LISTA]=$C$2),DESC_PROV[DESCUENTO]))
   *(1+VLOOKUP($C$2,LISTAS[],2,FALSE))
   *(1+VLOOKUP($C$2,LISTAS[],3,FALSE))
)
/5,0)*5,0)</f>
        <v>65620</v>
      </c>
      <c r="N42" s="42" cm="1">
        <f t="array" ref="N42">IFERROR(
ROUND(
IF($A$2="COSTO",
   ((B42*(1+IFERROR(VLOOKUP($D$2,COLORES[],2,FALSE),0)))+E42)
   *(1-_xlfn.XLOOKUP(1,(DESC_PROV[LINEA]=$B$2)*(DESC_PROV[LISTA]=$C$2),DESC_PROV[DESCUENTO])),
   ((B42*(1+IFERROR(VLOOKUP($D$2,COLORES[],2,FALSE),0)))+E42)
   *(1-_xlfn.XLOOKUP(1,(DESC_PROV[LINEA]=$B$2)*(DESC_PROV[LISTA]=$C$2),DESC_PROV[DESCUENTO]))
   *(1+VLOOKUP($C$2,LISTAS[],2,FALSE))
   *(1+VLOOKUP($C$2,LISTAS[],3,FALSE))
)
/5,0)*5,0)</f>
        <v>69615</v>
      </c>
      <c r="O42" s="42" cm="1">
        <f t="array" ref="O42">IFERROR(
ROUND(
IF($A$2="COSTO",
   ((B42*(1+IFERROR(VLOOKUP($D$2,COLORES[],2,FALSE),0)))+F42)
   *(1-_xlfn.XLOOKUP(1,(DESC_PROV[LINEA]=$B$2)*(DESC_PROV[LISTA]=$C$2),DESC_PROV[DESCUENTO])),
   ((B42*(1+IFERROR(VLOOKUP($D$2,COLORES[],2,FALSE),0)))+F42)
   *(1-_xlfn.XLOOKUP(1,(DESC_PROV[LINEA]=$B$2)*(DESC_PROV[LISTA]=$C$2),DESC_PROV[DESCUENTO]))
   *(1+VLOOKUP($C$2,LISTAS[],2,FALSE))
   *(1+VLOOKUP($C$2,LISTAS[],3,FALSE))
)
/5,0)*5,0)</f>
        <v>88440</v>
      </c>
      <c r="P42" s="42" cm="1">
        <f t="array" ref="P42">IFERROR(
ROUND(
IF($A$2="COSTO",
   ((B42*(1+IFERROR(VLOOKUP($D$2,COLORES[],2,FALSE),0)))+G42)
   *(1-_xlfn.XLOOKUP(1,(DESC_PROV[LINEA]=$B$2)*(DESC_PROV[LISTA]=$C$2),DESC_PROV[DESCUENTO])),
   ((B42*(1+IFERROR(VLOOKUP($D$2,COLORES[],2,FALSE),0)))+G42)
   *(1-_xlfn.XLOOKUP(1,(DESC_PROV[LINEA]=$B$2)*(DESC_PROV[LISTA]=$C$2),DESC_PROV[DESCUENTO]))
   *(1+VLOOKUP($C$2,LISTAS[],2,FALSE))
   *(1+VLOOKUP($C$2,LISTAS[],3,FALSE))
)
/5,0)*5,0)</f>
        <v>66875</v>
      </c>
      <c r="Q42" s="43" cm="1">
        <f t="array" ref="Q42">IFERROR(
ROUND(
IF($A$2="COSTO",
   ((B42*(1+IFERROR(VLOOKUP($D$2,COLORES[],2,FALSE),0)))+H42)
   *(1-_xlfn.XLOOKUP(1,(DESC_PROV[LINEA]=$B$2)*(DESC_PROV[LISTA]=$C$2),DESC_PROV[DESCUENTO])),
   ((B42*(1+IFERROR(VLOOKUP($D$2,COLORES[],2,FALSE),0)))+H42)
   *(1-_xlfn.XLOOKUP(1,(DESC_PROV[LINEA]=$B$2)*(DESC_PROV[LISTA]=$C$2),DESC_PROV[DESCUENTO]))
   *(1+VLOOKUP($C$2,LISTAS[],2,FALSE))
   *(1+VLOOKUP($C$2,LISTAS[],3,FALSE))
)
/5,0)*5,0)</f>
        <v>105900</v>
      </c>
    </row>
    <row r="43" spans="1:17">
      <c r="A43" s="47" t="s">
        <v>178</v>
      </c>
      <c r="B43" s="42">
        <v>45077</v>
      </c>
      <c r="C43" s="42">
        <v>10263</v>
      </c>
      <c r="D43" s="42">
        <v>12399</v>
      </c>
      <c r="E43" s="42">
        <v>16462</v>
      </c>
      <c r="F43" s="42">
        <v>35648</v>
      </c>
      <c r="G43" s="42">
        <v>13647</v>
      </c>
      <c r="H43" s="42">
        <v>52964</v>
      </c>
      <c r="I43" s="2"/>
      <c r="J43" s="2"/>
      <c r="K43" s="47" t="s">
        <v>178</v>
      </c>
      <c r="L43" s="42" cm="1">
        <f t="array" ref="L43">IFERROR(
ROUND(
IF($A$2="COSTO",
   ((B43*(1+IFERROR(VLOOKUP($D$2,COLORES[],2,FALSE),0)))+C43)
   *(1-_xlfn.XLOOKUP(1,(DESC_PROV[LINEA]=$B$2)*(DESC_PROV[LISTA]=$C$2),DESC_PROV[DESCUENTO])),
   ((B43*(1+IFERROR(VLOOKUP($D$2,COLORES[],2,FALSE),0)))+C43)
   *(1-_xlfn.XLOOKUP(1,(DESC_PROV[LINEA]=$B$2)*(DESC_PROV[LISTA]=$C$2),DESC_PROV[DESCUENTO]))
   *(1+VLOOKUP($C$2,LISTAS[],2,FALSE))
   *(1+VLOOKUP($C$2,LISTAS[],3,FALSE))
)
/5,0)*5,0)</f>
        <v>68635</v>
      </c>
      <c r="M43" s="42" cm="1">
        <f t="array" ref="M43">IFERROR(
ROUND(
IF($A$2="COSTO",
   ((B43*(1+IFERROR(VLOOKUP($D$2,COLORES[],2,FALSE),0)))+D43)
   *(1-_xlfn.XLOOKUP(1,(DESC_PROV[LINEA]=$B$2)*(DESC_PROV[LISTA]=$C$2),DESC_PROV[DESCUENTO])),
   ((B43*(1+IFERROR(VLOOKUP($D$2,COLORES[],2,FALSE),0)))+D43)
   *(1-_xlfn.XLOOKUP(1,(DESC_PROV[LINEA]=$B$2)*(DESC_PROV[LISTA]=$C$2),DESC_PROV[DESCUENTO]))
   *(1+VLOOKUP($C$2,LISTAS[],2,FALSE))
   *(1+VLOOKUP($C$2,LISTAS[],3,FALSE))
)
/5,0)*5,0)</f>
        <v>71280</v>
      </c>
      <c r="N43" s="42" cm="1">
        <f t="array" ref="N43">IFERROR(
ROUND(
IF($A$2="COSTO",
   ((B43*(1+IFERROR(VLOOKUP($D$2,COLORES[],2,FALSE),0)))+E43)
   *(1-_xlfn.XLOOKUP(1,(DESC_PROV[LINEA]=$B$2)*(DESC_PROV[LISTA]=$C$2),DESC_PROV[DESCUENTO])),
   ((B43*(1+IFERROR(VLOOKUP($D$2,COLORES[],2,FALSE),0)))+E43)
   *(1-_xlfn.XLOOKUP(1,(DESC_PROV[LINEA]=$B$2)*(DESC_PROV[LISTA]=$C$2),DESC_PROV[DESCUENTO]))
   *(1+VLOOKUP($C$2,LISTAS[],2,FALSE))
   *(1+VLOOKUP($C$2,LISTAS[],3,FALSE))
)
/5,0)*5,0)</f>
        <v>76320</v>
      </c>
      <c r="O43" s="42" cm="1">
        <f t="array" ref="O43">IFERROR(
ROUND(
IF($A$2="COSTO",
   ((B43*(1+IFERROR(VLOOKUP($D$2,COLORES[],2,FALSE),0)))+F43)
   *(1-_xlfn.XLOOKUP(1,(DESC_PROV[LINEA]=$B$2)*(DESC_PROV[LISTA]=$C$2),DESC_PROV[DESCUENTO])),
   ((B43*(1+IFERROR(VLOOKUP($D$2,COLORES[],2,FALSE),0)))+F43)
   *(1-_xlfn.XLOOKUP(1,(DESC_PROV[LINEA]=$B$2)*(DESC_PROV[LISTA]=$C$2),DESC_PROV[DESCUENTO]))
   *(1+VLOOKUP($C$2,LISTAS[],2,FALSE))
   *(1+VLOOKUP($C$2,LISTAS[],3,FALSE))
)
/5,0)*5,0)</f>
        <v>100115</v>
      </c>
      <c r="P43" s="42" cm="1">
        <f t="array" ref="P43">IFERROR(
ROUND(
IF($A$2="COSTO",
   ((B43*(1+IFERROR(VLOOKUP($D$2,COLORES[],2,FALSE),0)))+G43)
   *(1-_xlfn.XLOOKUP(1,(DESC_PROV[LINEA]=$B$2)*(DESC_PROV[LISTA]=$C$2),DESC_PROV[DESCUENTO])),
   ((B43*(1+IFERROR(VLOOKUP($D$2,COLORES[],2,FALSE),0)))+G43)
   *(1-_xlfn.XLOOKUP(1,(DESC_PROV[LINEA]=$B$2)*(DESC_PROV[LISTA]=$C$2),DESC_PROV[DESCUENTO]))
   *(1+VLOOKUP($C$2,LISTAS[],2,FALSE))
   *(1+VLOOKUP($C$2,LISTAS[],3,FALSE))
)
/5,0)*5,0)</f>
        <v>72830</v>
      </c>
      <c r="Q43" s="43" cm="1">
        <f t="array" ref="Q43">IFERROR(
ROUND(
IF($A$2="COSTO",
   ((B43*(1+IFERROR(VLOOKUP($D$2,COLORES[],2,FALSE),0)))+H43)
   *(1-_xlfn.XLOOKUP(1,(DESC_PROV[LINEA]=$B$2)*(DESC_PROV[LISTA]=$C$2),DESC_PROV[DESCUENTO])),
   ((B43*(1+IFERROR(VLOOKUP($D$2,COLORES[],2,FALSE),0)))+H43)
   *(1-_xlfn.XLOOKUP(1,(DESC_PROV[LINEA]=$B$2)*(DESC_PROV[LISTA]=$C$2),DESC_PROV[DESCUENTO]))
   *(1+VLOOKUP($C$2,LISTAS[],2,FALSE))
   *(1+VLOOKUP($C$2,LISTAS[],3,FALSE))
)
/5,0)*5,0)</f>
        <v>121590</v>
      </c>
    </row>
    <row r="44" spans="1:17">
      <c r="A44" s="47" t="s">
        <v>179</v>
      </c>
      <c r="B44" s="42">
        <v>47172</v>
      </c>
      <c r="C44" s="42">
        <v>12317</v>
      </c>
      <c r="D44" s="42">
        <v>14869</v>
      </c>
      <c r="E44" s="42">
        <v>19774</v>
      </c>
      <c r="F44" s="42">
        <v>42788</v>
      </c>
      <c r="G44" s="42">
        <v>16353</v>
      </c>
      <c r="H44" s="42">
        <v>63520</v>
      </c>
      <c r="I44" s="2"/>
      <c r="J44" s="2"/>
      <c r="K44" s="47" t="s">
        <v>179</v>
      </c>
      <c r="L44" s="42" cm="1">
        <f t="array" ref="L44">IFERROR(
ROUND(
IF($A$2="COSTO",
   ((B44*(1+IFERROR(VLOOKUP($D$2,COLORES[],2,FALSE),0)))+C44)
   *(1-_xlfn.XLOOKUP(1,(DESC_PROV[LINEA]=$B$2)*(DESC_PROV[LISTA]=$C$2),DESC_PROV[DESCUENTO])),
   ((B44*(1+IFERROR(VLOOKUP($D$2,COLORES[],2,FALSE),0)))+C44)
   *(1-_xlfn.XLOOKUP(1,(DESC_PROV[LINEA]=$B$2)*(DESC_PROV[LISTA]=$C$2),DESC_PROV[DESCUENTO]))
   *(1+VLOOKUP($C$2,LISTAS[],2,FALSE))
   *(1+VLOOKUP($C$2,LISTAS[],3,FALSE))
)
/5,0)*5,0)</f>
        <v>73780</v>
      </c>
      <c r="M44" s="42" cm="1">
        <f t="array" ref="M44">IFERROR(
ROUND(
IF($A$2="COSTO",
   ((B44*(1+IFERROR(VLOOKUP($D$2,COLORES[],2,FALSE),0)))+D44)
   *(1-_xlfn.XLOOKUP(1,(DESC_PROV[LINEA]=$B$2)*(DESC_PROV[LISTA]=$C$2),DESC_PROV[DESCUENTO])),
   ((B44*(1+IFERROR(VLOOKUP($D$2,COLORES[],2,FALSE),0)))+D44)
   *(1-_xlfn.XLOOKUP(1,(DESC_PROV[LINEA]=$B$2)*(DESC_PROV[LISTA]=$C$2),DESC_PROV[DESCUENTO]))
   *(1+VLOOKUP($C$2,LISTAS[],2,FALSE))
   *(1+VLOOKUP($C$2,LISTAS[],3,FALSE))
)
/5,0)*5,0)</f>
        <v>76945</v>
      </c>
      <c r="N44" s="42" cm="1">
        <f t="array" ref="N44">IFERROR(
ROUND(
IF($A$2="COSTO",
   ((B44*(1+IFERROR(VLOOKUP($D$2,COLORES[],2,FALSE),0)))+E44)
   *(1-_xlfn.XLOOKUP(1,(DESC_PROV[LINEA]=$B$2)*(DESC_PROV[LISTA]=$C$2),DESC_PROV[DESCUENTO])),
   ((B44*(1+IFERROR(VLOOKUP($D$2,COLORES[],2,FALSE),0)))+E44)
   *(1-_xlfn.XLOOKUP(1,(DESC_PROV[LINEA]=$B$2)*(DESC_PROV[LISTA]=$C$2),DESC_PROV[DESCUENTO]))
   *(1+VLOOKUP($C$2,LISTAS[],2,FALSE))
   *(1+VLOOKUP($C$2,LISTAS[],3,FALSE))
)
/5,0)*5,0)</f>
        <v>83025</v>
      </c>
      <c r="O44" s="42" cm="1">
        <f t="array" ref="O44">IFERROR(
ROUND(
IF($A$2="COSTO",
   ((B44*(1+IFERROR(VLOOKUP($D$2,COLORES[],2,FALSE),0)))+F44)
   *(1-_xlfn.XLOOKUP(1,(DESC_PROV[LINEA]=$B$2)*(DESC_PROV[LISTA]=$C$2),DESC_PROV[DESCUENTO])),
   ((B44*(1+IFERROR(VLOOKUP($D$2,COLORES[],2,FALSE),0)))+F44)
   *(1-_xlfn.XLOOKUP(1,(DESC_PROV[LINEA]=$B$2)*(DESC_PROV[LISTA]=$C$2),DESC_PROV[DESCUENTO]))
   *(1+VLOOKUP($C$2,LISTAS[],2,FALSE))
   *(1+VLOOKUP($C$2,LISTAS[],3,FALSE))
)
/5,0)*5,0)</f>
        <v>111570</v>
      </c>
      <c r="P44" s="42" cm="1">
        <f t="array" ref="P44">IFERROR(
ROUND(
IF($A$2="COSTO",
   ((B44*(1+IFERROR(VLOOKUP($D$2,COLORES[],2,FALSE),0)))+G44)
   *(1-_xlfn.XLOOKUP(1,(DESC_PROV[LINEA]=$B$2)*(DESC_PROV[LISTA]=$C$2),DESC_PROV[DESCUENTO])),
   ((B44*(1+IFERROR(VLOOKUP($D$2,COLORES[],2,FALSE),0)))+G44)
   *(1-_xlfn.XLOOKUP(1,(DESC_PROV[LINEA]=$B$2)*(DESC_PROV[LISTA]=$C$2),DESC_PROV[DESCUENTO]))
   *(1+VLOOKUP($C$2,LISTAS[],2,FALSE))
   *(1+VLOOKUP($C$2,LISTAS[],3,FALSE))
)
/5,0)*5,0)</f>
        <v>78785</v>
      </c>
      <c r="Q44" s="43" cm="1">
        <f t="array" ref="Q44">IFERROR(
ROUND(
IF($A$2="COSTO",
   ((B44*(1+IFERROR(VLOOKUP($D$2,COLORES[],2,FALSE),0)))+H44)
   *(1-_xlfn.XLOOKUP(1,(DESC_PROV[LINEA]=$B$2)*(DESC_PROV[LISTA]=$C$2),DESC_PROV[DESCUENTO])),
   ((B44*(1+IFERROR(VLOOKUP($D$2,COLORES[],2,FALSE),0)))+H44)
   *(1-_xlfn.XLOOKUP(1,(DESC_PROV[LINEA]=$B$2)*(DESC_PROV[LISTA]=$C$2),DESC_PROV[DESCUENTO]))
   *(1+VLOOKUP($C$2,LISTAS[],2,FALSE))
   *(1+VLOOKUP($C$2,LISTAS[],3,FALSE))
)
/5,0)*5,0)</f>
        <v>137280</v>
      </c>
    </row>
    <row r="45" spans="1:17">
      <c r="A45" s="47" t="s">
        <v>180</v>
      </c>
      <c r="B45" s="42">
        <v>49266</v>
      </c>
      <c r="C45" s="42">
        <v>14362</v>
      </c>
      <c r="D45" s="42">
        <v>17340</v>
      </c>
      <c r="E45" s="42">
        <v>23087</v>
      </c>
      <c r="F45" s="42">
        <v>49929</v>
      </c>
      <c r="G45" s="42">
        <v>19059</v>
      </c>
      <c r="H45" s="42">
        <v>74076</v>
      </c>
      <c r="I45" s="2"/>
      <c r="J45" s="2"/>
      <c r="K45" s="47" t="s">
        <v>180</v>
      </c>
      <c r="L45" s="42" cm="1">
        <f t="array" ref="L45">IFERROR(
ROUND(
IF($A$2="COSTO",
   ((B45*(1+IFERROR(VLOOKUP($D$2,COLORES[],2,FALSE),0)))+C45)
   *(1-_xlfn.XLOOKUP(1,(DESC_PROV[LINEA]=$B$2)*(DESC_PROV[LISTA]=$C$2),DESC_PROV[DESCUENTO])),
   ((B45*(1+IFERROR(VLOOKUP($D$2,COLORES[],2,FALSE),0)))+C45)
   *(1-_xlfn.XLOOKUP(1,(DESC_PROV[LINEA]=$B$2)*(DESC_PROV[LISTA]=$C$2),DESC_PROV[DESCUENTO]))
   *(1+VLOOKUP($C$2,LISTAS[],2,FALSE))
   *(1+VLOOKUP($C$2,LISTAS[],3,FALSE))
)
/5,0)*5,0)</f>
        <v>78910</v>
      </c>
      <c r="M45" s="42" cm="1">
        <f t="array" ref="M45">IFERROR(
ROUND(
IF($A$2="COSTO",
   ((B45*(1+IFERROR(VLOOKUP($D$2,COLORES[],2,FALSE),0)))+D45)
   *(1-_xlfn.XLOOKUP(1,(DESC_PROV[LINEA]=$B$2)*(DESC_PROV[LISTA]=$C$2),DESC_PROV[DESCUENTO])),
   ((B45*(1+IFERROR(VLOOKUP($D$2,COLORES[],2,FALSE),0)))+D45)
   *(1-_xlfn.XLOOKUP(1,(DESC_PROV[LINEA]=$B$2)*(DESC_PROV[LISTA]=$C$2),DESC_PROV[DESCUENTO]))
   *(1+VLOOKUP($C$2,LISTAS[],2,FALSE))
   *(1+VLOOKUP($C$2,LISTAS[],3,FALSE))
)
/5,0)*5,0)</f>
        <v>82605</v>
      </c>
      <c r="N45" s="42" cm="1">
        <f t="array" ref="N45">IFERROR(
ROUND(
IF($A$2="COSTO",
   ((B45*(1+IFERROR(VLOOKUP($D$2,COLORES[],2,FALSE),0)))+E45)
   *(1-_xlfn.XLOOKUP(1,(DESC_PROV[LINEA]=$B$2)*(DESC_PROV[LISTA]=$C$2),DESC_PROV[DESCUENTO])),
   ((B45*(1+IFERROR(VLOOKUP($D$2,COLORES[],2,FALSE),0)))+E45)
   *(1-_xlfn.XLOOKUP(1,(DESC_PROV[LINEA]=$B$2)*(DESC_PROV[LISTA]=$C$2),DESC_PROV[DESCUENTO]))
   *(1+VLOOKUP($C$2,LISTAS[],2,FALSE))
   *(1+VLOOKUP($C$2,LISTAS[],3,FALSE))
)
/5,0)*5,0)</f>
        <v>89730</v>
      </c>
      <c r="O45" s="42" cm="1">
        <f t="array" ref="O45">IFERROR(
ROUND(
IF($A$2="COSTO",
   ((B45*(1+IFERROR(VLOOKUP($D$2,COLORES[],2,FALSE),0)))+F45)
   *(1-_xlfn.XLOOKUP(1,(DESC_PROV[LINEA]=$B$2)*(DESC_PROV[LISTA]=$C$2),DESC_PROV[DESCUENTO])),
   ((B45*(1+IFERROR(VLOOKUP($D$2,COLORES[],2,FALSE),0)))+F45)
   *(1-_xlfn.XLOOKUP(1,(DESC_PROV[LINEA]=$B$2)*(DESC_PROV[LISTA]=$C$2),DESC_PROV[DESCUENTO]))
   *(1+VLOOKUP($C$2,LISTAS[],2,FALSE))
   *(1+VLOOKUP($C$2,LISTAS[],3,FALSE))
)
/5,0)*5,0)</f>
        <v>123020</v>
      </c>
      <c r="P45" s="42" cm="1">
        <f t="array" ref="P45">IFERROR(
ROUND(
IF($A$2="COSTO",
   ((B45*(1+IFERROR(VLOOKUP($D$2,COLORES[],2,FALSE),0)))+G45)
   *(1-_xlfn.XLOOKUP(1,(DESC_PROV[LINEA]=$B$2)*(DESC_PROV[LISTA]=$C$2),DESC_PROV[DESCUENTO])),
   ((B45*(1+IFERROR(VLOOKUP($D$2,COLORES[],2,FALSE),0)))+G45)
   *(1-_xlfn.XLOOKUP(1,(DESC_PROV[LINEA]=$B$2)*(DESC_PROV[LISTA]=$C$2),DESC_PROV[DESCUENTO]))
   *(1+VLOOKUP($C$2,LISTAS[],2,FALSE))
   *(1+VLOOKUP($C$2,LISTAS[],3,FALSE))
)
/5,0)*5,0)</f>
        <v>84735</v>
      </c>
      <c r="Q45" s="43" cm="1">
        <f t="array" ref="Q45">IFERROR(
ROUND(
IF($A$2="COSTO",
   ((B45*(1+IFERROR(VLOOKUP($D$2,COLORES[],2,FALSE),0)))+H45)
   *(1-_xlfn.XLOOKUP(1,(DESC_PROV[LINEA]=$B$2)*(DESC_PROV[LISTA]=$C$2),DESC_PROV[DESCUENTO])),
   ((B45*(1+IFERROR(VLOOKUP($D$2,COLORES[],2,FALSE),0)))+H45)
   *(1-_xlfn.XLOOKUP(1,(DESC_PROV[LINEA]=$B$2)*(DESC_PROV[LISTA]=$C$2),DESC_PROV[DESCUENTO]))
   *(1+VLOOKUP($C$2,LISTAS[],2,FALSE))
   *(1+VLOOKUP($C$2,LISTAS[],3,FALSE))
)
/5,0)*5,0)</f>
        <v>152970</v>
      </c>
    </row>
    <row r="46" spans="1:17">
      <c r="A46" s="47" t="s">
        <v>181</v>
      </c>
      <c r="B46" s="42">
        <v>51360</v>
      </c>
      <c r="C46" s="42">
        <v>16417</v>
      </c>
      <c r="D46" s="42">
        <v>19810</v>
      </c>
      <c r="E46" s="42">
        <v>26399</v>
      </c>
      <c r="F46" s="42">
        <v>57069</v>
      </c>
      <c r="G46" s="42">
        <v>21765</v>
      </c>
      <c r="H46" s="42">
        <v>84632</v>
      </c>
      <c r="I46" s="2"/>
      <c r="J46" s="2"/>
      <c r="K46" s="47" t="s">
        <v>181</v>
      </c>
      <c r="L46" s="42" cm="1">
        <f t="array" ref="L46">IFERROR(
ROUND(
IF($A$2="COSTO",
   ((B46*(1+IFERROR(VLOOKUP($D$2,COLORES[],2,FALSE),0)))+C46)
   *(1-_xlfn.XLOOKUP(1,(DESC_PROV[LINEA]=$B$2)*(DESC_PROV[LISTA]=$C$2),DESC_PROV[DESCUENTO])),
   ((B46*(1+IFERROR(VLOOKUP($D$2,COLORES[],2,FALSE),0)))+C46)
   *(1-_xlfn.XLOOKUP(1,(DESC_PROV[LINEA]=$B$2)*(DESC_PROV[LISTA]=$C$2),DESC_PROV[DESCUENTO]))
   *(1+VLOOKUP($C$2,LISTAS[],2,FALSE))
   *(1+VLOOKUP($C$2,LISTAS[],3,FALSE))
)
/5,0)*5,0)</f>
        <v>84055</v>
      </c>
      <c r="M46" s="42" cm="1">
        <f t="array" ref="M46">IFERROR(
ROUND(
IF($A$2="COSTO",
   ((B46*(1+IFERROR(VLOOKUP($D$2,COLORES[],2,FALSE),0)))+D46)
   *(1-_xlfn.XLOOKUP(1,(DESC_PROV[LINEA]=$B$2)*(DESC_PROV[LISTA]=$C$2),DESC_PROV[DESCUENTO])),
   ((B46*(1+IFERROR(VLOOKUP($D$2,COLORES[],2,FALSE),0)))+D46)
   *(1-_xlfn.XLOOKUP(1,(DESC_PROV[LINEA]=$B$2)*(DESC_PROV[LISTA]=$C$2),DESC_PROV[DESCUENTO]))
   *(1+VLOOKUP($C$2,LISTAS[],2,FALSE))
   *(1+VLOOKUP($C$2,LISTAS[],3,FALSE))
)
/5,0)*5,0)</f>
        <v>88265</v>
      </c>
      <c r="N46" s="42" cm="1">
        <f t="array" ref="N46">IFERROR(
ROUND(
IF($A$2="COSTO",
   ((B46*(1+IFERROR(VLOOKUP($D$2,COLORES[],2,FALSE),0)))+E46)
   *(1-_xlfn.XLOOKUP(1,(DESC_PROV[LINEA]=$B$2)*(DESC_PROV[LISTA]=$C$2),DESC_PROV[DESCUENTO])),
   ((B46*(1+IFERROR(VLOOKUP($D$2,COLORES[],2,FALSE),0)))+E46)
   *(1-_xlfn.XLOOKUP(1,(DESC_PROV[LINEA]=$B$2)*(DESC_PROV[LISTA]=$C$2),DESC_PROV[DESCUENTO]))
   *(1+VLOOKUP($C$2,LISTAS[],2,FALSE))
   *(1+VLOOKUP($C$2,LISTAS[],3,FALSE))
)
/5,0)*5,0)</f>
        <v>96435</v>
      </c>
      <c r="O46" s="42" cm="1">
        <f t="array" ref="O46">IFERROR(
ROUND(
IF($A$2="COSTO",
   ((B46*(1+IFERROR(VLOOKUP($D$2,COLORES[],2,FALSE),0)))+F46)
   *(1-_xlfn.XLOOKUP(1,(DESC_PROV[LINEA]=$B$2)*(DESC_PROV[LISTA]=$C$2),DESC_PROV[DESCUENTO])),
   ((B46*(1+IFERROR(VLOOKUP($D$2,COLORES[],2,FALSE),0)))+F46)
   *(1-_xlfn.XLOOKUP(1,(DESC_PROV[LINEA]=$B$2)*(DESC_PROV[LISTA]=$C$2),DESC_PROV[DESCUENTO]))
   *(1+VLOOKUP($C$2,LISTAS[],2,FALSE))
   *(1+VLOOKUP($C$2,LISTAS[],3,FALSE))
)
/5,0)*5,0)</f>
        <v>134475</v>
      </c>
      <c r="P46" s="42" cm="1">
        <f t="array" ref="P46">IFERROR(
ROUND(
IF($A$2="COSTO",
   ((B46*(1+IFERROR(VLOOKUP($D$2,COLORES[],2,FALSE),0)))+G46)
   *(1-_xlfn.XLOOKUP(1,(DESC_PROV[LINEA]=$B$2)*(DESC_PROV[LISTA]=$C$2),DESC_PROV[DESCUENTO])),
   ((B46*(1+IFERROR(VLOOKUP($D$2,COLORES[],2,FALSE),0)))+G46)
   *(1-_xlfn.XLOOKUP(1,(DESC_PROV[LINEA]=$B$2)*(DESC_PROV[LISTA]=$C$2),DESC_PROV[DESCUENTO]))
   *(1+VLOOKUP($C$2,LISTAS[],2,FALSE))
   *(1+VLOOKUP($C$2,LISTAS[],3,FALSE))
)
/5,0)*5,0)</f>
        <v>90690</v>
      </c>
      <c r="Q46" s="43" cm="1">
        <f t="array" ref="Q46">IFERROR(
ROUND(
IF($A$2="COSTO",
   ((B46*(1+IFERROR(VLOOKUP($D$2,COLORES[],2,FALSE),0)))+H46)
   *(1-_xlfn.XLOOKUP(1,(DESC_PROV[LINEA]=$B$2)*(DESC_PROV[LISTA]=$C$2),DESC_PROV[DESCUENTO])),
   ((B46*(1+IFERROR(VLOOKUP($D$2,COLORES[],2,FALSE),0)))+H46)
   *(1-_xlfn.XLOOKUP(1,(DESC_PROV[LINEA]=$B$2)*(DESC_PROV[LISTA]=$C$2),DESC_PROV[DESCUENTO]))
   *(1+VLOOKUP($C$2,LISTAS[],2,FALSE))
   *(1+VLOOKUP($C$2,LISTAS[],3,FALSE))
)
/5,0)*5,0)</f>
        <v>168655</v>
      </c>
    </row>
    <row r="47" spans="1:17">
      <c r="A47" s="47" t="s">
        <v>182</v>
      </c>
      <c r="B47" s="42">
        <v>53460</v>
      </c>
      <c r="C47" s="42">
        <v>18471</v>
      </c>
      <c r="D47" s="42">
        <v>22281</v>
      </c>
      <c r="E47" s="42">
        <v>29702</v>
      </c>
      <c r="F47" s="42">
        <v>64210</v>
      </c>
      <c r="G47" s="42">
        <v>24471</v>
      </c>
      <c r="H47" s="42">
        <v>95188</v>
      </c>
      <c r="I47" s="2"/>
      <c r="J47" s="2"/>
      <c r="K47" s="47" t="s">
        <v>182</v>
      </c>
      <c r="L47" s="42" cm="1">
        <f t="array" ref="L47">IFERROR(
ROUND(
IF($A$2="COSTO",
   ((B47*(1+IFERROR(VLOOKUP($D$2,COLORES[],2,FALSE),0)))+C47)
   *(1-_xlfn.XLOOKUP(1,(DESC_PROV[LINEA]=$B$2)*(DESC_PROV[LISTA]=$C$2),DESC_PROV[DESCUENTO])),
   ((B47*(1+IFERROR(VLOOKUP($D$2,COLORES[],2,FALSE),0)))+C47)
   *(1-_xlfn.XLOOKUP(1,(DESC_PROV[LINEA]=$B$2)*(DESC_PROV[LISTA]=$C$2),DESC_PROV[DESCUENTO]))
   *(1+VLOOKUP($C$2,LISTAS[],2,FALSE))
   *(1+VLOOKUP($C$2,LISTAS[],3,FALSE))
)
/5,0)*5,0)</f>
        <v>89210</v>
      </c>
      <c r="M47" s="42" cm="1">
        <f t="array" ref="M47">IFERROR(
ROUND(
IF($A$2="COSTO",
   ((B47*(1+IFERROR(VLOOKUP($D$2,COLORES[],2,FALSE),0)))+D47)
   *(1-_xlfn.XLOOKUP(1,(DESC_PROV[LINEA]=$B$2)*(DESC_PROV[LISTA]=$C$2),DESC_PROV[DESCUENTO])),
   ((B47*(1+IFERROR(VLOOKUP($D$2,COLORES[],2,FALSE),0)))+D47)
   *(1-_xlfn.XLOOKUP(1,(DESC_PROV[LINEA]=$B$2)*(DESC_PROV[LISTA]=$C$2),DESC_PROV[DESCUENTO]))
   *(1+VLOOKUP($C$2,LISTAS[],2,FALSE))
   *(1+VLOOKUP($C$2,LISTAS[],3,FALSE))
)
/5,0)*5,0)</f>
        <v>93935</v>
      </c>
      <c r="N47" s="42" cm="1">
        <f t="array" ref="N47">IFERROR(
ROUND(
IF($A$2="COSTO",
   ((B47*(1+IFERROR(VLOOKUP($D$2,COLORES[],2,FALSE),0)))+E47)
   *(1-_xlfn.XLOOKUP(1,(DESC_PROV[LINEA]=$B$2)*(DESC_PROV[LISTA]=$C$2),DESC_PROV[DESCUENTO])),
   ((B47*(1+IFERROR(VLOOKUP($D$2,COLORES[],2,FALSE),0)))+E47)
   *(1-_xlfn.XLOOKUP(1,(DESC_PROV[LINEA]=$B$2)*(DESC_PROV[LISTA]=$C$2),DESC_PROV[DESCUENTO]))
   *(1+VLOOKUP($C$2,LISTAS[],2,FALSE))
   *(1+VLOOKUP($C$2,LISTAS[],3,FALSE))
)
/5,0)*5,0)</f>
        <v>103140</v>
      </c>
      <c r="O47" s="42" cm="1">
        <f t="array" ref="O47">IFERROR(
ROUND(
IF($A$2="COSTO",
   ((B47*(1+IFERROR(VLOOKUP($D$2,COLORES[],2,FALSE),0)))+F47)
   *(1-_xlfn.XLOOKUP(1,(DESC_PROV[LINEA]=$B$2)*(DESC_PROV[LISTA]=$C$2),DESC_PROV[DESCUENTO])),
   ((B47*(1+IFERROR(VLOOKUP($D$2,COLORES[],2,FALSE),0)))+F47)
   *(1-_xlfn.XLOOKUP(1,(DESC_PROV[LINEA]=$B$2)*(DESC_PROV[LISTA]=$C$2),DESC_PROV[DESCUENTO]))
   *(1+VLOOKUP($C$2,LISTAS[],2,FALSE))
   *(1+VLOOKUP($C$2,LISTAS[],3,FALSE))
)
/5,0)*5,0)</f>
        <v>145935</v>
      </c>
      <c r="P47" s="42" cm="1">
        <f t="array" ref="P47">IFERROR(
ROUND(
IF($A$2="COSTO",
   ((B47*(1+IFERROR(VLOOKUP($D$2,COLORES[],2,FALSE),0)))+G47)
   *(1-_xlfn.XLOOKUP(1,(DESC_PROV[LINEA]=$B$2)*(DESC_PROV[LISTA]=$C$2),DESC_PROV[DESCUENTO])),
   ((B47*(1+IFERROR(VLOOKUP($D$2,COLORES[],2,FALSE),0)))+G47)
   *(1-_xlfn.XLOOKUP(1,(DESC_PROV[LINEA]=$B$2)*(DESC_PROV[LISTA]=$C$2),DESC_PROV[DESCUENTO]))
   *(1+VLOOKUP($C$2,LISTAS[],2,FALSE))
   *(1+VLOOKUP($C$2,LISTAS[],3,FALSE))
)
/5,0)*5,0)</f>
        <v>96650</v>
      </c>
      <c r="Q47" s="43" cm="1">
        <f t="array" ref="Q47">IFERROR(
ROUND(
IF($A$2="COSTO",
   ((B47*(1+IFERROR(VLOOKUP($D$2,COLORES[],2,FALSE),0)))+H47)
   *(1-_xlfn.XLOOKUP(1,(DESC_PROV[LINEA]=$B$2)*(DESC_PROV[LISTA]=$C$2),DESC_PROV[DESCUENTO])),
   ((B47*(1+IFERROR(VLOOKUP($D$2,COLORES[],2,FALSE),0)))+H47)
   *(1-_xlfn.XLOOKUP(1,(DESC_PROV[LINEA]=$B$2)*(DESC_PROV[LISTA]=$C$2),DESC_PROV[DESCUENTO]))
   *(1+VLOOKUP($C$2,LISTAS[],2,FALSE))
   *(1+VLOOKUP($C$2,LISTAS[],3,FALSE))
)
/5,0)*5,0)</f>
        <v>184355</v>
      </c>
    </row>
    <row r="48" spans="1:17">
      <c r="A48" s="47" t="s">
        <v>183</v>
      </c>
      <c r="B48" s="42">
        <v>42983</v>
      </c>
      <c r="C48" s="42">
        <v>6923</v>
      </c>
      <c r="D48" s="42">
        <v>8389</v>
      </c>
      <c r="E48" s="42">
        <v>11068</v>
      </c>
      <c r="F48" s="42">
        <v>23937</v>
      </c>
      <c r="G48" s="42">
        <v>9267</v>
      </c>
      <c r="H48" s="42">
        <v>35838</v>
      </c>
      <c r="I48" s="2"/>
      <c r="J48" s="2"/>
      <c r="K48" s="47" t="s">
        <v>183</v>
      </c>
      <c r="L48" s="42" cm="1">
        <f t="array" ref="L48">IFERROR(
ROUND(
IF($A$2="COSTO",
   ((B48*(1+IFERROR(VLOOKUP($D$2,COLORES[],2,FALSE),0)))+C48)
   *(1-_xlfn.XLOOKUP(1,(DESC_PROV[LINEA]=$B$2)*(DESC_PROV[LISTA]=$C$2),DESC_PROV[DESCUENTO])),
   ((B48*(1+IFERROR(VLOOKUP($D$2,COLORES[],2,FALSE),0)))+C48)
   *(1-_xlfn.XLOOKUP(1,(DESC_PROV[LINEA]=$B$2)*(DESC_PROV[LISTA]=$C$2),DESC_PROV[DESCUENTO]))
   *(1+VLOOKUP($C$2,LISTAS[],2,FALSE))
   *(1+VLOOKUP($C$2,LISTAS[],3,FALSE))
)
/5,0)*5,0)</f>
        <v>61895</v>
      </c>
      <c r="M48" s="42" cm="1">
        <f t="array" ref="M48">IFERROR(
ROUND(
IF($A$2="COSTO",
   ((B48*(1+IFERROR(VLOOKUP($D$2,COLORES[],2,FALSE),0)))+D48)
   *(1-_xlfn.XLOOKUP(1,(DESC_PROV[LINEA]=$B$2)*(DESC_PROV[LISTA]=$C$2),DESC_PROV[DESCUENTO])),
   ((B48*(1+IFERROR(VLOOKUP($D$2,COLORES[],2,FALSE),0)))+D48)
   *(1-_xlfn.XLOOKUP(1,(DESC_PROV[LINEA]=$B$2)*(DESC_PROV[LISTA]=$C$2),DESC_PROV[DESCUENTO]))
   *(1+VLOOKUP($C$2,LISTAS[],2,FALSE))
   *(1+VLOOKUP($C$2,LISTAS[],3,FALSE))
)
/5,0)*5,0)</f>
        <v>63710</v>
      </c>
      <c r="N48" s="42" cm="1">
        <f t="array" ref="N48">IFERROR(
ROUND(
IF($A$2="COSTO",
   ((B48*(1+IFERROR(VLOOKUP($D$2,COLORES[],2,FALSE),0)))+E48)
   *(1-_xlfn.XLOOKUP(1,(DESC_PROV[LINEA]=$B$2)*(DESC_PROV[LISTA]=$C$2),DESC_PROV[DESCUENTO])),
   ((B48*(1+IFERROR(VLOOKUP($D$2,COLORES[],2,FALSE),0)))+E48)
   *(1-_xlfn.XLOOKUP(1,(DESC_PROV[LINEA]=$B$2)*(DESC_PROV[LISTA]=$C$2),DESC_PROV[DESCUENTO]))
   *(1+VLOOKUP($C$2,LISTAS[],2,FALSE))
   *(1+VLOOKUP($C$2,LISTAS[],3,FALSE))
)
/5,0)*5,0)</f>
        <v>67035</v>
      </c>
      <c r="O48" s="42" cm="1">
        <f t="array" ref="O48">IFERROR(
ROUND(
IF($A$2="COSTO",
   ((B48*(1+IFERROR(VLOOKUP($D$2,COLORES[],2,FALSE),0)))+F48)
   *(1-_xlfn.XLOOKUP(1,(DESC_PROV[LINEA]=$B$2)*(DESC_PROV[LISTA]=$C$2),DESC_PROV[DESCUENTO])),
   ((B48*(1+IFERROR(VLOOKUP($D$2,COLORES[],2,FALSE),0)))+F48)
   *(1-_xlfn.XLOOKUP(1,(DESC_PROV[LINEA]=$B$2)*(DESC_PROV[LISTA]=$C$2),DESC_PROV[DESCUENTO]))
   *(1+VLOOKUP($C$2,LISTAS[],2,FALSE))
   *(1+VLOOKUP($C$2,LISTAS[],3,FALSE))
)
/5,0)*5,0)</f>
        <v>82995</v>
      </c>
      <c r="P48" s="42" cm="1">
        <f t="array" ref="P48">IFERROR(
ROUND(
IF($A$2="COSTO",
   ((B48*(1+IFERROR(VLOOKUP($D$2,COLORES[],2,FALSE),0)))+G48)
   *(1-_xlfn.XLOOKUP(1,(DESC_PROV[LINEA]=$B$2)*(DESC_PROV[LISTA]=$C$2),DESC_PROV[DESCUENTO])),
   ((B48*(1+IFERROR(VLOOKUP($D$2,COLORES[],2,FALSE),0)))+G48)
   *(1-_xlfn.XLOOKUP(1,(DESC_PROV[LINEA]=$B$2)*(DESC_PROV[LISTA]=$C$2),DESC_PROV[DESCUENTO]))
   *(1+VLOOKUP($C$2,LISTAS[],2,FALSE))
   *(1+VLOOKUP($C$2,LISTAS[],3,FALSE))
)
/5,0)*5,0)</f>
        <v>64800</v>
      </c>
      <c r="Q48" s="43" cm="1">
        <f t="array" ref="Q48">IFERROR(
ROUND(
IF($A$2="COSTO",
   ((B48*(1+IFERROR(VLOOKUP($D$2,COLORES[],2,FALSE),0)))+H48)
   *(1-_xlfn.XLOOKUP(1,(DESC_PROV[LINEA]=$B$2)*(DESC_PROV[LISTA]=$C$2),DESC_PROV[DESCUENTO])),
   ((B48*(1+IFERROR(VLOOKUP($D$2,COLORES[],2,FALSE),0)))+H48)
   *(1-_xlfn.XLOOKUP(1,(DESC_PROV[LINEA]=$B$2)*(DESC_PROV[LISTA]=$C$2),DESC_PROV[DESCUENTO]))
   *(1+VLOOKUP($C$2,LISTAS[],2,FALSE))
   *(1+VLOOKUP($C$2,LISTAS[],3,FALSE))
)
/5,0)*5,0)</f>
        <v>97755</v>
      </c>
    </row>
    <row r="49" spans="1:17">
      <c r="A49" s="47" t="s">
        <v>184</v>
      </c>
      <c r="B49" s="42">
        <v>45077</v>
      </c>
      <c r="C49" s="42">
        <v>9231</v>
      </c>
      <c r="D49" s="42">
        <v>11168</v>
      </c>
      <c r="E49" s="42">
        <v>14797</v>
      </c>
      <c r="F49" s="42">
        <v>31865</v>
      </c>
      <c r="G49" s="42">
        <v>12308</v>
      </c>
      <c r="H49" s="42">
        <v>47708</v>
      </c>
      <c r="I49" s="2"/>
      <c r="J49" s="2"/>
      <c r="K49" s="47" t="s">
        <v>184</v>
      </c>
      <c r="L49" s="42" cm="1">
        <f t="array" ref="L49">IFERROR(
ROUND(
IF($A$2="COSTO",
   ((B49*(1+IFERROR(VLOOKUP($D$2,COLORES[],2,FALSE),0)))+C49)
   *(1-_xlfn.XLOOKUP(1,(DESC_PROV[LINEA]=$B$2)*(DESC_PROV[LISTA]=$C$2),DESC_PROV[DESCUENTO])),
   ((B49*(1+IFERROR(VLOOKUP($D$2,COLORES[],2,FALSE),0)))+C49)
   *(1-_xlfn.XLOOKUP(1,(DESC_PROV[LINEA]=$B$2)*(DESC_PROV[LISTA]=$C$2),DESC_PROV[DESCUENTO]))
   *(1+VLOOKUP($C$2,LISTAS[],2,FALSE))
   *(1+VLOOKUP($C$2,LISTAS[],3,FALSE))
)
/5,0)*5,0)</f>
        <v>67355</v>
      </c>
      <c r="M49" s="42" cm="1">
        <f t="array" ref="M49">IFERROR(
ROUND(
IF($A$2="COSTO",
   ((B49*(1+IFERROR(VLOOKUP($D$2,COLORES[],2,FALSE),0)))+D49)
   *(1-_xlfn.XLOOKUP(1,(DESC_PROV[LINEA]=$B$2)*(DESC_PROV[LISTA]=$C$2),DESC_PROV[DESCUENTO])),
   ((B49*(1+IFERROR(VLOOKUP($D$2,COLORES[],2,FALSE),0)))+D49)
   *(1-_xlfn.XLOOKUP(1,(DESC_PROV[LINEA]=$B$2)*(DESC_PROV[LISTA]=$C$2),DESC_PROV[DESCUENTO]))
   *(1+VLOOKUP($C$2,LISTAS[],2,FALSE))
   *(1+VLOOKUP($C$2,LISTAS[],3,FALSE))
)
/5,0)*5,0)</f>
        <v>69755</v>
      </c>
      <c r="N49" s="42" cm="1">
        <f t="array" ref="N49">IFERROR(
ROUND(
IF($A$2="COSTO",
   ((B49*(1+IFERROR(VLOOKUP($D$2,COLORES[],2,FALSE),0)))+E49)
   *(1-_xlfn.XLOOKUP(1,(DESC_PROV[LINEA]=$B$2)*(DESC_PROV[LISTA]=$C$2),DESC_PROV[DESCUENTO])),
   ((B49*(1+IFERROR(VLOOKUP($D$2,COLORES[],2,FALSE),0)))+E49)
   *(1-_xlfn.XLOOKUP(1,(DESC_PROV[LINEA]=$B$2)*(DESC_PROV[LISTA]=$C$2),DESC_PROV[DESCUENTO]))
   *(1+VLOOKUP($C$2,LISTAS[],2,FALSE))
   *(1+VLOOKUP($C$2,LISTAS[],3,FALSE))
)
/5,0)*5,0)</f>
        <v>74255</v>
      </c>
      <c r="O49" s="42" cm="1">
        <f t="array" ref="O49">IFERROR(
ROUND(
IF($A$2="COSTO",
   ((B49*(1+IFERROR(VLOOKUP($D$2,COLORES[],2,FALSE),0)))+F49)
   *(1-_xlfn.XLOOKUP(1,(DESC_PROV[LINEA]=$B$2)*(DESC_PROV[LISTA]=$C$2),DESC_PROV[DESCUENTO])),
   ((B49*(1+IFERROR(VLOOKUP($D$2,COLORES[],2,FALSE),0)))+F49)
   *(1-_xlfn.XLOOKUP(1,(DESC_PROV[LINEA]=$B$2)*(DESC_PROV[LISTA]=$C$2),DESC_PROV[DESCUENTO]))
   *(1+VLOOKUP($C$2,LISTAS[],2,FALSE))
   *(1+VLOOKUP($C$2,LISTAS[],3,FALSE))
)
/5,0)*5,0)</f>
        <v>95425</v>
      </c>
      <c r="P49" s="42" cm="1">
        <f t="array" ref="P49">IFERROR(
ROUND(
IF($A$2="COSTO",
   ((B49*(1+IFERROR(VLOOKUP($D$2,COLORES[],2,FALSE),0)))+G49)
   *(1-_xlfn.XLOOKUP(1,(DESC_PROV[LINEA]=$B$2)*(DESC_PROV[LISTA]=$C$2),DESC_PROV[DESCUENTO])),
   ((B49*(1+IFERROR(VLOOKUP($D$2,COLORES[],2,FALSE),0)))+G49)
   *(1-_xlfn.XLOOKUP(1,(DESC_PROV[LINEA]=$B$2)*(DESC_PROV[LISTA]=$C$2),DESC_PROV[DESCUENTO]))
   *(1+VLOOKUP($C$2,LISTAS[],2,FALSE))
   *(1+VLOOKUP($C$2,LISTAS[],3,FALSE))
)
/5,0)*5,0)</f>
        <v>71170</v>
      </c>
      <c r="Q49" s="43" cm="1">
        <f t="array" ref="Q49">IFERROR(
ROUND(
IF($A$2="COSTO",
   ((B49*(1+IFERROR(VLOOKUP($D$2,COLORES[],2,FALSE),0)))+H49)
   *(1-_xlfn.XLOOKUP(1,(DESC_PROV[LINEA]=$B$2)*(DESC_PROV[LISTA]=$C$2),DESC_PROV[DESCUENTO])),
   ((B49*(1+IFERROR(VLOOKUP($D$2,COLORES[],2,FALSE),0)))+H49)
   *(1-_xlfn.XLOOKUP(1,(DESC_PROV[LINEA]=$B$2)*(DESC_PROV[LISTA]=$C$2),DESC_PROV[DESCUENTO]))
   *(1+VLOOKUP($C$2,LISTAS[],2,FALSE))
   *(1+VLOOKUP($C$2,LISTAS[],3,FALSE))
)
/5,0)*5,0)</f>
        <v>115070</v>
      </c>
    </row>
    <row r="50" spans="1:17">
      <c r="A50" s="47" t="s">
        <v>185</v>
      </c>
      <c r="B50" s="42">
        <v>47172</v>
      </c>
      <c r="C50" s="42">
        <v>11548</v>
      </c>
      <c r="D50" s="42">
        <v>13946</v>
      </c>
      <c r="E50" s="42">
        <v>18525</v>
      </c>
      <c r="F50" s="42">
        <v>40155</v>
      </c>
      <c r="G50" s="42">
        <v>15349</v>
      </c>
      <c r="H50" s="42">
        <v>59578</v>
      </c>
      <c r="I50" s="2"/>
      <c r="J50" s="2"/>
      <c r="K50" s="47" t="s">
        <v>185</v>
      </c>
      <c r="L50" s="42" cm="1">
        <f t="array" ref="L50">IFERROR(
ROUND(
IF($A$2="COSTO",
   ((B50*(1+IFERROR(VLOOKUP($D$2,COLORES[],2,FALSE),0)))+C50)
   *(1-_xlfn.XLOOKUP(1,(DESC_PROV[LINEA]=$B$2)*(DESC_PROV[LISTA]=$C$2),DESC_PROV[DESCUENTO])),
   ((B50*(1+IFERROR(VLOOKUP($D$2,COLORES[],2,FALSE),0)))+C50)
   *(1-_xlfn.XLOOKUP(1,(DESC_PROV[LINEA]=$B$2)*(DESC_PROV[LISTA]=$C$2),DESC_PROV[DESCUENTO]))
   *(1+VLOOKUP($C$2,LISTAS[],2,FALSE))
   *(1+VLOOKUP($C$2,LISTAS[],3,FALSE))
)
/5,0)*5,0)</f>
        <v>72825</v>
      </c>
      <c r="M50" s="42" cm="1">
        <f t="array" ref="M50">IFERROR(
ROUND(
IF($A$2="COSTO",
   ((B50*(1+IFERROR(VLOOKUP($D$2,COLORES[],2,FALSE),0)))+D50)
   *(1-_xlfn.XLOOKUP(1,(DESC_PROV[LINEA]=$B$2)*(DESC_PROV[LISTA]=$C$2),DESC_PROV[DESCUENTO])),
   ((B50*(1+IFERROR(VLOOKUP($D$2,COLORES[],2,FALSE),0)))+D50)
   *(1-_xlfn.XLOOKUP(1,(DESC_PROV[LINEA]=$B$2)*(DESC_PROV[LISTA]=$C$2),DESC_PROV[DESCUENTO]))
   *(1+VLOOKUP($C$2,LISTAS[],2,FALSE))
   *(1+VLOOKUP($C$2,LISTAS[],3,FALSE))
)
/5,0)*5,0)</f>
        <v>75800</v>
      </c>
      <c r="N50" s="42" cm="1">
        <f t="array" ref="N50">IFERROR(
ROUND(
IF($A$2="COSTO",
   ((B50*(1+IFERROR(VLOOKUP($D$2,COLORES[],2,FALSE),0)))+E50)
   *(1-_xlfn.XLOOKUP(1,(DESC_PROV[LINEA]=$B$2)*(DESC_PROV[LISTA]=$C$2),DESC_PROV[DESCUENTO])),
   ((B50*(1+IFERROR(VLOOKUP($D$2,COLORES[],2,FALSE),0)))+E50)
   *(1-_xlfn.XLOOKUP(1,(DESC_PROV[LINEA]=$B$2)*(DESC_PROV[LISTA]=$C$2),DESC_PROV[DESCUENTO]))
   *(1+VLOOKUP($C$2,LISTAS[],2,FALSE))
   *(1+VLOOKUP($C$2,LISTAS[],3,FALSE))
)
/5,0)*5,0)</f>
        <v>81475</v>
      </c>
      <c r="O50" s="42" cm="1">
        <f t="array" ref="O50">IFERROR(
ROUND(
IF($A$2="COSTO",
   ((B50*(1+IFERROR(VLOOKUP($D$2,COLORES[],2,FALSE),0)))+F50)
   *(1-_xlfn.XLOOKUP(1,(DESC_PROV[LINEA]=$B$2)*(DESC_PROV[LISTA]=$C$2),DESC_PROV[DESCUENTO])),
   ((B50*(1+IFERROR(VLOOKUP($D$2,COLORES[],2,FALSE),0)))+F50)
   *(1-_xlfn.XLOOKUP(1,(DESC_PROV[LINEA]=$B$2)*(DESC_PROV[LISTA]=$C$2),DESC_PROV[DESCUENTO]))
   *(1+VLOOKUP($C$2,LISTAS[],2,FALSE))
   *(1+VLOOKUP($C$2,LISTAS[],3,FALSE))
)
/5,0)*5,0)</f>
        <v>108305</v>
      </c>
      <c r="P50" s="42" cm="1">
        <f t="array" ref="P50">IFERROR(
ROUND(
IF($A$2="COSTO",
   ((B50*(1+IFERROR(VLOOKUP($D$2,COLORES[],2,FALSE),0)))+G50)
   *(1-_xlfn.XLOOKUP(1,(DESC_PROV[LINEA]=$B$2)*(DESC_PROV[LISTA]=$C$2),DESC_PROV[DESCUENTO])),
   ((B50*(1+IFERROR(VLOOKUP($D$2,COLORES[],2,FALSE),0)))+G50)
   *(1-_xlfn.XLOOKUP(1,(DESC_PROV[LINEA]=$B$2)*(DESC_PROV[LISTA]=$C$2),DESC_PROV[DESCUENTO]))
   *(1+VLOOKUP($C$2,LISTAS[],2,FALSE))
   *(1+VLOOKUP($C$2,LISTAS[],3,FALSE))
)
/5,0)*5,0)</f>
        <v>77540</v>
      </c>
      <c r="Q50" s="43" cm="1">
        <f t="array" ref="Q50">IFERROR(
ROUND(
IF($A$2="COSTO",
   ((B50*(1+IFERROR(VLOOKUP($D$2,COLORES[],2,FALSE),0)))+H50)
   *(1-_xlfn.XLOOKUP(1,(DESC_PROV[LINEA]=$B$2)*(DESC_PROV[LISTA]=$C$2),DESC_PROV[DESCUENTO])),
   ((B50*(1+IFERROR(VLOOKUP($D$2,COLORES[],2,FALSE),0)))+H50)
   *(1-_xlfn.XLOOKUP(1,(DESC_PROV[LINEA]=$B$2)*(DESC_PROV[LISTA]=$C$2),DESC_PROV[DESCUENTO]))
   *(1+VLOOKUP($C$2,LISTAS[],2,FALSE))
   *(1+VLOOKUP($C$2,LISTAS[],3,FALSE))
)
/5,0)*5,0)</f>
        <v>132390</v>
      </c>
    </row>
    <row r="51" spans="1:17">
      <c r="A51" s="47" t="s">
        <v>186</v>
      </c>
      <c r="B51" s="42">
        <v>49266</v>
      </c>
      <c r="C51" s="42">
        <v>13856</v>
      </c>
      <c r="D51" s="42">
        <v>16724</v>
      </c>
      <c r="E51" s="42">
        <v>22254</v>
      </c>
      <c r="F51" s="42">
        <v>48173</v>
      </c>
      <c r="G51" s="42">
        <v>18390</v>
      </c>
      <c r="H51" s="42">
        <v>71448</v>
      </c>
      <c r="I51" s="2"/>
      <c r="J51" s="2"/>
      <c r="K51" s="47" t="s">
        <v>186</v>
      </c>
      <c r="L51" s="42" cm="1">
        <f t="array" ref="L51">IFERROR(
ROUND(
IF($A$2="COSTO",
   ((B51*(1+IFERROR(VLOOKUP($D$2,COLORES[],2,FALSE),0)))+C51)
   *(1-_xlfn.XLOOKUP(1,(DESC_PROV[LINEA]=$B$2)*(DESC_PROV[LISTA]=$C$2),DESC_PROV[DESCUENTO])),
   ((B51*(1+IFERROR(VLOOKUP($D$2,COLORES[],2,FALSE),0)))+C51)
   *(1-_xlfn.XLOOKUP(1,(DESC_PROV[LINEA]=$B$2)*(DESC_PROV[LISTA]=$C$2),DESC_PROV[DESCUENTO]))
   *(1+VLOOKUP($C$2,LISTAS[],2,FALSE))
   *(1+VLOOKUP($C$2,LISTAS[],3,FALSE))
)
/5,0)*5,0)</f>
        <v>78285</v>
      </c>
      <c r="M51" s="42" cm="1">
        <f t="array" ref="M51">IFERROR(
ROUND(
IF($A$2="COSTO",
   ((B51*(1+IFERROR(VLOOKUP($D$2,COLORES[],2,FALSE),0)))+D51)
   *(1-_xlfn.XLOOKUP(1,(DESC_PROV[LINEA]=$B$2)*(DESC_PROV[LISTA]=$C$2),DESC_PROV[DESCUENTO])),
   ((B51*(1+IFERROR(VLOOKUP($D$2,COLORES[],2,FALSE),0)))+D51)
   *(1-_xlfn.XLOOKUP(1,(DESC_PROV[LINEA]=$B$2)*(DESC_PROV[LISTA]=$C$2),DESC_PROV[DESCUENTO]))
   *(1+VLOOKUP($C$2,LISTAS[],2,FALSE))
   *(1+VLOOKUP($C$2,LISTAS[],3,FALSE))
)
/5,0)*5,0)</f>
        <v>81840</v>
      </c>
      <c r="N51" s="42" cm="1">
        <f t="array" ref="N51">IFERROR(
ROUND(
IF($A$2="COSTO",
   ((B51*(1+IFERROR(VLOOKUP($D$2,COLORES[],2,FALSE),0)))+E51)
   *(1-_xlfn.XLOOKUP(1,(DESC_PROV[LINEA]=$B$2)*(DESC_PROV[LISTA]=$C$2),DESC_PROV[DESCUENTO])),
   ((B51*(1+IFERROR(VLOOKUP($D$2,COLORES[],2,FALSE),0)))+E51)
   *(1-_xlfn.XLOOKUP(1,(DESC_PROV[LINEA]=$B$2)*(DESC_PROV[LISTA]=$C$2),DESC_PROV[DESCUENTO]))
   *(1+VLOOKUP($C$2,LISTAS[],2,FALSE))
   *(1+VLOOKUP($C$2,LISTAS[],3,FALSE))
)
/5,0)*5,0)</f>
        <v>88700</v>
      </c>
      <c r="O51" s="42" cm="1">
        <f t="array" ref="O51">IFERROR(
ROUND(
IF($A$2="COSTO",
   ((B51*(1+IFERROR(VLOOKUP($D$2,COLORES[],2,FALSE),0)))+F51)
   *(1-_xlfn.XLOOKUP(1,(DESC_PROV[LINEA]=$B$2)*(DESC_PROV[LISTA]=$C$2),DESC_PROV[DESCUENTO])),
   ((B51*(1+IFERROR(VLOOKUP($D$2,COLORES[],2,FALSE),0)))+F51)
   *(1-_xlfn.XLOOKUP(1,(DESC_PROV[LINEA]=$B$2)*(DESC_PROV[LISTA]=$C$2),DESC_PROV[DESCUENTO]))
   *(1+VLOOKUP($C$2,LISTAS[],2,FALSE))
   *(1+VLOOKUP($C$2,LISTAS[],3,FALSE))
)
/5,0)*5,0)</f>
        <v>120845</v>
      </c>
      <c r="P51" s="42" cm="1">
        <f t="array" ref="P51">IFERROR(
ROUND(
IF($A$2="COSTO",
   ((B51*(1+IFERROR(VLOOKUP($D$2,COLORES[],2,FALSE),0)))+G51)
   *(1-_xlfn.XLOOKUP(1,(DESC_PROV[LINEA]=$B$2)*(DESC_PROV[LISTA]=$C$2),DESC_PROV[DESCUENTO])),
   ((B51*(1+IFERROR(VLOOKUP($D$2,COLORES[],2,FALSE),0)))+G51)
   *(1-_xlfn.XLOOKUP(1,(DESC_PROV[LINEA]=$B$2)*(DESC_PROV[LISTA]=$C$2),DESC_PROV[DESCUENTO]))
   *(1+VLOOKUP($C$2,LISTAS[],2,FALSE))
   *(1+VLOOKUP($C$2,LISTAS[],3,FALSE))
)
/5,0)*5,0)</f>
        <v>83905</v>
      </c>
      <c r="Q51" s="43" cm="1">
        <f t="array" ref="Q51">IFERROR(
ROUND(
IF($A$2="COSTO",
   ((B51*(1+IFERROR(VLOOKUP($D$2,COLORES[],2,FALSE),0)))+H51)
   *(1-_xlfn.XLOOKUP(1,(DESC_PROV[LINEA]=$B$2)*(DESC_PROV[LISTA]=$C$2),DESC_PROV[DESCUENTO])),
   ((B51*(1+IFERROR(VLOOKUP($D$2,COLORES[],2,FALSE),0)))+H51)
   *(1-_xlfn.XLOOKUP(1,(DESC_PROV[LINEA]=$B$2)*(DESC_PROV[LISTA]=$C$2),DESC_PROV[DESCUENTO]))
   *(1+VLOOKUP($C$2,LISTAS[],2,FALSE))
   *(1+VLOOKUP($C$2,LISTAS[],3,FALSE))
)
/5,0)*5,0)</f>
        <v>149710</v>
      </c>
    </row>
    <row r="52" spans="1:17">
      <c r="A52" s="47" t="s">
        <v>187</v>
      </c>
      <c r="B52" s="42">
        <v>51360</v>
      </c>
      <c r="C52" s="42">
        <v>16154</v>
      </c>
      <c r="D52" s="42">
        <v>19503</v>
      </c>
      <c r="E52" s="42">
        <v>25983</v>
      </c>
      <c r="F52" s="42">
        <v>56191</v>
      </c>
      <c r="G52" s="42">
        <v>21430</v>
      </c>
      <c r="H52" s="42">
        <v>83318</v>
      </c>
      <c r="I52" s="2"/>
      <c r="J52" s="2"/>
      <c r="K52" s="47" t="s">
        <v>187</v>
      </c>
      <c r="L52" s="42" cm="1">
        <f t="array" ref="L52">IFERROR(
ROUND(
IF($A$2="COSTO",
   ((B52*(1+IFERROR(VLOOKUP($D$2,COLORES[],2,FALSE),0)))+C52)
   *(1-_xlfn.XLOOKUP(1,(DESC_PROV[LINEA]=$B$2)*(DESC_PROV[LISTA]=$C$2),DESC_PROV[DESCUENTO])),
   ((B52*(1+IFERROR(VLOOKUP($D$2,COLORES[],2,FALSE),0)))+C52)
   *(1-_xlfn.XLOOKUP(1,(DESC_PROV[LINEA]=$B$2)*(DESC_PROV[LISTA]=$C$2),DESC_PROV[DESCUENTO]))
   *(1+VLOOKUP($C$2,LISTAS[],2,FALSE))
   *(1+VLOOKUP($C$2,LISTAS[],3,FALSE))
)
/5,0)*5,0)</f>
        <v>83730</v>
      </c>
      <c r="M52" s="42" cm="1">
        <f t="array" ref="M52">IFERROR(
ROUND(
IF($A$2="COSTO",
   ((B52*(1+IFERROR(VLOOKUP($D$2,COLORES[],2,FALSE),0)))+D52)
   *(1-_xlfn.XLOOKUP(1,(DESC_PROV[LINEA]=$B$2)*(DESC_PROV[LISTA]=$C$2),DESC_PROV[DESCUENTO])),
   ((B52*(1+IFERROR(VLOOKUP($D$2,COLORES[],2,FALSE),0)))+D52)
   *(1-_xlfn.XLOOKUP(1,(DESC_PROV[LINEA]=$B$2)*(DESC_PROV[LISTA]=$C$2),DESC_PROV[DESCUENTO]))
   *(1+VLOOKUP($C$2,LISTAS[],2,FALSE))
   *(1+VLOOKUP($C$2,LISTAS[],3,FALSE))
)
/5,0)*5,0)</f>
        <v>87885</v>
      </c>
      <c r="N52" s="42" cm="1">
        <f t="array" ref="N52">IFERROR(
ROUND(
IF($A$2="COSTO",
   ((B52*(1+IFERROR(VLOOKUP($D$2,COLORES[],2,FALSE),0)))+E52)
   *(1-_xlfn.XLOOKUP(1,(DESC_PROV[LINEA]=$B$2)*(DESC_PROV[LISTA]=$C$2),DESC_PROV[DESCUENTO])),
   ((B52*(1+IFERROR(VLOOKUP($D$2,COLORES[],2,FALSE),0)))+E52)
   *(1-_xlfn.XLOOKUP(1,(DESC_PROV[LINEA]=$B$2)*(DESC_PROV[LISTA]=$C$2),DESC_PROV[DESCUENTO]))
   *(1+VLOOKUP($C$2,LISTAS[],2,FALSE))
   *(1+VLOOKUP($C$2,LISTAS[],3,FALSE))
)
/5,0)*5,0)</f>
        <v>95920</v>
      </c>
      <c r="O52" s="42" cm="1">
        <f t="array" ref="O52">IFERROR(
ROUND(
IF($A$2="COSTO",
   ((B52*(1+IFERROR(VLOOKUP($D$2,COLORES[],2,FALSE),0)))+F52)
   *(1-_xlfn.XLOOKUP(1,(DESC_PROV[LINEA]=$B$2)*(DESC_PROV[LISTA]=$C$2),DESC_PROV[DESCUENTO])),
   ((B52*(1+IFERROR(VLOOKUP($D$2,COLORES[],2,FALSE),0)))+F52)
   *(1-_xlfn.XLOOKUP(1,(DESC_PROV[LINEA]=$B$2)*(DESC_PROV[LISTA]=$C$2),DESC_PROV[DESCUENTO]))
   *(1+VLOOKUP($C$2,LISTAS[],2,FALSE))
   *(1+VLOOKUP($C$2,LISTAS[],3,FALSE))
)
/5,0)*5,0)</f>
        <v>133385</v>
      </c>
      <c r="P52" s="42" cm="1">
        <f t="array" ref="P52">IFERROR(
ROUND(
IF($A$2="COSTO",
   ((B52*(1+IFERROR(VLOOKUP($D$2,COLORES[],2,FALSE),0)))+G52)
   *(1-_xlfn.XLOOKUP(1,(DESC_PROV[LINEA]=$B$2)*(DESC_PROV[LISTA]=$C$2),DESC_PROV[DESCUENTO])),
   ((B52*(1+IFERROR(VLOOKUP($D$2,COLORES[],2,FALSE),0)))+G52)
   *(1-_xlfn.XLOOKUP(1,(DESC_PROV[LINEA]=$B$2)*(DESC_PROV[LISTA]=$C$2),DESC_PROV[DESCUENTO]))
   *(1+VLOOKUP($C$2,LISTAS[],2,FALSE))
   *(1+VLOOKUP($C$2,LISTAS[],3,FALSE))
)
/5,0)*5,0)</f>
        <v>90275</v>
      </c>
      <c r="Q52" s="43" cm="1">
        <f t="array" ref="Q52">IFERROR(
ROUND(
IF($A$2="COSTO",
   ((B52*(1+IFERROR(VLOOKUP($D$2,COLORES[],2,FALSE),0)))+H52)
   *(1-_xlfn.XLOOKUP(1,(DESC_PROV[LINEA]=$B$2)*(DESC_PROV[LISTA]=$C$2),DESC_PROV[DESCUENTO])),
   ((B52*(1+IFERROR(VLOOKUP($D$2,COLORES[],2,FALSE),0)))+H52)
   *(1-_xlfn.XLOOKUP(1,(DESC_PROV[LINEA]=$B$2)*(DESC_PROV[LISTA]=$C$2),DESC_PROV[DESCUENTO]))
   *(1+VLOOKUP($C$2,LISTAS[],2,FALSE))
   *(1+VLOOKUP($C$2,LISTAS[],3,FALSE))
)
/5,0)*5,0)</f>
        <v>167030</v>
      </c>
    </row>
    <row r="53" spans="1:17">
      <c r="A53" s="47" t="s">
        <v>188</v>
      </c>
      <c r="B53" s="42">
        <v>53460</v>
      </c>
      <c r="C53" s="42">
        <v>18471</v>
      </c>
      <c r="D53" s="42">
        <v>22281</v>
      </c>
      <c r="E53" s="42">
        <v>29702</v>
      </c>
      <c r="F53" s="42">
        <v>64210</v>
      </c>
      <c r="G53" s="42">
        <v>24471</v>
      </c>
      <c r="H53" s="42">
        <v>95188</v>
      </c>
      <c r="I53" s="2"/>
      <c r="J53" s="2"/>
      <c r="K53" s="47" t="s">
        <v>188</v>
      </c>
      <c r="L53" s="42" cm="1">
        <f t="array" ref="L53">IFERROR(
ROUND(
IF($A$2="COSTO",
   ((B53*(1+IFERROR(VLOOKUP($D$2,COLORES[],2,FALSE),0)))+C53)
   *(1-_xlfn.XLOOKUP(1,(DESC_PROV[LINEA]=$B$2)*(DESC_PROV[LISTA]=$C$2),DESC_PROV[DESCUENTO])),
   ((B53*(1+IFERROR(VLOOKUP($D$2,COLORES[],2,FALSE),0)))+C53)
   *(1-_xlfn.XLOOKUP(1,(DESC_PROV[LINEA]=$B$2)*(DESC_PROV[LISTA]=$C$2),DESC_PROV[DESCUENTO]))
   *(1+VLOOKUP($C$2,LISTAS[],2,FALSE))
   *(1+VLOOKUP($C$2,LISTAS[],3,FALSE))
)
/5,0)*5,0)</f>
        <v>89210</v>
      </c>
      <c r="M53" s="42" cm="1">
        <f t="array" ref="M53">IFERROR(
ROUND(
IF($A$2="COSTO",
   ((B53*(1+IFERROR(VLOOKUP($D$2,COLORES[],2,FALSE),0)))+D53)
   *(1-_xlfn.XLOOKUP(1,(DESC_PROV[LINEA]=$B$2)*(DESC_PROV[LISTA]=$C$2),DESC_PROV[DESCUENTO])),
   ((B53*(1+IFERROR(VLOOKUP($D$2,COLORES[],2,FALSE),0)))+D53)
   *(1-_xlfn.XLOOKUP(1,(DESC_PROV[LINEA]=$B$2)*(DESC_PROV[LISTA]=$C$2),DESC_PROV[DESCUENTO]))
   *(1+VLOOKUP($C$2,LISTAS[],2,FALSE))
   *(1+VLOOKUP($C$2,LISTAS[],3,FALSE))
)
/5,0)*5,0)</f>
        <v>93935</v>
      </c>
      <c r="N53" s="42" cm="1">
        <f t="array" ref="N53">IFERROR(
ROUND(
IF($A$2="COSTO",
   ((B53*(1+IFERROR(VLOOKUP($D$2,COLORES[],2,FALSE),0)))+E53)
   *(1-_xlfn.XLOOKUP(1,(DESC_PROV[LINEA]=$B$2)*(DESC_PROV[LISTA]=$C$2),DESC_PROV[DESCUENTO])),
   ((B53*(1+IFERROR(VLOOKUP($D$2,COLORES[],2,FALSE),0)))+E53)
   *(1-_xlfn.XLOOKUP(1,(DESC_PROV[LINEA]=$B$2)*(DESC_PROV[LISTA]=$C$2),DESC_PROV[DESCUENTO]))
   *(1+VLOOKUP($C$2,LISTAS[],2,FALSE))
   *(1+VLOOKUP($C$2,LISTAS[],3,FALSE))
)
/5,0)*5,0)</f>
        <v>103140</v>
      </c>
      <c r="O53" s="42" cm="1">
        <f t="array" ref="O53">IFERROR(
ROUND(
IF($A$2="COSTO",
   ((B53*(1+IFERROR(VLOOKUP($D$2,COLORES[],2,FALSE),0)))+F53)
   *(1-_xlfn.XLOOKUP(1,(DESC_PROV[LINEA]=$B$2)*(DESC_PROV[LISTA]=$C$2),DESC_PROV[DESCUENTO])),
   ((B53*(1+IFERROR(VLOOKUP($D$2,COLORES[],2,FALSE),0)))+F53)
   *(1-_xlfn.XLOOKUP(1,(DESC_PROV[LINEA]=$B$2)*(DESC_PROV[LISTA]=$C$2),DESC_PROV[DESCUENTO]))
   *(1+VLOOKUP($C$2,LISTAS[],2,FALSE))
   *(1+VLOOKUP($C$2,LISTAS[],3,FALSE))
)
/5,0)*5,0)</f>
        <v>145935</v>
      </c>
      <c r="P53" s="42" cm="1">
        <f t="array" ref="P53">IFERROR(
ROUND(
IF($A$2="COSTO",
   ((B53*(1+IFERROR(VLOOKUP($D$2,COLORES[],2,FALSE),0)))+G53)
   *(1-_xlfn.XLOOKUP(1,(DESC_PROV[LINEA]=$B$2)*(DESC_PROV[LISTA]=$C$2),DESC_PROV[DESCUENTO])),
   ((B53*(1+IFERROR(VLOOKUP($D$2,COLORES[],2,FALSE),0)))+G53)
   *(1-_xlfn.XLOOKUP(1,(DESC_PROV[LINEA]=$B$2)*(DESC_PROV[LISTA]=$C$2),DESC_PROV[DESCUENTO]))
   *(1+VLOOKUP($C$2,LISTAS[],2,FALSE))
   *(1+VLOOKUP($C$2,LISTAS[],3,FALSE))
)
/5,0)*5,0)</f>
        <v>96650</v>
      </c>
      <c r="Q53" s="43" cm="1">
        <f t="array" ref="Q53">IFERROR(
ROUND(
IF($A$2="COSTO",
   ((B53*(1+IFERROR(VLOOKUP($D$2,COLORES[],2,FALSE),0)))+H53)
   *(1-_xlfn.XLOOKUP(1,(DESC_PROV[LINEA]=$B$2)*(DESC_PROV[LISTA]=$C$2),DESC_PROV[DESCUENTO])),
   ((B53*(1+IFERROR(VLOOKUP($D$2,COLORES[],2,FALSE),0)))+H53)
   *(1-_xlfn.XLOOKUP(1,(DESC_PROV[LINEA]=$B$2)*(DESC_PROV[LISTA]=$C$2),DESC_PROV[DESCUENTO]))
   *(1+VLOOKUP($C$2,LISTAS[],2,FALSE))
   *(1+VLOOKUP($C$2,LISTAS[],3,FALSE))
)
/5,0)*5,0)</f>
        <v>184355</v>
      </c>
    </row>
    <row r="54" spans="1:17">
      <c r="A54" s="47" t="s">
        <v>15</v>
      </c>
      <c r="B54" s="42">
        <v>55555</v>
      </c>
      <c r="C54" s="42">
        <v>20788</v>
      </c>
      <c r="D54" s="42">
        <v>24589</v>
      </c>
      <c r="E54" s="42">
        <v>33422</v>
      </c>
      <c r="F54" s="42">
        <v>71748</v>
      </c>
      <c r="G54" s="42">
        <v>27512</v>
      </c>
      <c r="H54" s="42">
        <v>107058</v>
      </c>
      <c r="I54" s="2"/>
      <c r="J54" s="2"/>
      <c r="K54" s="47" t="s">
        <v>15</v>
      </c>
      <c r="L54" s="42" cm="1">
        <f t="array" ref="L54">IFERROR(
ROUND(
IF($A$2="COSTO",
   ((B54*(1+IFERROR(VLOOKUP($D$2,COLORES[],2,FALSE),0)))+C54)
   *(1-_xlfn.XLOOKUP(1,(DESC_PROV[LINEA]=$B$2)*(DESC_PROV[LISTA]=$C$2),DESC_PROV[DESCUENTO])),
   ((B54*(1+IFERROR(VLOOKUP($D$2,COLORES[],2,FALSE),0)))+C54)
   *(1-_xlfn.XLOOKUP(1,(DESC_PROV[LINEA]=$B$2)*(DESC_PROV[LISTA]=$C$2),DESC_PROV[DESCUENTO]))
   *(1+VLOOKUP($C$2,LISTAS[],2,FALSE))
   *(1+VLOOKUP($C$2,LISTAS[],3,FALSE))
)
/5,0)*5,0)</f>
        <v>94680</v>
      </c>
      <c r="M54" s="42" cm="1">
        <f t="array" ref="M54">IFERROR(
ROUND(
IF($A$2="COSTO",
   ((B54*(1+IFERROR(VLOOKUP($D$2,COLORES[],2,FALSE),0)))+D54)
   *(1-_xlfn.XLOOKUP(1,(DESC_PROV[LINEA]=$B$2)*(DESC_PROV[LISTA]=$C$2),DESC_PROV[DESCUENTO])),
   ((B54*(1+IFERROR(VLOOKUP($D$2,COLORES[],2,FALSE),0)))+D54)
   *(1-_xlfn.XLOOKUP(1,(DESC_PROV[LINEA]=$B$2)*(DESC_PROV[LISTA]=$C$2),DESC_PROV[DESCUENTO]))
   *(1+VLOOKUP($C$2,LISTAS[],2,FALSE))
   *(1+VLOOKUP($C$2,LISTAS[],3,FALSE))
)
/5,0)*5,0)</f>
        <v>99395</v>
      </c>
      <c r="N54" s="42" cm="1">
        <f t="array" ref="N54">IFERROR(
ROUND(
IF($A$2="COSTO",
   ((B54*(1+IFERROR(VLOOKUP($D$2,COLORES[],2,FALSE),0)))+E54)
   *(1-_xlfn.XLOOKUP(1,(DESC_PROV[LINEA]=$B$2)*(DESC_PROV[LISTA]=$C$2),DESC_PROV[DESCUENTO])),
   ((B54*(1+IFERROR(VLOOKUP($D$2,COLORES[],2,FALSE),0)))+E54)
   *(1-_xlfn.XLOOKUP(1,(DESC_PROV[LINEA]=$B$2)*(DESC_PROV[LISTA]=$C$2),DESC_PROV[DESCUENTO]))
   *(1+VLOOKUP($C$2,LISTAS[],2,FALSE))
   *(1+VLOOKUP($C$2,LISTAS[],3,FALSE))
)
/5,0)*5,0)</f>
        <v>110350</v>
      </c>
      <c r="O54" s="42" cm="1">
        <f t="array" ref="O54">IFERROR(
ROUND(
IF($A$2="COSTO",
   ((B54*(1+IFERROR(VLOOKUP($D$2,COLORES[],2,FALSE),0)))+F54)
   *(1-_xlfn.XLOOKUP(1,(DESC_PROV[LINEA]=$B$2)*(DESC_PROV[LISTA]=$C$2),DESC_PROV[DESCUENTO])),
   ((B54*(1+IFERROR(VLOOKUP($D$2,COLORES[],2,FALSE),0)))+F54)
   *(1-_xlfn.XLOOKUP(1,(DESC_PROV[LINEA]=$B$2)*(DESC_PROV[LISTA]=$C$2),DESC_PROV[DESCUENTO]))
   *(1+VLOOKUP($C$2,LISTAS[],2,FALSE))
   *(1+VLOOKUP($C$2,LISTAS[],3,FALSE))
)
/5,0)*5,0)</f>
        <v>157880</v>
      </c>
      <c r="P54" s="42" cm="1">
        <f t="array" ref="P54">IFERROR(
ROUND(
IF($A$2="COSTO",
   ((B54*(1+IFERROR(VLOOKUP($D$2,COLORES[],2,FALSE),0)))+G54)
   *(1-_xlfn.XLOOKUP(1,(DESC_PROV[LINEA]=$B$2)*(DESC_PROV[LISTA]=$C$2),DESC_PROV[DESCUENTO])),
   ((B54*(1+IFERROR(VLOOKUP($D$2,COLORES[],2,FALSE),0)))+G54)
   *(1-_xlfn.XLOOKUP(1,(DESC_PROV[LINEA]=$B$2)*(DESC_PROV[LISTA]=$C$2),DESC_PROV[DESCUENTO]))
   *(1+VLOOKUP($C$2,LISTAS[],2,FALSE))
   *(1+VLOOKUP($C$2,LISTAS[],3,FALSE))
)
/5,0)*5,0)</f>
        <v>103020</v>
      </c>
      <c r="Q54" s="43" cm="1">
        <f t="array" ref="Q54">IFERROR(
ROUND(
IF($A$2="COSTO",
   ((B54*(1+IFERROR(VLOOKUP($D$2,COLORES[],2,FALSE),0)))+H54)
   *(1-_xlfn.XLOOKUP(1,(DESC_PROV[LINEA]=$B$2)*(DESC_PROV[LISTA]=$C$2),DESC_PROV[DESCUENTO])),
   ((B54*(1+IFERROR(VLOOKUP($D$2,COLORES[],2,FALSE),0)))+H54)
   *(1-_xlfn.XLOOKUP(1,(DESC_PROV[LINEA]=$B$2)*(DESC_PROV[LISTA]=$C$2),DESC_PROV[DESCUENTO]))
   *(1+VLOOKUP($C$2,LISTAS[],2,FALSE))
   *(1+VLOOKUP($C$2,LISTAS[],3,FALSE))
)
/5,0)*5,0)</f>
        <v>201675</v>
      </c>
    </row>
    <row r="55" spans="1:17">
      <c r="A55" s="47" t="s">
        <v>189</v>
      </c>
      <c r="B55" s="42">
        <v>45077</v>
      </c>
      <c r="C55" s="42">
        <v>7693</v>
      </c>
      <c r="D55" s="42">
        <v>9322</v>
      </c>
      <c r="E55" s="42">
        <v>12308</v>
      </c>
      <c r="F55" s="42">
        <v>26571</v>
      </c>
      <c r="G55" s="42">
        <v>10263</v>
      </c>
      <c r="H55" s="42">
        <v>39758</v>
      </c>
      <c r="I55" s="2"/>
      <c r="J55" s="2"/>
      <c r="K55" s="47" t="s">
        <v>189</v>
      </c>
      <c r="L55" s="42" cm="1">
        <f t="array" ref="L55">IFERROR(
ROUND(
IF($A$2="COSTO",
   ((B55*(1+IFERROR(VLOOKUP($D$2,COLORES[],2,FALSE),0)))+C55)
   *(1-_xlfn.XLOOKUP(1,(DESC_PROV[LINEA]=$B$2)*(DESC_PROV[LISTA]=$C$2),DESC_PROV[DESCUENTO])),
   ((B55*(1+IFERROR(VLOOKUP($D$2,COLORES[],2,FALSE),0)))+C55)
   *(1-_xlfn.XLOOKUP(1,(DESC_PROV[LINEA]=$B$2)*(DESC_PROV[LISTA]=$C$2),DESC_PROV[DESCUENTO]))
   *(1+VLOOKUP($C$2,LISTAS[],2,FALSE))
   *(1+VLOOKUP($C$2,LISTAS[],3,FALSE))
)
/5,0)*5,0)</f>
        <v>65445</v>
      </c>
      <c r="M55" s="42" cm="1">
        <f t="array" ref="M55">IFERROR(
ROUND(
IF($A$2="COSTO",
   ((B55*(1+IFERROR(VLOOKUP($D$2,COLORES[],2,FALSE),0)))+D55)
   *(1-_xlfn.XLOOKUP(1,(DESC_PROV[LINEA]=$B$2)*(DESC_PROV[LISTA]=$C$2),DESC_PROV[DESCUENTO])),
   ((B55*(1+IFERROR(VLOOKUP($D$2,COLORES[],2,FALSE),0)))+D55)
   *(1-_xlfn.XLOOKUP(1,(DESC_PROV[LINEA]=$B$2)*(DESC_PROV[LISTA]=$C$2),DESC_PROV[DESCUENTO]))
   *(1+VLOOKUP($C$2,LISTAS[],2,FALSE))
   *(1+VLOOKUP($C$2,LISTAS[],3,FALSE))
)
/5,0)*5,0)</f>
        <v>67465</v>
      </c>
      <c r="N55" s="42" cm="1">
        <f t="array" ref="N55">IFERROR(
ROUND(
IF($A$2="COSTO",
   ((B55*(1+IFERROR(VLOOKUP($D$2,COLORES[],2,FALSE),0)))+E55)
   *(1-_xlfn.XLOOKUP(1,(DESC_PROV[LINEA]=$B$2)*(DESC_PROV[LISTA]=$C$2),DESC_PROV[DESCUENTO])),
   ((B55*(1+IFERROR(VLOOKUP($D$2,COLORES[],2,FALSE),0)))+E55)
   *(1-_xlfn.XLOOKUP(1,(DESC_PROV[LINEA]=$B$2)*(DESC_PROV[LISTA]=$C$2),DESC_PROV[DESCUENTO]))
   *(1+VLOOKUP($C$2,LISTAS[],2,FALSE))
   *(1+VLOOKUP($C$2,LISTAS[],3,FALSE))
)
/5,0)*5,0)</f>
        <v>71170</v>
      </c>
      <c r="O55" s="42" cm="1">
        <f t="array" ref="O55">IFERROR(
ROUND(
IF($A$2="COSTO",
   ((B55*(1+IFERROR(VLOOKUP($D$2,COLORES[],2,FALSE),0)))+F55)
   *(1-_xlfn.XLOOKUP(1,(DESC_PROV[LINEA]=$B$2)*(DESC_PROV[LISTA]=$C$2),DESC_PROV[DESCUENTO])),
   ((B55*(1+IFERROR(VLOOKUP($D$2,COLORES[],2,FALSE),0)))+F55)
   *(1-_xlfn.XLOOKUP(1,(DESC_PROV[LINEA]=$B$2)*(DESC_PROV[LISTA]=$C$2),DESC_PROV[DESCUENTO]))
   *(1+VLOOKUP($C$2,LISTAS[],2,FALSE))
   *(1+VLOOKUP($C$2,LISTAS[],3,FALSE))
)
/5,0)*5,0)</f>
        <v>88860</v>
      </c>
      <c r="P55" s="42" cm="1">
        <f t="array" ref="P55">IFERROR(
ROUND(
IF($A$2="COSTO",
   ((B55*(1+IFERROR(VLOOKUP($D$2,COLORES[],2,FALSE),0)))+G55)
   *(1-_xlfn.XLOOKUP(1,(DESC_PROV[LINEA]=$B$2)*(DESC_PROV[LISTA]=$C$2),DESC_PROV[DESCUENTO])),
   ((B55*(1+IFERROR(VLOOKUP($D$2,COLORES[],2,FALSE),0)))+G55)
   *(1-_xlfn.XLOOKUP(1,(DESC_PROV[LINEA]=$B$2)*(DESC_PROV[LISTA]=$C$2),DESC_PROV[DESCUENTO]))
   *(1+VLOOKUP($C$2,LISTAS[],2,FALSE))
   *(1+VLOOKUP($C$2,LISTAS[],3,FALSE))
)
/5,0)*5,0)</f>
        <v>68635</v>
      </c>
      <c r="Q55" s="43" cm="1">
        <f t="array" ref="Q55">IFERROR(
ROUND(
IF($A$2="COSTO",
   ((B55*(1+IFERROR(VLOOKUP($D$2,COLORES[],2,FALSE),0)))+H55)
   *(1-_xlfn.XLOOKUP(1,(DESC_PROV[LINEA]=$B$2)*(DESC_PROV[LISTA]=$C$2),DESC_PROV[DESCUENTO])),
   ((B55*(1+IFERROR(VLOOKUP($D$2,COLORES[],2,FALSE),0)))+H55)
   *(1-_xlfn.XLOOKUP(1,(DESC_PROV[LINEA]=$B$2)*(DESC_PROV[LISTA]=$C$2),DESC_PROV[DESCUENTO]))
   *(1+VLOOKUP($C$2,LISTAS[],2,FALSE))
   *(1+VLOOKUP($C$2,LISTAS[],3,FALSE))
)
/5,0)*5,0)</f>
        <v>105210</v>
      </c>
    </row>
    <row r="56" spans="1:17">
      <c r="A56" s="47" t="s">
        <v>190</v>
      </c>
      <c r="B56" s="42">
        <v>47172</v>
      </c>
      <c r="C56" s="42">
        <v>10263</v>
      </c>
      <c r="D56" s="42">
        <v>12426</v>
      </c>
      <c r="E56" s="42">
        <v>16408</v>
      </c>
      <c r="F56" s="42">
        <v>35431</v>
      </c>
      <c r="G56" s="42">
        <v>13684</v>
      </c>
      <c r="H56" s="42">
        <v>53019</v>
      </c>
      <c r="I56" s="2"/>
      <c r="J56" s="2"/>
      <c r="K56" s="47" t="s">
        <v>190</v>
      </c>
      <c r="L56" s="42" cm="1">
        <f t="array" ref="L56">IFERROR(
ROUND(
IF($A$2="COSTO",
   ((B56*(1+IFERROR(VLOOKUP($D$2,COLORES[],2,FALSE),0)))+C56)
   *(1-_xlfn.XLOOKUP(1,(DESC_PROV[LINEA]=$B$2)*(DESC_PROV[LISTA]=$C$2),DESC_PROV[DESCUENTO])),
   ((B56*(1+IFERROR(VLOOKUP($D$2,COLORES[],2,FALSE),0)))+C56)
   *(1-_xlfn.XLOOKUP(1,(DESC_PROV[LINEA]=$B$2)*(DESC_PROV[LISTA]=$C$2),DESC_PROV[DESCUENTO]))
   *(1+VLOOKUP($C$2,LISTAS[],2,FALSE))
   *(1+VLOOKUP($C$2,LISTAS[],3,FALSE))
)
/5,0)*5,0)</f>
        <v>71230</v>
      </c>
      <c r="M56" s="42" cm="1">
        <f t="array" ref="M56">IFERROR(
ROUND(
IF($A$2="COSTO",
   ((B56*(1+IFERROR(VLOOKUP($D$2,COLORES[],2,FALSE),0)))+D56)
   *(1-_xlfn.XLOOKUP(1,(DESC_PROV[LINEA]=$B$2)*(DESC_PROV[LISTA]=$C$2),DESC_PROV[DESCUENTO])),
   ((B56*(1+IFERROR(VLOOKUP($D$2,COLORES[],2,FALSE),0)))+D56)
   *(1-_xlfn.XLOOKUP(1,(DESC_PROV[LINEA]=$B$2)*(DESC_PROV[LISTA]=$C$2),DESC_PROV[DESCUENTO]))
   *(1+VLOOKUP($C$2,LISTAS[],2,FALSE))
   *(1+VLOOKUP($C$2,LISTAS[],3,FALSE))
)
/5,0)*5,0)</f>
        <v>73915</v>
      </c>
      <c r="N56" s="42" cm="1">
        <f t="array" ref="N56">IFERROR(
ROUND(
IF($A$2="COSTO",
   ((B56*(1+IFERROR(VLOOKUP($D$2,COLORES[],2,FALSE),0)))+E56)
   *(1-_xlfn.XLOOKUP(1,(DESC_PROV[LINEA]=$B$2)*(DESC_PROV[LISTA]=$C$2),DESC_PROV[DESCUENTO])),
   ((B56*(1+IFERROR(VLOOKUP($D$2,COLORES[],2,FALSE),0)))+E56)
   *(1-_xlfn.XLOOKUP(1,(DESC_PROV[LINEA]=$B$2)*(DESC_PROV[LISTA]=$C$2),DESC_PROV[DESCUENTO]))
   *(1+VLOOKUP($C$2,LISTAS[],2,FALSE))
   *(1+VLOOKUP($C$2,LISTAS[],3,FALSE))
)
/5,0)*5,0)</f>
        <v>78850</v>
      </c>
      <c r="O56" s="42" cm="1">
        <f t="array" ref="O56">IFERROR(
ROUND(
IF($A$2="COSTO",
   ((B56*(1+IFERROR(VLOOKUP($D$2,COLORES[],2,FALSE),0)))+F56)
   *(1-_xlfn.XLOOKUP(1,(DESC_PROV[LINEA]=$B$2)*(DESC_PROV[LISTA]=$C$2),DESC_PROV[DESCUENTO])),
   ((B56*(1+IFERROR(VLOOKUP($D$2,COLORES[],2,FALSE),0)))+F56)
   *(1-_xlfn.XLOOKUP(1,(DESC_PROV[LINEA]=$B$2)*(DESC_PROV[LISTA]=$C$2),DESC_PROV[DESCUENTO]))
   *(1+VLOOKUP($C$2,LISTAS[],2,FALSE))
   *(1+VLOOKUP($C$2,LISTAS[],3,FALSE))
)
/5,0)*5,0)</f>
        <v>102445</v>
      </c>
      <c r="P56" s="42" cm="1">
        <f t="array" ref="P56">IFERROR(
ROUND(
IF($A$2="COSTO",
   ((B56*(1+IFERROR(VLOOKUP($D$2,COLORES[],2,FALSE),0)))+G56)
   *(1-_xlfn.XLOOKUP(1,(DESC_PROV[LINEA]=$B$2)*(DESC_PROV[LISTA]=$C$2),DESC_PROV[DESCUENTO])),
   ((B56*(1+IFERROR(VLOOKUP($D$2,COLORES[],2,FALSE),0)))+G56)
   *(1-_xlfn.XLOOKUP(1,(DESC_PROV[LINEA]=$B$2)*(DESC_PROV[LISTA]=$C$2),DESC_PROV[DESCUENTO]))
   *(1+VLOOKUP($C$2,LISTAS[],2,FALSE))
   *(1+VLOOKUP($C$2,LISTAS[],3,FALSE))
)
/5,0)*5,0)</f>
        <v>75475</v>
      </c>
      <c r="Q56" s="43" cm="1">
        <f t="array" ref="Q56">IFERROR(
ROUND(
IF($A$2="COSTO",
   ((B56*(1+IFERROR(VLOOKUP($D$2,COLORES[],2,FALSE),0)))+H56)
   *(1-_xlfn.XLOOKUP(1,(DESC_PROV[LINEA]=$B$2)*(DESC_PROV[LISTA]=$C$2),DESC_PROV[DESCUENTO])),
   ((B56*(1+IFERROR(VLOOKUP($D$2,COLORES[],2,FALSE),0)))+H56)
   *(1-_xlfn.XLOOKUP(1,(DESC_PROV[LINEA]=$B$2)*(DESC_PROV[LISTA]=$C$2),DESC_PROV[DESCUENTO]))
   *(1+VLOOKUP($C$2,LISTAS[],2,FALSE))
   *(1+VLOOKUP($C$2,LISTAS[],3,FALSE))
)
/5,0)*5,0)</f>
        <v>124255</v>
      </c>
    </row>
    <row r="57" spans="1:17">
      <c r="A57" s="47" t="s">
        <v>191</v>
      </c>
      <c r="B57" s="42">
        <v>49266</v>
      </c>
      <c r="C57" s="42">
        <v>12833</v>
      </c>
      <c r="D57" s="42">
        <v>15539</v>
      </c>
      <c r="E57" s="42">
        <v>20507</v>
      </c>
      <c r="F57" s="42">
        <v>44291</v>
      </c>
      <c r="G57" s="42">
        <v>17105</v>
      </c>
      <c r="H57" s="42">
        <v>66279</v>
      </c>
      <c r="I57" s="2"/>
      <c r="J57" s="2"/>
      <c r="K57" s="47" t="s">
        <v>191</v>
      </c>
      <c r="L57" s="42" cm="1">
        <f t="array" ref="L57">IFERROR(
ROUND(
IF($A$2="COSTO",
   ((B57*(1+IFERROR(VLOOKUP($D$2,COLORES[],2,FALSE),0)))+C57)
   *(1-_xlfn.XLOOKUP(1,(DESC_PROV[LINEA]=$B$2)*(DESC_PROV[LISTA]=$C$2),DESC_PROV[DESCUENTO])),
   ((B57*(1+IFERROR(VLOOKUP($D$2,COLORES[],2,FALSE),0)))+C57)
   *(1-_xlfn.XLOOKUP(1,(DESC_PROV[LINEA]=$B$2)*(DESC_PROV[LISTA]=$C$2),DESC_PROV[DESCUENTO]))
   *(1+VLOOKUP($C$2,LISTAS[],2,FALSE))
   *(1+VLOOKUP($C$2,LISTAS[],3,FALSE))
)
/5,0)*5,0)</f>
        <v>77015</v>
      </c>
      <c r="M57" s="42" cm="1">
        <f t="array" ref="M57">IFERROR(
ROUND(
IF($A$2="COSTO",
   ((B57*(1+IFERROR(VLOOKUP($D$2,COLORES[],2,FALSE),0)))+D57)
   *(1-_xlfn.XLOOKUP(1,(DESC_PROV[LINEA]=$B$2)*(DESC_PROV[LISTA]=$C$2),DESC_PROV[DESCUENTO])),
   ((B57*(1+IFERROR(VLOOKUP($D$2,COLORES[],2,FALSE),0)))+D57)
   *(1-_xlfn.XLOOKUP(1,(DESC_PROV[LINEA]=$B$2)*(DESC_PROV[LISTA]=$C$2),DESC_PROV[DESCUENTO]))
   *(1+VLOOKUP($C$2,LISTAS[],2,FALSE))
   *(1+VLOOKUP($C$2,LISTAS[],3,FALSE))
)
/5,0)*5,0)</f>
        <v>80370</v>
      </c>
      <c r="N57" s="42" cm="1">
        <f t="array" ref="N57">IFERROR(
ROUND(
IF($A$2="COSTO",
   ((B57*(1+IFERROR(VLOOKUP($D$2,COLORES[],2,FALSE),0)))+E57)
   *(1-_xlfn.XLOOKUP(1,(DESC_PROV[LINEA]=$B$2)*(DESC_PROV[LISTA]=$C$2),DESC_PROV[DESCUENTO])),
   ((B57*(1+IFERROR(VLOOKUP($D$2,COLORES[],2,FALSE),0)))+E57)
   *(1-_xlfn.XLOOKUP(1,(DESC_PROV[LINEA]=$B$2)*(DESC_PROV[LISTA]=$C$2),DESC_PROV[DESCUENTO]))
   *(1+VLOOKUP($C$2,LISTAS[],2,FALSE))
   *(1+VLOOKUP($C$2,LISTAS[],3,FALSE))
)
/5,0)*5,0)</f>
        <v>86530</v>
      </c>
      <c r="O57" s="42" cm="1">
        <f t="array" ref="O57">IFERROR(
ROUND(
IF($A$2="COSTO",
   ((B57*(1+IFERROR(VLOOKUP($D$2,COLORES[],2,FALSE),0)))+F57)
   *(1-_xlfn.XLOOKUP(1,(DESC_PROV[LINEA]=$B$2)*(DESC_PROV[LISTA]=$C$2),DESC_PROV[DESCUENTO])),
   ((B57*(1+IFERROR(VLOOKUP($D$2,COLORES[],2,FALSE),0)))+F57)
   *(1-_xlfn.XLOOKUP(1,(DESC_PROV[LINEA]=$B$2)*(DESC_PROV[LISTA]=$C$2),DESC_PROV[DESCUENTO]))
   *(1+VLOOKUP($C$2,LISTAS[],2,FALSE))
   *(1+VLOOKUP($C$2,LISTAS[],3,FALSE))
)
/5,0)*5,0)</f>
        <v>116030</v>
      </c>
      <c r="P57" s="42" cm="1">
        <f t="array" ref="P57">IFERROR(
ROUND(
IF($A$2="COSTO",
   ((B57*(1+IFERROR(VLOOKUP($D$2,COLORES[],2,FALSE),0)))+G57)
   *(1-_xlfn.XLOOKUP(1,(DESC_PROV[LINEA]=$B$2)*(DESC_PROV[LISTA]=$C$2),DESC_PROV[DESCUENTO])),
   ((B57*(1+IFERROR(VLOOKUP($D$2,COLORES[],2,FALSE),0)))+G57)
   *(1-_xlfn.XLOOKUP(1,(DESC_PROV[LINEA]=$B$2)*(DESC_PROV[LISTA]=$C$2),DESC_PROV[DESCUENTO]))
   *(1+VLOOKUP($C$2,LISTAS[],2,FALSE))
   *(1+VLOOKUP($C$2,LISTAS[],3,FALSE))
)
/5,0)*5,0)</f>
        <v>82315</v>
      </c>
      <c r="Q57" s="43" cm="1">
        <f t="array" ref="Q57">IFERROR(
ROUND(
IF($A$2="COSTO",
   ((B57*(1+IFERROR(VLOOKUP($D$2,COLORES[],2,FALSE),0)))+H57)
   *(1-_xlfn.XLOOKUP(1,(DESC_PROV[LINEA]=$B$2)*(DESC_PROV[LISTA]=$C$2),DESC_PROV[DESCUENTO])),
   ((B57*(1+IFERROR(VLOOKUP($D$2,COLORES[],2,FALSE),0)))+H57)
   *(1-_xlfn.XLOOKUP(1,(DESC_PROV[LINEA]=$B$2)*(DESC_PROV[LISTA]=$C$2),DESC_PROV[DESCUENTO]))
   *(1+VLOOKUP($C$2,LISTAS[],2,FALSE))
   *(1+VLOOKUP($C$2,LISTAS[],3,FALSE))
)
/5,0)*5,0)</f>
        <v>143300</v>
      </c>
    </row>
    <row r="58" spans="1:17">
      <c r="A58" s="47" t="s">
        <v>192</v>
      </c>
      <c r="B58" s="42">
        <v>51360</v>
      </c>
      <c r="C58" s="42">
        <v>15403</v>
      </c>
      <c r="D58" s="42">
        <v>18643</v>
      </c>
      <c r="E58" s="42">
        <v>24607</v>
      </c>
      <c r="F58" s="42">
        <v>53151</v>
      </c>
      <c r="G58" s="42">
        <v>20525</v>
      </c>
      <c r="H58" s="42">
        <v>79539</v>
      </c>
      <c r="I58" s="2"/>
      <c r="J58" s="2"/>
      <c r="K58" s="47" t="s">
        <v>192</v>
      </c>
      <c r="L58" s="42" cm="1">
        <f t="array" ref="L58">IFERROR(
ROUND(
IF($A$2="COSTO",
   ((B58*(1+IFERROR(VLOOKUP($D$2,COLORES[],2,FALSE),0)))+C58)
   *(1-_xlfn.XLOOKUP(1,(DESC_PROV[LINEA]=$B$2)*(DESC_PROV[LISTA]=$C$2),DESC_PROV[DESCUENTO])),
   ((B58*(1+IFERROR(VLOOKUP($D$2,COLORES[],2,FALSE),0)))+C58)
   *(1-_xlfn.XLOOKUP(1,(DESC_PROV[LINEA]=$B$2)*(DESC_PROV[LISTA]=$C$2),DESC_PROV[DESCUENTO]))
   *(1+VLOOKUP($C$2,LISTAS[],2,FALSE))
   *(1+VLOOKUP($C$2,LISTAS[],3,FALSE))
)
/5,0)*5,0)</f>
        <v>82800</v>
      </c>
      <c r="M58" s="42" cm="1">
        <f t="array" ref="M58">IFERROR(
ROUND(
IF($A$2="COSTO",
   ((B58*(1+IFERROR(VLOOKUP($D$2,COLORES[],2,FALSE),0)))+D58)
   *(1-_xlfn.XLOOKUP(1,(DESC_PROV[LINEA]=$B$2)*(DESC_PROV[LISTA]=$C$2),DESC_PROV[DESCUENTO])),
   ((B58*(1+IFERROR(VLOOKUP($D$2,COLORES[],2,FALSE),0)))+D58)
   *(1-_xlfn.XLOOKUP(1,(DESC_PROV[LINEA]=$B$2)*(DESC_PROV[LISTA]=$C$2),DESC_PROV[DESCUENTO]))
   *(1+VLOOKUP($C$2,LISTAS[],2,FALSE))
   *(1+VLOOKUP($C$2,LISTAS[],3,FALSE))
)
/5,0)*5,0)</f>
        <v>86820</v>
      </c>
      <c r="N58" s="42" cm="1">
        <f t="array" ref="N58">IFERROR(
ROUND(
IF($A$2="COSTO",
   ((B58*(1+IFERROR(VLOOKUP($D$2,COLORES[],2,FALSE),0)))+E58)
   *(1-_xlfn.XLOOKUP(1,(DESC_PROV[LINEA]=$B$2)*(DESC_PROV[LISTA]=$C$2),DESC_PROV[DESCUENTO])),
   ((B58*(1+IFERROR(VLOOKUP($D$2,COLORES[],2,FALSE),0)))+E58)
   *(1-_xlfn.XLOOKUP(1,(DESC_PROV[LINEA]=$B$2)*(DESC_PROV[LISTA]=$C$2),DESC_PROV[DESCUENTO]))
   *(1+VLOOKUP($C$2,LISTAS[],2,FALSE))
   *(1+VLOOKUP($C$2,LISTAS[],3,FALSE))
)
/5,0)*5,0)</f>
        <v>94215</v>
      </c>
      <c r="O58" s="42" cm="1">
        <f t="array" ref="O58">IFERROR(
ROUND(
IF($A$2="COSTO",
   ((B58*(1+IFERROR(VLOOKUP($D$2,COLORES[],2,FALSE),0)))+F58)
   *(1-_xlfn.XLOOKUP(1,(DESC_PROV[LINEA]=$B$2)*(DESC_PROV[LISTA]=$C$2),DESC_PROV[DESCUENTO])),
   ((B58*(1+IFERROR(VLOOKUP($D$2,COLORES[],2,FALSE),0)))+F58)
   *(1-_xlfn.XLOOKUP(1,(DESC_PROV[LINEA]=$B$2)*(DESC_PROV[LISTA]=$C$2),DESC_PROV[DESCUENTO]))
   *(1+VLOOKUP($C$2,LISTAS[],2,FALSE))
   *(1+VLOOKUP($C$2,LISTAS[],3,FALSE))
)
/5,0)*5,0)</f>
        <v>129615</v>
      </c>
      <c r="P58" s="42" cm="1">
        <f t="array" ref="P58">IFERROR(
ROUND(
IF($A$2="COSTO",
   ((B58*(1+IFERROR(VLOOKUP($D$2,COLORES[],2,FALSE),0)))+G58)
   *(1-_xlfn.XLOOKUP(1,(DESC_PROV[LINEA]=$B$2)*(DESC_PROV[LISTA]=$C$2),DESC_PROV[DESCUENTO])),
   ((B58*(1+IFERROR(VLOOKUP($D$2,COLORES[],2,FALSE),0)))+G58)
   *(1-_xlfn.XLOOKUP(1,(DESC_PROV[LINEA]=$B$2)*(DESC_PROV[LISTA]=$C$2),DESC_PROV[DESCUENTO]))
   *(1+VLOOKUP($C$2,LISTAS[],2,FALSE))
   *(1+VLOOKUP($C$2,LISTAS[],3,FALSE))
)
/5,0)*5,0)</f>
        <v>89150</v>
      </c>
      <c r="Q58" s="43" cm="1">
        <f t="array" ref="Q58">IFERROR(
ROUND(
IF($A$2="COSTO",
   ((B58*(1+IFERROR(VLOOKUP($D$2,COLORES[],2,FALSE),0)))+H58)
   *(1-_xlfn.XLOOKUP(1,(DESC_PROV[LINEA]=$B$2)*(DESC_PROV[LISTA]=$C$2),DESC_PROV[DESCUENTO])),
   ((B58*(1+IFERROR(VLOOKUP($D$2,COLORES[],2,FALSE),0)))+H58)
   *(1-_xlfn.XLOOKUP(1,(DESC_PROV[LINEA]=$B$2)*(DESC_PROV[LISTA]=$C$2),DESC_PROV[DESCUENTO]))
   *(1+VLOOKUP($C$2,LISTAS[],2,FALSE))
   *(1+VLOOKUP($C$2,LISTAS[],3,FALSE))
)
/5,0)*5,0)</f>
        <v>162340</v>
      </c>
    </row>
    <row r="59" spans="1:17">
      <c r="A59" s="47" t="s">
        <v>193</v>
      </c>
      <c r="B59" s="42">
        <v>53460</v>
      </c>
      <c r="C59" s="42">
        <v>17973</v>
      </c>
      <c r="D59" s="42">
        <v>21747</v>
      </c>
      <c r="E59" s="42">
        <v>28707</v>
      </c>
      <c r="F59" s="42">
        <v>62011</v>
      </c>
      <c r="G59" s="42">
        <v>23946</v>
      </c>
      <c r="H59" s="42">
        <v>92799</v>
      </c>
      <c r="I59" s="2"/>
      <c r="J59" s="2"/>
      <c r="K59" s="47" t="s">
        <v>193</v>
      </c>
      <c r="L59" s="42" cm="1">
        <f t="array" ref="L59">IFERROR(
ROUND(
IF($A$2="COSTO",
   ((B59*(1+IFERROR(VLOOKUP($D$2,COLORES[],2,FALSE),0)))+C59)
   *(1-_xlfn.XLOOKUP(1,(DESC_PROV[LINEA]=$B$2)*(DESC_PROV[LISTA]=$C$2),DESC_PROV[DESCUENTO])),
   ((B59*(1+IFERROR(VLOOKUP($D$2,COLORES[],2,FALSE),0)))+C59)
   *(1-_xlfn.XLOOKUP(1,(DESC_PROV[LINEA]=$B$2)*(DESC_PROV[LISTA]=$C$2),DESC_PROV[DESCUENTO]))
   *(1+VLOOKUP($C$2,LISTAS[],2,FALSE))
   *(1+VLOOKUP($C$2,LISTAS[],3,FALSE))
)
/5,0)*5,0)</f>
        <v>88590</v>
      </c>
      <c r="M59" s="42" cm="1">
        <f t="array" ref="M59">IFERROR(
ROUND(
IF($A$2="COSTO",
   ((B59*(1+IFERROR(VLOOKUP($D$2,COLORES[],2,FALSE),0)))+D59)
   *(1-_xlfn.XLOOKUP(1,(DESC_PROV[LINEA]=$B$2)*(DESC_PROV[LISTA]=$C$2),DESC_PROV[DESCUENTO])),
   ((B59*(1+IFERROR(VLOOKUP($D$2,COLORES[],2,FALSE),0)))+D59)
   *(1-_xlfn.XLOOKUP(1,(DESC_PROV[LINEA]=$B$2)*(DESC_PROV[LISTA]=$C$2),DESC_PROV[DESCUENTO]))
   *(1+VLOOKUP($C$2,LISTAS[],2,FALSE))
   *(1+VLOOKUP($C$2,LISTAS[],3,FALSE))
)
/5,0)*5,0)</f>
        <v>93270</v>
      </c>
      <c r="N59" s="42" cm="1">
        <f t="array" ref="N59">IFERROR(
ROUND(
IF($A$2="COSTO",
   ((B59*(1+IFERROR(VLOOKUP($D$2,COLORES[],2,FALSE),0)))+E59)
   *(1-_xlfn.XLOOKUP(1,(DESC_PROV[LINEA]=$B$2)*(DESC_PROV[LISTA]=$C$2),DESC_PROV[DESCUENTO])),
   ((B59*(1+IFERROR(VLOOKUP($D$2,COLORES[],2,FALSE),0)))+E59)
   *(1-_xlfn.XLOOKUP(1,(DESC_PROV[LINEA]=$B$2)*(DESC_PROV[LISTA]=$C$2),DESC_PROV[DESCUENTO]))
   *(1+VLOOKUP($C$2,LISTAS[],2,FALSE))
   *(1+VLOOKUP($C$2,LISTAS[],3,FALSE))
)
/5,0)*5,0)</f>
        <v>101905</v>
      </c>
      <c r="O59" s="42" cm="1">
        <f t="array" ref="O59">IFERROR(
ROUND(
IF($A$2="COSTO",
   ((B59*(1+IFERROR(VLOOKUP($D$2,COLORES[],2,FALSE),0)))+F59)
   *(1-_xlfn.XLOOKUP(1,(DESC_PROV[LINEA]=$B$2)*(DESC_PROV[LISTA]=$C$2),DESC_PROV[DESCUENTO])),
   ((B59*(1+IFERROR(VLOOKUP($D$2,COLORES[],2,FALSE),0)))+F59)
   *(1-_xlfn.XLOOKUP(1,(DESC_PROV[LINEA]=$B$2)*(DESC_PROV[LISTA]=$C$2),DESC_PROV[DESCUENTO]))
   *(1+VLOOKUP($C$2,LISTAS[],2,FALSE))
   *(1+VLOOKUP($C$2,LISTAS[],3,FALSE))
)
/5,0)*5,0)</f>
        <v>143205</v>
      </c>
      <c r="P59" s="42" cm="1">
        <f t="array" ref="P59">IFERROR(
ROUND(
IF($A$2="COSTO",
   ((B59*(1+IFERROR(VLOOKUP($D$2,COLORES[],2,FALSE),0)))+G59)
   *(1-_xlfn.XLOOKUP(1,(DESC_PROV[LINEA]=$B$2)*(DESC_PROV[LISTA]=$C$2),DESC_PROV[DESCUENTO])),
   ((B59*(1+IFERROR(VLOOKUP($D$2,COLORES[],2,FALSE),0)))+G59)
   *(1-_xlfn.XLOOKUP(1,(DESC_PROV[LINEA]=$B$2)*(DESC_PROV[LISTA]=$C$2),DESC_PROV[DESCUENTO]))
   *(1+VLOOKUP($C$2,LISTAS[],2,FALSE))
   *(1+VLOOKUP($C$2,LISTAS[],3,FALSE))
)
/5,0)*5,0)</f>
        <v>96000</v>
      </c>
      <c r="Q59" s="43" cm="1">
        <f t="array" ref="Q59">IFERROR(
ROUND(
IF($A$2="COSTO",
   ((B59*(1+IFERROR(VLOOKUP($D$2,COLORES[],2,FALSE),0)))+H59)
   *(1-_xlfn.XLOOKUP(1,(DESC_PROV[LINEA]=$B$2)*(DESC_PROV[LISTA]=$C$2),DESC_PROV[DESCUENTO])),
   ((B59*(1+IFERROR(VLOOKUP($D$2,COLORES[],2,FALSE),0)))+H59)
   *(1-_xlfn.XLOOKUP(1,(DESC_PROV[LINEA]=$B$2)*(DESC_PROV[LISTA]=$C$2),DESC_PROV[DESCUENTO]))
   *(1+VLOOKUP($C$2,LISTAS[],2,FALSE))
   *(1+VLOOKUP($C$2,LISTAS[],3,FALSE))
)
/5,0)*5,0)</f>
        <v>181390</v>
      </c>
    </row>
    <row r="60" spans="1:17">
      <c r="A60" s="47" t="s">
        <v>194</v>
      </c>
      <c r="B60" s="42">
        <v>55555</v>
      </c>
      <c r="C60" s="42">
        <v>20544</v>
      </c>
      <c r="D60" s="42">
        <v>24851</v>
      </c>
      <c r="E60" s="42">
        <v>32806</v>
      </c>
      <c r="F60" s="42">
        <v>70871</v>
      </c>
      <c r="G60" s="42">
        <v>27367</v>
      </c>
      <c r="H60" s="42">
        <v>106059</v>
      </c>
      <c r="I60" s="2"/>
      <c r="J60" s="2"/>
      <c r="K60" s="47" t="s">
        <v>194</v>
      </c>
      <c r="L60" s="42" cm="1">
        <f t="array" ref="L60">IFERROR(
ROUND(
IF($A$2="COSTO",
   ((B60*(1+IFERROR(VLOOKUP($D$2,COLORES[],2,FALSE),0)))+C60)
   *(1-_xlfn.XLOOKUP(1,(DESC_PROV[LINEA]=$B$2)*(DESC_PROV[LISTA]=$C$2),DESC_PROV[DESCUENTO])),
   ((B60*(1+IFERROR(VLOOKUP($D$2,COLORES[],2,FALSE),0)))+C60)
   *(1-_xlfn.XLOOKUP(1,(DESC_PROV[LINEA]=$B$2)*(DESC_PROV[LISTA]=$C$2),DESC_PROV[DESCUENTO]))
   *(1+VLOOKUP($C$2,LISTAS[],2,FALSE))
   *(1+VLOOKUP($C$2,LISTAS[],3,FALSE))
)
/5,0)*5,0)</f>
        <v>94380</v>
      </c>
      <c r="M60" s="42" cm="1">
        <f t="array" ref="M60">IFERROR(
ROUND(
IF($A$2="COSTO",
   ((B60*(1+IFERROR(VLOOKUP($D$2,COLORES[],2,FALSE),0)))+D60)
   *(1-_xlfn.XLOOKUP(1,(DESC_PROV[LINEA]=$B$2)*(DESC_PROV[LISTA]=$C$2),DESC_PROV[DESCUENTO])),
   ((B60*(1+IFERROR(VLOOKUP($D$2,COLORES[],2,FALSE),0)))+D60)
   *(1-_xlfn.XLOOKUP(1,(DESC_PROV[LINEA]=$B$2)*(DESC_PROV[LISTA]=$C$2),DESC_PROV[DESCUENTO]))
   *(1+VLOOKUP($C$2,LISTAS[],2,FALSE))
   *(1+VLOOKUP($C$2,LISTAS[],3,FALSE))
)
/5,0)*5,0)</f>
        <v>99720</v>
      </c>
      <c r="N60" s="42" cm="1">
        <f t="array" ref="N60">IFERROR(
ROUND(
IF($A$2="COSTO",
   ((B60*(1+IFERROR(VLOOKUP($D$2,COLORES[],2,FALSE),0)))+E60)
   *(1-_xlfn.XLOOKUP(1,(DESC_PROV[LINEA]=$B$2)*(DESC_PROV[LISTA]=$C$2),DESC_PROV[DESCUENTO])),
   ((B60*(1+IFERROR(VLOOKUP($D$2,COLORES[],2,FALSE),0)))+E60)
   *(1-_xlfn.XLOOKUP(1,(DESC_PROV[LINEA]=$B$2)*(DESC_PROV[LISTA]=$C$2),DESC_PROV[DESCUENTO]))
   *(1+VLOOKUP($C$2,LISTAS[],2,FALSE))
   *(1+VLOOKUP($C$2,LISTAS[],3,FALSE))
)
/5,0)*5,0)</f>
        <v>109585</v>
      </c>
      <c r="O60" s="42" cm="1">
        <f t="array" ref="O60">IFERROR(
ROUND(
IF($A$2="COSTO",
   ((B60*(1+IFERROR(VLOOKUP($D$2,COLORES[],2,FALSE),0)))+F60)
   *(1-_xlfn.XLOOKUP(1,(DESC_PROV[LINEA]=$B$2)*(DESC_PROV[LISTA]=$C$2),DESC_PROV[DESCUENTO])),
   ((B60*(1+IFERROR(VLOOKUP($D$2,COLORES[],2,FALSE),0)))+F60)
   *(1-_xlfn.XLOOKUP(1,(DESC_PROV[LINEA]=$B$2)*(DESC_PROV[LISTA]=$C$2),DESC_PROV[DESCUENTO]))
   *(1+VLOOKUP($C$2,LISTAS[],2,FALSE))
   *(1+VLOOKUP($C$2,LISTAS[],3,FALSE))
)
/5,0)*5,0)</f>
        <v>156795</v>
      </c>
      <c r="P60" s="42" cm="1">
        <f t="array" ref="P60">IFERROR(
ROUND(
IF($A$2="COSTO",
   ((B60*(1+IFERROR(VLOOKUP($D$2,COLORES[],2,FALSE),0)))+G60)
   *(1-_xlfn.XLOOKUP(1,(DESC_PROV[LINEA]=$B$2)*(DESC_PROV[LISTA]=$C$2),DESC_PROV[DESCUENTO])),
   ((B60*(1+IFERROR(VLOOKUP($D$2,COLORES[],2,FALSE),0)))+G60)
   *(1-_xlfn.XLOOKUP(1,(DESC_PROV[LINEA]=$B$2)*(DESC_PROV[LISTA]=$C$2),DESC_PROV[DESCUENTO]))
   *(1+VLOOKUP($C$2,LISTAS[],2,FALSE))
   *(1+VLOOKUP($C$2,LISTAS[],3,FALSE))
)
/5,0)*5,0)</f>
        <v>102840</v>
      </c>
      <c r="Q60" s="43" cm="1">
        <f t="array" ref="Q60">IFERROR(
ROUND(
IF($A$2="COSTO",
   ((B60*(1+IFERROR(VLOOKUP($D$2,COLORES[],2,FALSE),0)))+H60)
   *(1-_xlfn.XLOOKUP(1,(DESC_PROV[LINEA]=$B$2)*(DESC_PROV[LISTA]=$C$2),DESC_PROV[DESCUENTO])),
   ((B60*(1+IFERROR(VLOOKUP($D$2,COLORES[],2,FALSE),0)))+H60)
   *(1-_xlfn.XLOOKUP(1,(DESC_PROV[LINEA]=$B$2)*(DESC_PROV[LISTA]=$C$2),DESC_PROV[DESCUENTO]))
   *(1+VLOOKUP($C$2,LISTAS[],2,FALSE))
   *(1+VLOOKUP($C$2,LISTAS[],3,FALSE))
)
/5,0)*5,0)</f>
        <v>200435</v>
      </c>
    </row>
    <row r="61" spans="1:17">
      <c r="A61" s="47" t="s">
        <v>58</v>
      </c>
      <c r="B61" s="42">
        <v>57649</v>
      </c>
      <c r="C61" s="42">
        <v>23114</v>
      </c>
      <c r="D61" s="42">
        <v>27955</v>
      </c>
      <c r="E61" s="42">
        <v>36906</v>
      </c>
      <c r="F61" s="42">
        <v>79731</v>
      </c>
      <c r="G61" s="42">
        <v>30788</v>
      </c>
      <c r="H61" s="42">
        <v>119319</v>
      </c>
      <c r="I61" s="2"/>
      <c r="J61" s="2"/>
      <c r="K61" s="47" t="s">
        <v>58</v>
      </c>
      <c r="L61" s="42" cm="1">
        <f t="array" ref="L61">IFERROR(
ROUND(
IF($A$2="COSTO",
   ((B61*(1+IFERROR(VLOOKUP($D$2,COLORES[],2,FALSE),0)))+C61)
   *(1-_xlfn.XLOOKUP(1,(DESC_PROV[LINEA]=$B$2)*(DESC_PROV[LISTA]=$C$2),DESC_PROV[DESCUENTO])),
   ((B61*(1+IFERROR(VLOOKUP($D$2,COLORES[],2,FALSE),0)))+C61)
   *(1-_xlfn.XLOOKUP(1,(DESC_PROV[LINEA]=$B$2)*(DESC_PROV[LISTA]=$C$2),DESC_PROV[DESCUENTO]))
   *(1+VLOOKUP($C$2,LISTAS[],2,FALSE))
   *(1+VLOOKUP($C$2,LISTAS[],3,FALSE))
)
/5,0)*5,0)</f>
        <v>100160</v>
      </c>
      <c r="M61" s="42" cm="1">
        <f t="array" ref="M61">IFERROR(
ROUND(
IF($A$2="COSTO",
   ((B61*(1+IFERROR(VLOOKUP($D$2,COLORES[],2,FALSE),0)))+D61)
   *(1-_xlfn.XLOOKUP(1,(DESC_PROV[LINEA]=$B$2)*(DESC_PROV[LISTA]=$C$2),DESC_PROV[DESCUENTO])),
   ((B61*(1+IFERROR(VLOOKUP($D$2,COLORES[],2,FALSE),0)))+D61)
   *(1-_xlfn.XLOOKUP(1,(DESC_PROV[LINEA]=$B$2)*(DESC_PROV[LISTA]=$C$2),DESC_PROV[DESCUENTO]))
   *(1+VLOOKUP($C$2,LISTAS[],2,FALSE))
   *(1+VLOOKUP($C$2,LISTAS[],3,FALSE))
)
/5,0)*5,0)</f>
        <v>106165</v>
      </c>
      <c r="N61" s="42" cm="1">
        <f t="array" ref="N61">IFERROR(
ROUND(
IF($A$2="COSTO",
   ((B61*(1+IFERROR(VLOOKUP($D$2,COLORES[],2,FALSE),0)))+E61)
   *(1-_xlfn.XLOOKUP(1,(DESC_PROV[LINEA]=$B$2)*(DESC_PROV[LISTA]=$C$2),DESC_PROV[DESCUENTO])),
   ((B61*(1+IFERROR(VLOOKUP($D$2,COLORES[],2,FALSE),0)))+E61)
   *(1-_xlfn.XLOOKUP(1,(DESC_PROV[LINEA]=$B$2)*(DESC_PROV[LISTA]=$C$2),DESC_PROV[DESCUENTO]))
   *(1+VLOOKUP($C$2,LISTAS[],2,FALSE))
   *(1+VLOOKUP($C$2,LISTAS[],3,FALSE))
)
/5,0)*5,0)</f>
        <v>117265</v>
      </c>
      <c r="O61" s="42" cm="1">
        <f t="array" ref="O61">IFERROR(
ROUND(
IF($A$2="COSTO",
   ((B61*(1+IFERROR(VLOOKUP($D$2,COLORES[],2,FALSE),0)))+F61)
   *(1-_xlfn.XLOOKUP(1,(DESC_PROV[LINEA]=$B$2)*(DESC_PROV[LISTA]=$C$2),DESC_PROV[DESCUENTO])),
   ((B61*(1+IFERROR(VLOOKUP($D$2,COLORES[],2,FALSE),0)))+F61)
   *(1-_xlfn.XLOOKUP(1,(DESC_PROV[LINEA]=$B$2)*(DESC_PROV[LISTA]=$C$2),DESC_PROV[DESCUENTO]))
   *(1+VLOOKUP($C$2,LISTAS[],2,FALSE))
   *(1+VLOOKUP($C$2,LISTAS[],3,FALSE))
)
/5,0)*5,0)</f>
        <v>170380</v>
      </c>
      <c r="P61" s="42" cm="1">
        <f t="array" ref="P61">IFERROR(
ROUND(
IF($A$2="COSTO",
   ((B61*(1+IFERROR(VLOOKUP($D$2,COLORES[],2,FALSE),0)))+G61)
   *(1-_xlfn.XLOOKUP(1,(DESC_PROV[LINEA]=$B$2)*(DESC_PROV[LISTA]=$C$2),DESC_PROV[DESCUENTO])),
   ((B61*(1+IFERROR(VLOOKUP($D$2,COLORES[],2,FALSE),0)))+G61)
   *(1-_xlfn.XLOOKUP(1,(DESC_PROV[LINEA]=$B$2)*(DESC_PROV[LISTA]=$C$2),DESC_PROV[DESCUENTO]))
   *(1+VLOOKUP($C$2,LISTAS[],2,FALSE))
   *(1+VLOOKUP($C$2,LISTAS[],3,FALSE))
)
/5,0)*5,0)</f>
        <v>109680</v>
      </c>
      <c r="Q61" s="43" cm="1">
        <f t="array" ref="Q61">IFERROR(
ROUND(
IF($A$2="COSTO",
   ((B61*(1+IFERROR(VLOOKUP($D$2,COLORES[],2,FALSE),0)))+H61)
   *(1-_xlfn.XLOOKUP(1,(DESC_PROV[LINEA]=$B$2)*(DESC_PROV[LISTA]=$C$2),DESC_PROV[DESCUENTO])),
   ((B61*(1+IFERROR(VLOOKUP($D$2,COLORES[],2,FALSE),0)))+H61)
   *(1-_xlfn.XLOOKUP(1,(DESC_PROV[LINEA]=$B$2)*(DESC_PROV[LISTA]=$C$2),DESC_PROV[DESCUENTO]))
   *(1+VLOOKUP($C$2,LISTAS[],2,FALSE))
   *(1+VLOOKUP($C$2,LISTAS[],3,FALSE))
)
/5,0)*5,0)</f>
        <v>219475</v>
      </c>
    </row>
    <row r="62" spans="1:17">
      <c r="A62" s="47" t="s">
        <v>142</v>
      </c>
      <c r="B62" s="42">
        <v>47172</v>
      </c>
      <c r="C62" s="42">
        <v>8471</v>
      </c>
      <c r="D62" s="42">
        <v>10254</v>
      </c>
      <c r="E62" s="42">
        <v>13539</v>
      </c>
      <c r="F62" s="42">
        <v>29232</v>
      </c>
      <c r="G62" s="42">
        <v>11285</v>
      </c>
      <c r="H62" s="42">
        <v>43733</v>
      </c>
      <c r="I62" s="2"/>
      <c r="J62" s="2"/>
      <c r="K62" s="47" t="s">
        <v>142</v>
      </c>
      <c r="L62" s="42" cm="1">
        <f t="array" ref="L62">IFERROR(
ROUND(
IF($A$2="COSTO",
   ((B62*(1+IFERROR(VLOOKUP($D$2,COLORES[],2,FALSE),0)))+C62)
   *(1-_xlfn.XLOOKUP(1,(DESC_PROV[LINEA]=$B$2)*(DESC_PROV[LISTA]=$C$2),DESC_PROV[DESCUENTO])),
   ((B62*(1+IFERROR(VLOOKUP($D$2,COLORES[],2,FALSE),0)))+C62)
   *(1-_xlfn.XLOOKUP(1,(DESC_PROV[LINEA]=$B$2)*(DESC_PROV[LISTA]=$C$2),DESC_PROV[DESCUENTO]))
   *(1+VLOOKUP($C$2,LISTAS[],2,FALSE))
   *(1+VLOOKUP($C$2,LISTAS[],3,FALSE))
)
/5,0)*5,0)</f>
        <v>69010</v>
      </c>
      <c r="M62" s="42" cm="1">
        <f t="array" ref="M62">IFERROR(
ROUND(
IF($A$2="COSTO",
   ((B62*(1+IFERROR(VLOOKUP($D$2,COLORES[],2,FALSE),0)))+D62)
   *(1-_xlfn.XLOOKUP(1,(DESC_PROV[LINEA]=$B$2)*(DESC_PROV[LISTA]=$C$2),DESC_PROV[DESCUENTO])),
   ((B62*(1+IFERROR(VLOOKUP($D$2,COLORES[],2,FALSE),0)))+D62)
   *(1-_xlfn.XLOOKUP(1,(DESC_PROV[LINEA]=$B$2)*(DESC_PROV[LISTA]=$C$2),DESC_PROV[DESCUENTO]))
   *(1+VLOOKUP($C$2,LISTAS[],2,FALSE))
   *(1+VLOOKUP($C$2,LISTAS[],3,FALSE))
)
/5,0)*5,0)</f>
        <v>71220</v>
      </c>
      <c r="N62" s="42" cm="1">
        <f t="array" ref="N62">IFERROR(
ROUND(
IF($A$2="COSTO",
   ((B62*(1+IFERROR(VLOOKUP($D$2,COLORES[],2,FALSE),0)))+E62)
   *(1-_xlfn.XLOOKUP(1,(DESC_PROV[LINEA]=$B$2)*(DESC_PROV[LISTA]=$C$2),DESC_PROV[DESCUENTO])),
   ((B62*(1+IFERROR(VLOOKUP($D$2,COLORES[],2,FALSE),0)))+E62)
   *(1-_xlfn.XLOOKUP(1,(DESC_PROV[LINEA]=$B$2)*(DESC_PROV[LISTA]=$C$2),DESC_PROV[DESCUENTO]))
   *(1+VLOOKUP($C$2,LISTAS[],2,FALSE))
   *(1+VLOOKUP($C$2,LISTAS[],3,FALSE))
)
/5,0)*5,0)</f>
        <v>75295</v>
      </c>
      <c r="O62" s="42" cm="1">
        <f t="array" ref="O62">IFERROR(
ROUND(
IF($A$2="COSTO",
   ((B62*(1+IFERROR(VLOOKUP($D$2,COLORES[],2,FALSE),0)))+F62)
   *(1-_xlfn.XLOOKUP(1,(DESC_PROV[LINEA]=$B$2)*(DESC_PROV[LISTA]=$C$2),DESC_PROV[DESCUENTO])),
   ((B62*(1+IFERROR(VLOOKUP($D$2,COLORES[],2,FALSE),0)))+F62)
   *(1-_xlfn.XLOOKUP(1,(DESC_PROV[LINEA]=$B$2)*(DESC_PROV[LISTA]=$C$2),DESC_PROV[DESCUENTO]))
   *(1+VLOOKUP($C$2,LISTAS[],2,FALSE))
   *(1+VLOOKUP($C$2,LISTAS[],3,FALSE))
)
/5,0)*5,0)</f>
        <v>94755</v>
      </c>
      <c r="P62" s="42" cm="1">
        <f t="array" ref="P62">IFERROR(
ROUND(
IF($A$2="COSTO",
   ((B62*(1+IFERROR(VLOOKUP($D$2,COLORES[],2,FALSE),0)))+G62)
   *(1-_xlfn.XLOOKUP(1,(DESC_PROV[LINEA]=$B$2)*(DESC_PROV[LISTA]=$C$2),DESC_PROV[DESCUENTO])),
   ((B62*(1+IFERROR(VLOOKUP($D$2,COLORES[],2,FALSE),0)))+G62)
   *(1-_xlfn.XLOOKUP(1,(DESC_PROV[LINEA]=$B$2)*(DESC_PROV[LISTA]=$C$2),DESC_PROV[DESCUENTO]))
   *(1+VLOOKUP($C$2,LISTAS[],2,FALSE))
   *(1+VLOOKUP($C$2,LISTAS[],3,FALSE))
)
/5,0)*5,0)</f>
        <v>72500</v>
      </c>
      <c r="Q62" s="43" cm="1">
        <f t="array" ref="Q62">IFERROR(
ROUND(
IF($A$2="COSTO",
   ((B62*(1+IFERROR(VLOOKUP($D$2,COLORES[],2,FALSE),0)))+H62)
   *(1-_xlfn.XLOOKUP(1,(DESC_PROV[LINEA]=$B$2)*(DESC_PROV[LISTA]=$C$2),DESC_PROV[DESCUENTO])),
   ((B62*(1+IFERROR(VLOOKUP($D$2,COLORES[],2,FALSE),0)))+H62)
   *(1-_xlfn.XLOOKUP(1,(DESC_PROV[LINEA]=$B$2)*(DESC_PROV[LISTA]=$C$2),DESC_PROV[DESCUENTO]))
   *(1+VLOOKUP($C$2,LISTAS[],2,FALSE))
   *(1+VLOOKUP($C$2,LISTAS[],3,FALSE))
)
/5,0)*5,0)</f>
        <v>112740</v>
      </c>
    </row>
    <row r="63" spans="1:17">
      <c r="A63" s="47" t="s">
        <v>143</v>
      </c>
      <c r="B63" s="42">
        <v>49266</v>
      </c>
      <c r="C63" s="42">
        <v>11294</v>
      </c>
      <c r="D63" s="42">
        <v>13675</v>
      </c>
      <c r="E63" s="42">
        <v>18055</v>
      </c>
      <c r="F63" s="42">
        <v>38978</v>
      </c>
      <c r="G63" s="42">
        <v>15050</v>
      </c>
      <c r="H63" s="42">
        <v>58318</v>
      </c>
      <c r="I63" s="2"/>
      <c r="J63" s="2"/>
      <c r="K63" s="47" t="s">
        <v>143</v>
      </c>
      <c r="L63" s="42" cm="1">
        <f t="array" ref="L63">IFERROR(
ROUND(
IF($A$2="COSTO",
   ((B63*(1+IFERROR(VLOOKUP($D$2,COLORES[],2,FALSE),0)))+C63)
   *(1-_xlfn.XLOOKUP(1,(DESC_PROV[LINEA]=$B$2)*(DESC_PROV[LISTA]=$C$2),DESC_PROV[DESCUENTO])),
   ((B63*(1+IFERROR(VLOOKUP($D$2,COLORES[],2,FALSE),0)))+C63)
   *(1-_xlfn.XLOOKUP(1,(DESC_PROV[LINEA]=$B$2)*(DESC_PROV[LISTA]=$C$2),DESC_PROV[DESCUENTO]))
   *(1+VLOOKUP($C$2,LISTAS[],2,FALSE))
   *(1+VLOOKUP($C$2,LISTAS[],3,FALSE))
)
/5,0)*5,0)</f>
        <v>75105</v>
      </c>
      <c r="M63" s="42" cm="1">
        <f t="array" ref="M63">IFERROR(
ROUND(
IF($A$2="COSTO",
   ((B63*(1+IFERROR(VLOOKUP($D$2,COLORES[],2,FALSE),0)))+D63)
   *(1-_xlfn.XLOOKUP(1,(DESC_PROV[LINEA]=$B$2)*(DESC_PROV[LISTA]=$C$2),DESC_PROV[DESCUENTO])),
   ((B63*(1+IFERROR(VLOOKUP($D$2,COLORES[],2,FALSE),0)))+D63)
   *(1-_xlfn.XLOOKUP(1,(DESC_PROV[LINEA]=$B$2)*(DESC_PROV[LISTA]=$C$2),DESC_PROV[DESCUENTO]))
   *(1+VLOOKUP($C$2,LISTAS[],2,FALSE))
   *(1+VLOOKUP($C$2,LISTAS[],3,FALSE))
)
/5,0)*5,0)</f>
        <v>78060</v>
      </c>
      <c r="N63" s="42" cm="1">
        <f t="array" ref="N63">IFERROR(
ROUND(
IF($A$2="COSTO",
   ((B63*(1+IFERROR(VLOOKUP($D$2,COLORES[],2,FALSE),0)))+E63)
   *(1-_xlfn.XLOOKUP(1,(DESC_PROV[LINEA]=$B$2)*(DESC_PROV[LISTA]=$C$2),DESC_PROV[DESCUENTO])),
   ((B63*(1+IFERROR(VLOOKUP($D$2,COLORES[],2,FALSE),0)))+E63)
   *(1-_xlfn.XLOOKUP(1,(DESC_PROV[LINEA]=$B$2)*(DESC_PROV[LISTA]=$C$2),DESC_PROV[DESCUENTO]))
   *(1+VLOOKUP($C$2,LISTAS[],2,FALSE))
   *(1+VLOOKUP($C$2,LISTAS[],3,FALSE))
)
/5,0)*5,0)</f>
        <v>83490</v>
      </c>
      <c r="O63" s="42" cm="1">
        <f t="array" ref="O63">IFERROR(
ROUND(
IF($A$2="COSTO",
   ((B63*(1+IFERROR(VLOOKUP($D$2,COLORES[],2,FALSE),0)))+F63)
   *(1-_xlfn.XLOOKUP(1,(DESC_PROV[LINEA]=$B$2)*(DESC_PROV[LISTA]=$C$2),DESC_PROV[DESCUENTO])),
   ((B63*(1+IFERROR(VLOOKUP($D$2,COLORES[],2,FALSE),0)))+F63)
   *(1-_xlfn.XLOOKUP(1,(DESC_PROV[LINEA]=$B$2)*(DESC_PROV[LISTA]=$C$2),DESC_PROV[DESCUENTO]))
   *(1+VLOOKUP($C$2,LISTAS[],2,FALSE))
   *(1+VLOOKUP($C$2,LISTAS[],3,FALSE))
)
/5,0)*5,0)</f>
        <v>109440</v>
      </c>
      <c r="P63" s="42" cm="1">
        <f t="array" ref="P63">IFERROR(
ROUND(
IF($A$2="COSTO",
   ((B63*(1+IFERROR(VLOOKUP($D$2,COLORES[],2,FALSE),0)))+G63)
   *(1-_xlfn.XLOOKUP(1,(DESC_PROV[LINEA]=$B$2)*(DESC_PROV[LISTA]=$C$2),DESC_PROV[DESCUENTO])),
   ((B63*(1+IFERROR(VLOOKUP($D$2,COLORES[],2,FALSE),0)))+G63)
   *(1-_xlfn.XLOOKUP(1,(DESC_PROV[LINEA]=$B$2)*(DESC_PROV[LISTA]=$C$2),DESC_PROV[DESCUENTO]))
   *(1+VLOOKUP($C$2,LISTAS[],2,FALSE))
   *(1+VLOOKUP($C$2,LISTAS[],3,FALSE))
)
/5,0)*5,0)</f>
        <v>79765</v>
      </c>
      <c r="Q63" s="43" cm="1">
        <f t="array" ref="Q63">IFERROR(
ROUND(
IF($A$2="COSTO",
   ((B63*(1+IFERROR(VLOOKUP($D$2,COLORES[],2,FALSE),0)))+H63)
   *(1-_xlfn.XLOOKUP(1,(DESC_PROV[LINEA]=$B$2)*(DESC_PROV[LISTA]=$C$2),DESC_PROV[DESCUENTO])),
   ((B63*(1+IFERROR(VLOOKUP($D$2,COLORES[],2,FALSE),0)))+H63)
   *(1-_xlfn.XLOOKUP(1,(DESC_PROV[LINEA]=$B$2)*(DESC_PROV[LISTA]=$C$2),DESC_PROV[DESCUENTO]))
   *(1+VLOOKUP($C$2,LISTAS[],2,FALSE))
   *(1+VLOOKUP($C$2,LISTAS[],3,FALSE))
)
/5,0)*5,0)</f>
        <v>133425</v>
      </c>
    </row>
    <row r="64" spans="1:17">
      <c r="A64" s="47" t="s">
        <v>144</v>
      </c>
      <c r="B64" s="42">
        <v>51360</v>
      </c>
      <c r="C64" s="42">
        <v>14118</v>
      </c>
      <c r="D64" s="42">
        <v>17095</v>
      </c>
      <c r="E64" s="42">
        <v>22571</v>
      </c>
      <c r="F64" s="42">
        <v>48725</v>
      </c>
      <c r="G64" s="42">
        <v>18815</v>
      </c>
      <c r="H64" s="42">
        <v>72903</v>
      </c>
      <c r="I64" s="2"/>
      <c r="J64" s="2"/>
      <c r="K64" s="47" t="s">
        <v>144</v>
      </c>
      <c r="L64" s="42" cm="1">
        <f t="array" ref="L64">IFERROR(
ROUND(
IF($A$2="COSTO",
   ((B64*(1+IFERROR(VLOOKUP($D$2,COLORES[],2,FALSE),0)))+C64)
   *(1-_xlfn.XLOOKUP(1,(DESC_PROV[LINEA]=$B$2)*(DESC_PROV[LISTA]=$C$2),DESC_PROV[DESCUENTO])),
   ((B64*(1+IFERROR(VLOOKUP($D$2,COLORES[],2,FALSE),0)))+C64)
   *(1-_xlfn.XLOOKUP(1,(DESC_PROV[LINEA]=$B$2)*(DESC_PROV[LISTA]=$C$2),DESC_PROV[DESCUENTO]))
   *(1+VLOOKUP($C$2,LISTAS[],2,FALSE))
   *(1+VLOOKUP($C$2,LISTAS[],3,FALSE))
)
/5,0)*5,0)</f>
        <v>81205</v>
      </c>
      <c r="M64" s="42" cm="1">
        <f t="array" ref="M64">IFERROR(
ROUND(
IF($A$2="COSTO",
   ((B64*(1+IFERROR(VLOOKUP($D$2,COLORES[],2,FALSE),0)))+D64)
   *(1-_xlfn.XLOOKUP(1,(DESC_PROV[LINEA]=$B$2)*(DESC_PROV[LISTA]=$C$2),DESC_PROV[DESCUENTO])),
   ((B64*(1+IFERROR(VLOOKUP($D$2,COLORES[],2,FALSE),0)))+D64)
   *(1-_xlfn.XLOOKUP(1,(DESC_PROV[LINEA]=$B$2)*(DESC_PROV[LISTA]=$C$2),DESC_PROV[DESCUENTO]))
   *(1+VLOOKUP($C$2,LISTAS[],2,FALSE))
   *(1+VLOOKUP($C$2,LISTAS[],3,FALSE))
)
/5,0)*5,0)</f>
        <v>84900</v>
      </c>
      <c r="N64" s="42" cm="1">
        <f t="array" ref="N64">IFERROR(
ROUND(
IF($A$2="COSTO",
   ((B64*(1+IFERROR(VLOOKUP($D$2,COLORES[],2,FALSE),0)))+E64)
   *(1-_xlfn.XLOOKUP(1,(DESC_PROV[LINEA]=$B$2)*(DESC_PROV[LISTA]=$C$2),DESC_PROV[DESCUENTO])),
   ((B64*(1+IFERROR(VLOOKUP($D$2,COLORES[],2,FALSE),0)))+E64)
   *(1-_xlfn.XLOOKUP(1,(DESC_PROV[LINEA]=$B$2)*(DESC_PROV[LISTA]=$C$2),DESC_PROV[DESCUENTO]))
   *(1+VLOOKUP($C$2,LISTAS[],2,FALSE))
   *(1+VLOOKUP($C$2,LISTAS[],3,FALSE))
)
/5,0)*5,0)</f>
        <v>91690</v>
      </c>
      <c r="O64" s="42" cm="1">
        <f t="array" ref="O64">IFERROR(
ROUND(
IF($A$2="COSTO",
   ((B64*(1+IFERROR(VLOOKUP($D$2,COLORES[],2,FALSE),0)))+F64)
   *(1-_xlfn.XLOOKUP(1,(DESC_PROV[LINEA]=$B$2)*(DESC_PROV[LISTA]=$C$2),DESC_PROV[DESCUENTO])),
   ((B64*(1+IFERROR(VLOOKUP($D$2,COLORES[],2,FALSE),0)))+F64)
   *(1-_xlfn.XLOOKUP(1,(DESC_PROV[LINEA]=$B$2)*(DESC_PROV[LISTA]=$C$2),DESC_PROV[DESCUENTO]))
   *(1+VLOOKUP($C$2,LISTAS[],2,FALSE))
   *(1+VLOOKUP($C$2,LISTAS[],3,FALSE))
)
/5,0)*5,0)</f>
        <v>124125</v>
      </c>
      <c r="P64" s="42" cm="1">
        <f t="array" ref="P64">IFERROR(
ROUND(
IF($A$2="COSTO",
   ((B64*(1+IFERROR(VLOOKUP($D$2,COLORES[],2,FALSE),0)))+G64)
   *(1-_xlfn.XLOOKUP(1,(DESC_PROV[LINEA]=$B$2)*(DESC_PROV[LISTA]=$C$2),DESC_PROV[DESCUENTO])),
   ((B64*(1+IFERROR(VLOOKUP($D$2,COLORES[],2,FALSE),0)))+G64)
   *(1-_xlfn.XLOOKUP(1,(DESC_PROV[LINEA]=$B$2)*(DESC_PROV[LISTA]=$C$2),DESC_PROV[DESCUENTO]))
   *(1+VLOOKUP($C$2,LISTAS[],2,FALSE))
   *(1+VLOOKUP($C$2,LISTAS[],3,FALSE))
)
/5,0)*5,0)</f>
        <v>87030</v>
      </c>
      <c r="Q64" s="43" cm="1">
        <f t="array" ref="Q64">IFERROR(
ROUND(
IF($A$2="COSTO",
   ((B64*(1+IFERROR(VLOOKUP($D$2,COLORES[],2,FALSE),0)))+H64)
   *(1-_xlfn.XLOOKUP(1,(DESC_PROV[LINEA]=$B$2)*(DESC_PROV[LISTA]=$C$2),DESC_PROV[DESCUENTO])),
   ((B64*(1+IFERROR(VLOOKUP($D$2,COLORES[],2,FALSE),0)))+H64)
   *(1-_xlfn.XLOOKUP(1,(DESC_PROV[LINEA]=$B$2)*(DESC_PROV[LISTA]=$C$2),DESC_PROV[DESCUENTO]))
   *(1+VLOOKUP($C$2,LISTAS[],2,FALSE))
   *(1+VLOOKUP($C$2,LISTAS[],3,FALSE))
)
/5,0)*5,0)</f>
        <v>154110</v>
      </c>
    </row>
    <row r="65" spans="1:17">
      <c r="A65" s="47" t="s">
        <v>145</v>
      </c>
      <c r="B65" s="42">
        <v>53460</v>
      </c>
      <c r="C65" s="42">
        <v>16942</v>
      </c>
      <c r="D65" s="42">
        <v>20516</v>
      </c>
      <c r="E65" s="42">
        <v>27087</v>
      </c>
      <c r="F65" s="42">
        <v>58472</v>
      </c>
      <c r="G65" s="42">
        <v>22580</v>
      </c>
      <c r="H65" s="42">
        <v>87488</v>
      </c>
      <c r="I65" s="2"/>
      <c r="J65" s="2"/>
      <c r="K65" s="47" t="s">
        <v>145</v>
      </c>
      <c r="L65" s="42" cm="1">
        <f t="array" ref="L65">IFERROR(
ROUND(
IF($A$2="COSTO",
   ((B65*(1+IFERROR(VLOOKUP($D$2,COLORES[],2,FALSE),0)))+C65)
   *(1-_xlfn.XLOOKUP(1,(DESC_PROV[LINEA]=$B$2)*(DESC_PROV[LISTA]=$C$2),DESC_PROV[DESCUENTO])),
   ((B65*(1+IFERROR(VLOOKUP($D$2,COLORES[],2,FALSE),0)))+C65)
   *(1-_xlfn.XLOOKUP(1,(DESC_PROV[LINEA]=$B$2)*(DESC_PROV[LISTA]=$C$2),DESC_PROV[DESCUENTO]))
   *(1+VLOOKUP($C$2,LISTAS[],2,FALSE))
   *(1+VLOOKUP($C$2,LISTAS[],3,FALSE))
)
/5,0)*5,0)</f>
        <v>87315</v>
      </c>
      <c r="M65" s="42" cm="1">
        <f t="array" ref="M65">IFERROR(
ROUND(
IF($A$2="COSTO",
   ((B65*(1+IFERROR(VLOOKUP($D$2,COLORES[],2,FALSE),0)))+D65)
   *(1-_xlfn.XLOOKUP(1,(DESC_PROV[LINEA]=$B$2)*(DESC_PROV[LISTA]=$C$2),DESC_PROV[DESCUENTO])),
   ((B65*(1+IFERROR(VLOOKUP($D$2,COLORES[],2,FALSE),0)))+D65)
   *(1-_xlfn.XLOOKUP(1,(DESC_PROV[LINEA]=$B$2)*(DESC_PROV[LISTA]=$C$2),DESC_PROV[DESCUENTO]))
   *(1+VLOOKUP($C$2,LISTAS[],2,FALSE))
   *(1+VLOOKUP($C$2,LISTAS[],3,FALSE))
)
/5,0)*5,0)</f>
        <v>91745</v>
      </c>
      <c r="N65" s="42" cm="1">
        <f t="array" ref="N65">IFERROR(
ROUND(
IF($A$2="COSTO",
   ((B65*(1+IFERROR(VLOOKUP($D$2,COLORES[],2,FALSE),0)))+E65)
   *(1-_xlfn.XLOOKUP(1,(DESC_PROV[LINEA]=$B$2)*(DESC_PROV[LISTA]=$C$2),DESC_PROV[DESCUENTO])),
   ((B65*(1+IFERROR(VLOOKUP($D$2,COLORES[],2,FALSE),0)))+E65)
   *(1-_xlfn.XLOOKUP(1,(DESC_PROV[LINEA]=$B$2)*(DESC_PROV[LISTA]=$C$2),DESC_PROV[DESCUENTO]))
   *(1+VLOOKUP($C$2,LISTAS[],2,FALSE))
   *(1+VLOOKUP($C$2,LISTAS[],3,FALSE))
)
/5,0)*5,0)</f>
        <v>99895</v>
      </c>
      <c r="O65" s="42" cm="1">
        <f t="array" ref="O65">IFERROR(
ROUND(
IF($A$2="COSTO",
   ((B65*(1+IFERROR(VLOOKUP($D$2,COLORES[],2,FALSE),0)))+F65)
   *(1-_xlfn.XLOOKUP(1,(DESC_PROV[LINEA]=$B$2)*(DESC_PROV[LISTA]=$C$2),DESC_PROV[DESCUENTO])),
   ((B65*(1+IFERROR(VLOOKUP($D$2,COLORES[],2,FALSE),0)))+F65)
   *(1-_xlfn.XLOOKUP(1,(DESC_PROV[LINEA]=$B$2)*(DESC_PROV[LISTA]=$C$2),DESC_PROV[DESCUENTO]))
   *(1+VLOOKUP($C$2,LISTAS[],2,FALSE))
   *(1+VLOOKUP($C$2,LISTAS[],3,FALSE))
)
/5,0)*5,0)</f>
        <v>138820</v>
      </c>
      <c r="P65" s="42" cm="1">
        <f t="array" ref="P65">IFERROR(
ROUND(
IF($A$2="COSTO",
   ((B65*(1+IFERROR(VLOOKUP($D$2,COLORES[],2,FALSE),0)))+G65)
   *(1-_xlfn.XLOOKUP(1,(DESC_PROV[LINEA]=$B$2)*(DESC_PROV[LISTA]=$C$2),DESC_PROV[DESCUENTO])),
   ((B65*(1+IFERROR(VLOOKUP($D$2,COLORES[],2,FALSE),0)))+G65)
   *(1-_xlfn.XLOOKUP(1,(DESC_PROV[LINEA]=$B$2)*(DESC_PROV[LISTA]=$C$2),DESC_PROV[DESCUENTO]))
   *(1+VLOOKUP($C$2,LISTAS[],2,FALSE))
   *(1+VLOOKUP($C$2,LISTAS[],3,FALSE))
)
/5,0)*5,0)</f>
        <v>94305</v>
      </c>
      <c r="Q65" s="43" cm="1">
        <f t="array" ref="Q65">IFERROR(
ROUND(
IF($A$2="COSTO",
   ((B65*(1+IFERROR(VLOOKUP($D$2,COLORES[],2,FALSE),0)))+H65)
   *(1-_xlfn.XLOOKUP(1,(DESC_PROV[LINEA]=$B$2)*(DESC_PROV[LISTA]=$C$2),DESC_PROV[DESCUENTO])),
   ((B65*(1+IFERROR(VLOOKUP($D$2,COLORES[],2,FALSE),0)))+H65)
   *(1-_xlfn.XLOOKUP(1,(DESC_PROV[LINEA]=$B$2)*(DESC_PROV[LISTA]=$C$2),DESC_PROV[DESCUENTO]))
   *(1+VLOOKUP($C$2,LISTAS[],2,FALSE))
   *(1+VLOOKUP($C$2,LISTAS[],3,FALSE))
)
/5,0)*5,0)</f>
        <v>174805</v>
      </c>
    </row>
    <row r="66" spans="1:17">
      <c r="A66" s="47" t="s">
        <v>146</v>
      </c>
      <c r="B66" s="42">
        <v>55555</v>
      </c>
      <c r="C66" s="42">
        <v>19765</v>
      </c>
      <c r="D66" s="42">
        <v>23937</v>
      </c>
      <c r="E66" s="42">
        <v>31603</v>
      </c>
      <c r="F66" s="42">
        <v>68219</v>
      </c>
      <c r="G66" s="42">
        <v>26345</v>
      </c>
      <c r="H66" s="42">
        <v>102073</v>
      </c>
      <c r="I66" s="2"/>
      <c r="J66" s="2"/>
      <c r="K66" s="47" t="s">
        <v>146</v>
      </c>
      <c r="L66" s="42" cm="1">
        <f t="array" ref="L66">IFERROR(
ROUND(
IF($A$2="COSTO",
   ((B66*(1+IFERROR(VLOOKUP($D$2,COLORES[],2,FALSE),0)))+C66)
   *(1-_xlfn.XLOOKUP(1,(DESC_PROV[LINEA]=$B$2)*(DESC_PROV[LISTA]=$C$2),DESC_PROV[DESCUENTO])),
   ((B66*(1+IFERROR(VLOOKUP($D$2,COLORES[],2,FALSE),0)))+C66)
   *(1-_xlfn.XLOOKUP(1,(DESC_PROV[LINEA]=$B$2)*(DESC_PROV[LISTA]=$C$2),DESC_PROV[DESCUENTO]))
   *(1+VLOOKUP($C$2,LISTAS[],2,FALSE))
   *(1+VLOOKUP($C$2,LISTAS[],3,FALSE))
)
/5,0)*5,0)</f>
        <v>93410</v>
      </c>
      <c r="M66" s="42" cm="1">
        <f t="array" ref="M66">IFERROR(
ROUND(
IF($A$2="COSTO",
   ((B66*(1+IFERROR(VLOOKUP($D$2,COLORES[],2,FALSE),0)))+D66)
   *(1-_xlfn.XLOOKUP(1,(DESC_PROV[LINEA]=$B$2)*(DESC_PROV[LISTA]=$C$2),DESC_PROV[DESCUENTO])),
   ((B66*(1+IFERROR(VLOOKUP($D$2,COLORES[],2,FALSE),0)))+D66)
   *(1-_xlfn.XLOOKUP(1,(DESC_PROV[LINEA]=$B$2)*(DESC_PROV[LISTA]=$C$2),DESC_PROV[DESCUENTO]))
   *(1+VLOOKUP($C$2,LISTAS[],2,FALSE))
   *(1+VLOOKUP($C$2,LISTAS[],3,FALSE))
)
/5,0)*5,0)</f>
        <v>98585</v>
      </c>
      <c r="N66" s="42" cm="1">
        <f t="array" ref="N66">IFERROR(
ROUND(
IF($A$2="COSTO",
   ((B66*(1+IFERROR(VLOOKUP($D$2,COLORES[],2,FALSE),0)))+E66)
   *(1-_xlfn.XLOOKUP(1,(DESC_PROV[LINEA]=$B$2)*(DESC_PROV[LISTA]=$C$2),DESC_PROV[DESCUENTO])),
   ((B66*(1+IFERROR(VLOOKUP($D$2,COLORES[],2,FALSE),0)))+E66)
   *(1-_xlfn.XLOOKUP(1,(DESC_PROV[LINEA]=$B$2)*(DESC_PROV[LISTA]=$C$2),DESC_PROV[DESCUENTO]))
   *(1+VLOOKUP($C$2,LISTAS[],2,FALSE))
   *(1+VLOOKUP($C$2,LISTAS[],3,FALSE))
)
/5,0)*5,0)</f>
        <v>108095</v>
      </c>
      <c r="O66" s="42" cm="1">
        <f t="array" ref="O66">IFERROR(
ROUND(
IF($A$2="COSTO",
   ((B66*(1+IFERROR(VLOOKUP($D$2,COLORES[],2,FALSE),0)))+F66)
   *(1-_xlfn.XLOOKUP(1,(DESC_PROV[LINEA]=$B$2)*(DESC_PROV[LISTA]=$C$2),DESC_PROV[DESCUENTO])),
   ((B66*(1+IFERROR(VLOOKUP($D$2,COLORES[],2,FALSE),0)))+F66)
   *(1-_xlfn.XLOOKUP(1,(DESC_PROV[LINEA]=$B$2)*(DESC_PROV[LISTA]=$C$2),DESC_PROV[DESCUENTO]))
   *(1+VLOOKUP($C$2,LISTAS[],2,FALSE))
   *(1+VLOOKUP($C$2,LISTAS[],3,FALSE))
)
/5,0)*5,0)</f>
        <v>153505</v>
      </c>
      <c r="P66" s="42" cm="1">
        <f t="array" ref="P66">IFERROR(
ROUND(
IF($A$2="COSTO",
   ((B66*(1+IFERROR(VLOOKUP($D$2,COLORES[],2,FALSE),0)))+G66)
   *(1-_xlfn.XLOOKUP(1,(DESC_PROV[LINEA]=$B$2)*(DESC_PROV[LISTA]=$C$2),DESC_PROV[DESCUENTO])),
   ((B66*(1+IFERROR(VLOOKUP($D$2,COLORES[],2,FALSE),0)))+G66)
   *(1-_xlfn.XLOOKUP(1,(DESC_PROV[LINEA]=$B$2)*(DESC_PROV[LISTA]=$C$2),DESC_PROV[DESCUENTO]))
   *(1+VLOOKUP($C$2,LISTAS[],2,FALSE))
   *(1+VLOOKUP($C$2,LISTAS[],3,FALSE))
)
/5,0)*5,0)</f>
        <v>101570</v>
      </c>
      <c r="Q66" s="43" cm="1">
        <f t="array" ref="Q66">IFERROR(
ROUND(
IF($A$2="COSTO",
   ((B66*(1+IFERROR(VLOOKUP($D$2,COLORES[],2,FALSE),0)))+H66)
   *(1-_xlfn.XLOOKUP(1,(DESC_PROV[LINEA]=$B$2)*(DESC_PROV[LISTA]=$C$2),DESC_PROV[DESCUENTO])),
   ((B66*(1+IFERROR(VLOOKUP($D$2,COLORES[],2,FALSE),0)))+H66)
   *(1-_xlfn.XLOOKUP(1,(DESC_PROV[LINEA]=$B$2)*(DESC_PROV[LISTA]=$C$2),DESC_PROV[DESCUENTO]))
   *(1+VLOOKUP($C$2,LISTAS[],2,FALSE))
   *(1+VLOOKUP($C$2,LISTAS[],3,FALSE))
)
/5,0)*5,0)</f>
        <v>195490</v>
      </c>
    </row>
    <row r="67" spans="1:17">
      <c r="A67" s="47" t="s">
        <v>147</v>
      </c>
      <c r="B67" s="42">
        <v>57649</v>
      </c>
      <c r="C67" s="42">
        <v>22589</v>
      </c>
      <c r="D67" s="42">
        <v>27358</v>
      </c>
      <c r="E67" s="42">
        <v>36119</v>
      </c>
      <c r="F67" s="42">
        <v>77966</v>
      </c>
      <c r="G67" s="42">
        <v>30109</v>
      </c>
      <c r="H67" s="42">
        <v>116658</v>
      </c>
      <c r="I67" s="2"/>
      <c r="J67" s="2"/>
      <c r="K67" s="47" t="s">
        <v>147</v>
      </c>
      <c r="L67" s="42" cm="1">
        <f t="array" ref="L67">IFERROR(
ROUND(
IF($A$2="COSTO",
   ((B67*(1+IFERROR(VLOOKUP($D$2,COLORES[],2,FALSE),0)))+C67)
   *(1-_xlfn.XLOOKUP(1,(DESC_PROV[LINEA]=$B$2)*(DESC_PROV[LISTA]=$C$2),DESC_PROV[DESCUENTO])),
   ((B67*(1+IFERROR(VLOOKUP($D$2,COLORES[],2,FALSE),0)))+C67)
   *(1-_xlfn.XLOOKUP(1,(DESC_PROV[LINEA]=$B$2)*(DESC_PROV[LISTA]=$C$2),DESC_PROV[DESCUENTO]))
   *(1+VLOOKUP($C$2,LISTAS[],2,FALSE))
   *(1+VLOOKUP($C$2,LISTAS[],3,FALSE))
)
/5,0)*5,0)</f>
        <v>99510</v>
      </c>
      <c r="M67" s="42" cm="1">
        <f t="array" ref="M67">IFERROR(
ROUND(
IF($A$2="COSTO",
   ((B67*(1+IFERROR(VLOOKUP($D$2,COLORES[],2,FALSE),0)))+D67)
   *(1-_xlfn.XLOOKUP(1,(DESC_PROV[LINEA]=$B$2)*(DESC_PROV[LISTA]=$C$2),DESC_PROV[DESCUENTO])),
   ((B67*(1+IFERROR(VLOOKUP($D$2,COLORES[],2,FALSE),0)))+D67)
   *(1-_xlfn.XLOOKUP(1,(DESC_PROV[LINEA]=$B$2)*(DESC_PROV[LISTA]=$C$2),DESC_PROV[DESCUENTO]))
   *(1+VLOOKUP($C$2,LISTAS[],2,FALSE))
   *(1+VLOOKUP($C$2,LISTAS[],3,FALSE))
)
/5,0)*5,0)</f>
        <v>105425</v>
      </c>
      <c r="N67" s="42" cm="1">
        <f t="array" ref="N67">IFERROR(
ROUND(
IF($A$2="COSTO",
   ((B67*(1+IFERROR(VLOOKUP($D$2,COLORES[],2,FALSE),0)))+E67)
   *(1-_xlfn.XLOOKUP(1,(DESC_PROV[LINEA]=$B$2)*(DESC_PROV[LISTA]=$C$2),DESC_PROV[DESCUENTO])),
   ((B67*(1+IFERROR(VLOOKUP($D$2,COLORES[],2,FALSE),0)))+E67)
   *(1-_xlfn.XLOOKUP(1,(DESC_PROV[LINEA]=$B$2)*(DESC_PROV[LISTA]=$C$2),DESC_PROV[DESCUENTO]))
   *(1+VLOOKUP($C$2,LISTAS[],2,FALSE))
   *(1+VLOOKUP($C$2,LISTAS[],3,FALSE))
)
/5,0)*5,0)</f>
        <v>116290</v>
      </c>
      <c r="O67" s="42" cm="1">
        <f t="array" ref="O67">IFERROR(
ROUND(
IF($A$2="COSTO",
   ((B67*(1+IFERROR(VLOOKUP($D$2,COLORES[],2,FALSE),0)))+F67)
   *(1-_xlfn.XLOOKUP(1,(DESC_PROV[LINEA]=$B$2)*(DESC_PROV[LISTA]=$C$2),DESC_PROV[DESCUENTO])),
   ((B67*(1+IFERROR(VLOOKUP($D$2,COLORES[],2,FALSE),0)))+F67)
   *(1-_xlfn.XLOOKUP(1,(DESC_PROV[LINEA]=$B$2)*(DESC_PROV[LISTA]=$C$2),DESC_PROV[DESCUENTO]))
   *(1+VLOOKUP($C$2,LISTAS[],2,FALSE))
   *(1+VLOOKUP($C$2,LISTAS[],3,FALSE))
)
/5,0)*5,0)</f>
        <v>168190</v>
      </c>
      <c r="P67" s="42" cm="1">
        <f t="array" ref="P67">IFERROR(
ROUND(
IF($A$2="COSTO",
   ((B67*(1+IFERROR(VLOOKUP($D$2,COLORES[],2,FALSE),0)))+G67)
   *(1-_xlfn.XLOOKUP(1,(DESC_PROV[LINEA]=$B$2)*(DESC_PROV[LISTA]=$C$2),DESC_PROV[DESCUENTO])),
   ((B67*(1+IFERROR(VLOOKUP($D$2,COLORES[],2,FALSE),0)))+G67)
   *(1-_xlfn.XLOOKUP(1,(DESC_PROV[LINEA]=$B$2)*(DESC_PROV[LISTA]=$C$2),DESC_PROV[DESCUENTO]))
   *(1+VLOOKUP($C$2,LISTAS[],2,FALSE))
   *(1+VLOOKUP($C$2,LISTAS[],3,FALSE))
)
/5,0)*5,0)</f>
        <v>108835</v>
      </c>
      <c r="Q67" s="43" cm="1">
        <f t="array" ref="Q67">IFERROR(
ROUND(
IF($A$2="COSTO",
   ((B67*(1+IFERROR(VLOOKUP($D$2,COLORES[],2,FALSE),0)))+H67)
   *(1-_xlfn.XLOOKUP(1,(DESC_PROV[LINEA]=$B$2)*(DESC_PROV[LISTA]=$C$2),DESC_PROV[DESCUENTO])),
   ((B67*(1+IFERROR(VLOOKUP($D$2,COLORES[],2,FALSE),0)))+H67)
   *(1-_xlfn.XLOOKUP(1,(DESC_PROV[LINEA]=$B$2)*(DESC_PROV[LISTA]=$C$2),DESC_PROV[DESCUENTO]))
   *(1+VLOOKUP($C$2,LISTAS[],2,FALSE))
   *(1+VLOOKUP($C$2,LISTAS[],3,FALSE))
)
/5,0)*5,0)</f>
        <v>216175</v>
      </c>
    </row>
    <row r="68" spans="1:17">
      <c r="A68" s="47" t="s">
        <v>107</v>
      </c>
      <c r="B68" s="42">
        <v>59744</v>
      </c>
      <c r="C68" s="42">
        <v>25412</v>
      </c>
      <c r="D68" s="42">
        <v>30779</v>
      </c>
      <c r="E68" s="42">
        <v>40635</v>
      </c>
      <c r="F68" s="42">
        <v>87713</v>
      </c>
      <c r="G68" s="42">
        <v>33874</v>
      </c>
      <c r="H68" s="42">
        <v>131243</v>
      </c>
      <c r="I68" s="2"/>
      <c r="J68" s="2"/>
      <c r="K68" s="47" t="s">
        <v>107</v>
      </c>
      <c r="L68" s="42" cm="1">
        <f t="array" ref="L68">IFERROR(
ROUND(
IF($A$2="COSTO",
   ((B68*(1+IFERROR(VLOOKUP($D$2,COLORES[],2,FALSE),0)))+C68)
   *(1-_xlfn.XLOOKUP(1,(DESC_PROV[LINEA]=$B$2)*(DESC_PROV[LISTA]=$C$2),DESC_PROV[DESCUENTO])),
   ((B68*(1+IFERROR(VLOOKUP($D$2,COLORES[],2,FALSE),0)))+C68)
   *(1-_xlfn.XLOOKUP(1,(DESC_PROV[LINEA]=$B$2)*(DESC_PROV[LISTA]=$C$2),DESC_PROV[DESCUENTO]))
   *(1+VLOOKUP($C$2,LISTAS[],2,FALSE))
   *(1+VLOOKUP($C$2,LISTAS[],3,FALSE))
)
/5,0)*5,0)</f>
        <v>105610</v>
      </c>
      <c r="M68" s="42" cm="1">
        <f t="array" ref="M68">IFERROR(
ROUND(
IF($A$2="COSTO",
   ((B68*(1+IFERROR(VLOOKUP($D$2,COLORES[],2,FALSE),0)))+D68)
   *(1-_xlfn.XLOOKUP(1,(DESC_PROV[LINEA]=$B$2)*(DESC_PROV[LISTA]=$C$2),DESC_PROV[DESCUENTO])),
   ((B68*(1+IFERROR(VLOOKUP($D$2,COLORES[],2,FALSE),0)))+D68)
   *(1-_xlfn.XLOOKUP(1,(DESC_PROV[LINEA]=$B$2)*(DESC_PROV[LISTA]=$C$2),DESC_PROV[DESCUENTO]))
   *(1+VLOOKUP($C$2,LISTAS[],2,FALSE))
   *(1+VLOOKUP($C$2,LISTAS[],3,FALSE))
)
/5,0)*5,0)</f>
        <v>112265</v>
      </c>
      <c r="N68" s="42" cm="1">
        <f t="array" ref="N68">IFERROR(
ROUND(
IF($A$2="COSTO",
   ((B68*(1+IFERROR(VLOOKUP($D$2,COLORES[],2,FALSE),0)))+E68)
   *(1-_xlfn.XLOOKUP(1,(DESC_PROV[LINEA]=$B$2)*(DESC_PROV[LISTA]=$C$2),DESC_PROV[DESCUENTO])),
   ((B68*(1+IFERROR(VLOOKUP($D$2,COLORES[],2,FALSE),0)))+E68)
   *(1-_xlfn.XLOOKUP(1,(DESC_PROV[LINEA]=$B$2)*(DESC_PROV[LISTA]=$C$2),DESC_PROV[DESCUENTO]))
   *(1+VLOOKUP($C$2,LISTAS[],2,FALSE))
   *(1+VLOOKUP($C$2,LISTAS[],3,FALSE))
)
/5,0)*5,0)</f>
        <v>124490</v>
      </c>
      <c r="O68" s="42" cm="1">
        <f t="array" ref="O68">IFERROR(
ROUND(
IF($A$2="COSTO",
   ((B68*(1+IFERROR(VLOOKUP($D$2,COLORES[],2,FALSE),0)))+F68)
   *(1-_xlfn.XLOOKUP(1,(DESC_PROV[LINEA]=$B$2)*(DESC_PROV[LISTA]=$C$2),DESC_PROV[DESCUENTO])),
   ((B68*(1+IFERROR(VLOOKUP($D$2,COLORES[],2,FALSE),0)))+F68)
   *(1-_xlfn.XLOOKUP(1,(DESC_PROV[LINEA]=$B$2)*(DESC_PROV[LISTA]=$C$2),DESC_PROV[DESCUENTO]))
   *(1+VLOOKUP($C$2,LISTAS[],2,FALSE))
   *(1+VLOOKUP($C$2,LISTAS[],3,FALSE))
)
/5,0)*5,0)</f>
        <v>182875</v>
      </c>
      <c r="P68" s="42" cm="1">
        <f t="array" ref="P68">IFERROR(
ROUND(
IF($A$2="COSTO",
   ((B68*(1+IFERROR(VLOOKUP($D$2,COLORES[],2,FALSE),0)))+G68)
   *(1-_xlfn.XLOOKUP(1,(DESC_PROV[LINEA]=$B$2)*(DESC_PROV[LISTA]=$C$2),DESC_PROV[DESCUENTO])),
   ((B68*(1+IFERROR(VLOOKUP($D$2,COLORES[],2,FALSE),0)))+G68)
   *(1-_xlfn.XLOOKUP(1,(DESC_PROV[LINEA]=$B$2)*(DESC_PROV[LISTA]=$C$2),DESC_PROV[DESCUENTO]))
   *(1+VLOOKUP($C$2,LISTAS[],2,FALSE))
   *(1+VLOOKUP($C$2,LISTAS[],3,FALSE))
)
/5,0)*5,0)</f>
        <v>116105</v>
      </c>
      <c r="Q68" s="43" cm="1">
        <f t="array" ref="Q68">IFERROR(
ROUND(
IF($A$2="COSTO",
   ((B68*(1+IFERROR(VLOOKUP($D$2,COLORES[],2,FALSE),0)))+H68)
   *(1-_xlfn.XLOOKUP(1,(DESC_PROV[LINEA]=$B$2)*(DESC_PROV[LISTA]=$C$2),DESC_PROV[DESCUENTO])),
   ((B68*(1+IFERROR(VLOOKUP($D$2,COLORES[],2,FALSE),0)))+H68)
   *(1-_xlfn.XLOOKUP(1,(DESC_PROV[LINEA]=$B$2)*(DESC_PROV[LISTA]=$C$2),DESC_PROV[DESCUENTO]))
   *(1+VLOOKUP($C$2,LISTAS[],2,FALSE))
   *(1+VLOOKUP($C$2,LISTAS[],3,FALSE))
)
/5,0)*5,0)</f>
        <v>236860</v>
      </c>
    </row>
    <row r="69" spans="1:17">
      <c r="A69" s="47" t="s">
        <v>148</v>
      </c>
      <c r="B69" s="42">
        <v>53460</v>
      </c>
      <c r="C69" s="42">
        <v>10779</v>
      </c>
      <c r="D69" s="42">
        <v>13050</v>
      </c>
      <c r="E69" s="42">
        <v>17231</v>
      </c>
      <c r="F69" s="42">
        <v>37205</v>
      </c>
      <c r="G69" s="42">
        <v>14371</v>
      </c>
      <c r="H69" s="42">
        <v>55668</v>
      </c>
      <c r="I69" s="2"/>
      <c r="J69" s="2"/>
      <c r="K69" s="47" t="s">
        <v>148</v>
      </c>
      <c r="L69" s="42" cm="1">
        <f t="array" ref="L69">IFERROR(
ROUND(
IF($A$2="COSTO",
   ((B69*(1+IFERROR(VLOOKUP($D$2,COLORES[],2,FALSE),0)))+C69)
   *(1-_xlfn.XLOOKUP(1,(DESC_PROV[LINEA]=$B$2)*(DESC_PROV[LISTA]=$C$2),DESC_PROV[DESCUENTO])),
   ((B69*(1+IFERROR(VLOOKUP($D$2,COLORES[],2,FALSE),0)))+C69)
   *(1-_xlfn.XLOOKUP(1,(DESC_PROV[LINEA]=$B$2)*(DESC_PROV[LISTA]=$C$2),DESC_PROV[DESCUENTO]))
   *(1+VLOOKUP($C$2,LISTAS[],2,FALSE))
   *(1+VLOOKUP($C$2,LISTAS[],3,FALSE))
)
/5,0)*5,0)</f>
        <v>79670</v>
      </c>
      <c r="M69" s="42" cm="1">
        <f t="array" ref="M69">IFERROR(
ROUND(
IF($A$2="COSTO",
   ((B69*(1+IFERROR(VLOOKUP($D$2,COLORES[],2,FALSE),0)))+D69)
   *(1-_xlfn.XLOOKUP(1,(DESC_PROV[LINEA]=$B$2)*(DESC_PROV[LISTA]=$C$2),DESC_PROV[DESCUENTO])),
   ((B69*(1+IFERROR(VLOOKUP($D$2,COLORES[],2,FALSE),0)))+D69)
   *(1-_xlfn.XLOOKUP(1,(DESC_PROV[LINEA]=$B$2)*(DESC_PROV[LISTA]=$C$2),DESC_PROV[DESCUENTO]))
   *(1+VLOOKUP($C$2,LISTAS[],2,FALSE))
   *(1+VLOOKUP($C$2,LISTAS[],3,FALSE))
)
/5,0)*5,0)</f>
        <v>82485</v>
      </c>
      <c r="N69" s="42" cm="1">
        <f t="array" ref="N69">IFERROR(
ROUND(
IF($A$2="COSTO",
   ((B69*(1+IFERROR(VLOOKUP($D$2,COLORES[],2,FALSE),0)))+E69)
   *(1-_xlfn.XLOOKUP(1,(DESC_PROV[LINEA]=$B$2)*(DESC_PROV[LISTA]=$C$2),DESC_PROV[DESCUENTO])),
   ((B69*(1+IFERROR(VLOOKUP($D$2,COLORES[],2,FALSE),0)))+E69)
   *(1-_xlfn.XLOOKUP(1,(DESC_PROV[LINEA]=$B$2)*(DESC_PROV[LISTA]=$C$2),DESC_PROV[DESCUENTO]))
   *(1+VLOOKUP($C$2,LISTAS[],2,FALSE))
   *(1+VLOOKUP($C$2,LISTAS[],3,FALSE))
)
/5,0)*5,0)</f>
        <v>87670</v>
      </c>
      <c r="O69" s="42" cm="1">
        <f t="array" ref="O69">IFERROR(
ROUND(
IF($A$2="COSTO",
   ((B69*(1+IFERROR(VLOOKUP($D$2,COLORES[],2,FALSE),0)))+F69)
   *(1-_xlfn.XLOOKUP(1,(DESC_PROV[LINEA]=$B$2)*(DESC_PROV[LISTA]=$C$2),DESC_PROV[DESCUENTO])),
   ((B69*(1+IFERROR(VLOOKUP($D$2,COLORES[],2,FALSE),0)))+F69)
   *(1-_xlfn.XLOOKUP(1,(DESC_PROV[LINEA]=$B$2)*(DESC_PROV[LISTA]=$C$2),DESC_PROV[DESCUENTO]))
   *(1+VLOOKUP($C$2,LISTAS[],2,FALSE))
   *(1+VLOOKUP($C$2,LISTAS[],3,FALSE))
)
/5,0)*5,0)</f>
        <v>112445</v>
      </c>
      <c r="P69" s="42" cm="1">
        <f t="array" ref="P69">IFERROR(
ROUND(
IF($A$2="COSTO",
   ((B69*(1+IFERROR(VLOOKUP($D$2,COLORES[],2,FALSE),0)))+G69)
   *(1-_xlfn.XLOOKUP(1,(DESC_PROV[LINEA]=$B$2)*(DESC_PROV[LISTA]=$C$2),DESC_PROV[DESCUENTO])),
   ((B69*(1+IFERROR(VLOOKUP($D$2,COLORES[],2,FALSE),0)))+G69)
   *(1-_xlfn.XLOOKUP(1,(DESC_PROV[LINEA]=$B$2)*(DESC_PROV[LISTA]=$C$2),DESC_PROV[DESCUENTO]))
   *(1+VLOOKUP($C$2,LISTAS[],2,FALSE))
   *(1+VLOOKUP($C$2,LISTAS[],3,FALSE))
)
/5,0)*5,0)</f>
        <v>84125</v>
      </c>
      <c r="Q69" s="43" cm="1">
        <f t="array" ref="Q69">IFERROR(
ROUND(
IF($A$2="COSTO",
   ((B69*(1+IFERROR(VLOOKUP($D$2,COLORES[],2,FALSE),0)))+H69)
   *(1-_xlfn.XLOOKUP(1,(DESC_PROV[LINEA]=$B$2)*(DESC_PROV[LISTA]=$C$2),DESC_PROV[DESCUENTO])),
   ((B69*(1+IFERROR(VLOOKUP($D$2,COLORES[],2,FALSE),0)))+H69)
   *(1-_xlfn.XLOOKUP(1,(DESC_PROV[LINEA]=$B$2)*(DESC_PROV[LISTA]=$C$2),DESC_PROV[DESCUENTO]))
   *(1+VLOOKUP($C$2,LISTAS[],2,FALSE))
   *(1+VLOOKUP($C$2,LISTAS[],3,FALSE))
)
/5,0)*5,0)</f>
        <v>135340</v>
      </c>
    </row>
    <row r="70" spans="1:17">
      <c r="A70" s="47" t="s">
        <v>149</v>
      </c>
      <c r="B70" s="42">
        <v>55555</v>
      </c>
      <c r="C70" s="42">
        <v>14371</v>
      </c>
      <c r="D70" s="42">
        <v>17403</v>
      </c>
      <c r="E70" s="42">
        <v>22978</v>
      </c>
      <c r="F70" s="42">
        <v>49603</v>
      </c>
      <c r="G70" s="42">
        <v>19159</v>
      </c>
      <c r="H70" s="42">
        <v>74217</v>
      </c>
      <c r="I70" s="2"/>
      <c r="J70" s="2"/>
      <c r="K70" s="47" t="s">
        <v>149</v>
      </c>
      <c r="L70" s="42" cm="1">
        <f t="array" ref="L70">IFERROR(
ROUND(
IF($A$2="COSTO",
   ((B70*(1+IFERROR(VLOOKUP($D$2,COLORES[],2,FALSE),0)))+C70)
   *(1-_xlfn.XLOOKUP(1,(DESC_PROV[LINEA]=$B$2)*(DESC_PROV[LISTA]=$C$2),DESC_PROV[DESCUENTO])),
   ((B70*(1+IFERROR(VLOOKUP($D$2,COLORES[],2,FALSE),0)))+C70)
   *(1-_xlfn.XLOOKUP(1,(DESC_PROV[LINEA]=$B$2)*(DESC_PROV[LISTA]=$C$2),DESC_PROV[DESCUENTO]))
   *(1+VLOOKUP($C$2,LISTAS[],2,FALSE))
   *(1+VLOOKUP($C$2,LISTAS[],3,FALSE))
)
/5,0)*5,0)</f>
        <v>86720</v>
      </c>
      <c r="M70" s="42" cm="1">
        <f t="array" ref="M70">IFERROR(
ROUND(
IF($A$2="COSTO",
   ((B70*(1+IFERROR(VLOOKUP($D$2,COLORES[],2,FALSE),0)))+D70)
   *(1-_xlfn.XLOOKUP(1,(DESC_PROV[LINEA]=$B$2)*(DESC_PROV[LISTA]=$C$2),DESC_PROV[DESCUENTO])),
   ((B70*(1+IFERROR(VLOOKUP($D$2,COLORES[],2,FALSE),0)))+D70)
   *(1-_xlfn.XLOOKUP(1,(DESC_PROV[LINEA]=$B$2)*(DESC_PROV[LISTA]=$C$2),DESC_PROV[DESCUENTO]))
   *(1+VLOOKUP($C$2,LISTAS[],2,FALSE))
   *(1+VLOOKUP($C$2,LISTAS[],3,FALSE))
)
/5,0)*5,0)</f>
        <v>90485</v>
      </c>
      <c r="N70" s="42" cm="1">
        <f t="array" ref="N70">IFERROR(
ROUND(
IF($A$2="COSTO",
   ((B70*(1+IFERROR(VLOOKUP($D$2,COLORES[],2,FALSE),0)))+E70)
   *(1-_xlfn.XLOOKUP(1,(DESC_PROV[LINEA]=$B$2)*(DESC_PROV[LISTA]=$C$2),DESC_PROV[DESCUENTO])),
   ((B70*(1+IFERROR(VLOOKUP($D$2,COLORES[],2,FALSE),0)))+E70)
   *(1-_xlfn.XLOOKUP(1,(DESC_PROV[LINEA]=$B$2)*(DESC_PROV[LISTA]=$C$2),DESC_PROV[DESCUENTO]))
   *(1+VLOOKUP($C$2,LISTAS[],2,FALSE))
   *(1+VLOOKUP($C$2,LISTAS[],3,FALSE))
)
/5,0)*5,0)</f>
        <v>97395</v>
      </c>
      <c r="O70" s="42" cm="1">
        <f t="array" ref="O70">IFERROR(
ROUND(
IF($A$2="COSTO",
   ((B70*(1+IFERROR(VLOOKUP($D$2,COLORES[],2,FALSE),0)))+F70)
   *(1-_xlfn.XLOOKUP(1,(DESC_PROV[LINEA]=$B$2)*(DESC_PROV[LISTA]=$C$2),DESC_PROV[DESCUENTO])),
   ((B70*(1+IFERROR(VLOOKUP($D$2,COLORES[],2,FALSE),0)))+F70)
   *(1-_xlfn.XLOOKUP(1,(DESC_PROV[LINEA]=$B$2)*(DESC_PROV[LISTA]=$C$2),DESC_PROV[DESCUENTO]))
   *(1+VLOOKUP($C$2,LISTAS[],2,FALSE))
   *(1+VLOOKUP($C$2,LISTAS[],3,FALSE))
)
/5,0)*5,0)</f>
        <v>130415</v>
      </c>
      <c r="P70" s="42" cm="1">
        <f t="array" ref="P70">IFERROR(
ROUND(
IF($A$2="COSTO",
   ((B70*(1+IFERROR(VLOOKUP($D$2,COLORES[],2,FALSE),0)))+G70)
   *(1-_xlfn.XLOOKUP(1,(DESC_PROV[LINEA]=$B$2)*(DESC_PROV[LISTA]=$C$2),DESC_PROV[DESCUENTO])),
   ((B70*(1+IFERROR(VLOOKUP($D$2,COLORES[],2,FALSE),0)))+G70)
   *(1-_xlfn.XLOOKUP(1,(DESC_PROV[LINEA]=$B$2)*(DESC_PROV[LISTA]=$C$2),DESC_PROV[DESCUENTO]))
   *(1+VLOOKUP($C$2,LISTAS[],2,FALSE))
   *(1+VLOOKUP($C$2,LISTAS[],3,FALSE))
)
/5,0)*5,0)</f>
        <v>92660</v>
      </c>
      <c r="Q70" s="43" cm="1">
        <f t="array" ref="Q70">IFERROR(
ROUND(
IF($A$2="COSTO",
   ((B70*(1+IFERROR(VLOOKUP($D$2,COLORES[],2,FALSE),0)))+H70)
   *(1-_xlfn.XLOOKUP(1,(DESC_PROV[LINEA]=$B$2)*(DESC_PROV[LISTA]=$C$2),DESC_PROV[DESCUENTO])),
   ((B70*(1+IFERROR(VLOOKUP($D$2,COLORES[],2,FALSE),0)))+H70)
   *(1-_xlfn.XLOOKUP(1,(DESC_PROV[LINEA]=$B$2)*(DESC_PROV[LISTA]=$C$2),DESC_PROV[DESCUENTO]))
   *(1+VLOOKUP($C$2,LISTAS[],2,FALSE))
   *(1+VLOOKUP($C$2,LISTAS[],3,FALSE))
)
/5,0)*5,0)</f>
        <v>160945</v>
      </c>
    </row>
    <row r="71" spans="1:17">
      <c r="A71" s="47" t="s">
        <v>150</v>
      </c>
      <c r="B71" s="42">
        <v>57649</v>
      </c>
      <c r="C71" s="42">
        <v>17964</v>
      </c>
      <c r="D71" s="42">
        <v>21756</v>
      </c>
      <c r="E71" s="42">
        <v>28725</v>
      </c>
      <c r="F71" s="42">
        <v>62002</v>
      </c>
      <c r="G71" s="42">
        <v>23946</v>
      </c>
      <c r="H71" s="42">
        <v>92766</v>
      </c>
      <c r="I71" s="2"/>
      <c r="J71" s="2"/>
      <c r="K71" s="47" t="s">
        <v>150</v>
      </c>
      <c r="L71" s="42" cm="1">
        <f t="array" ref="L71">IFERROR(
ROUND(
IF($A$2="COSTO",
   ((B71*(1+IFERROR(VLOOKUP($D$2,COLORES[],2,FALSE),0)))+C71)
   *(1-_xlfn.XLOOKUP(1,(DESC_PROV[LINEA]=$B$2)*(DESC_PROV[LISTA]=$C$2),DESC_PROV[DESCUENTO])),
   ((B71*(1+IFERROR(VLOOKUP($D$2,COLORES[],2,FALSE),0)))+C71)
   *(1-_xlfn.XLOOKUP(1,(DESC_PROV[LINEA]=$B$2)*(DESC_PROV[LISTA]=$C$2),DESC_PROV[DESCUENTO]))
   *(1+VLOOKUP($C$2,LISTAS[],2,FALSE))
   *(1+VLOOKUP($C$2,LISTAS[],3,FALSE))
)
/5,0)*5,0)</f>
        <v>93775</v>
      </c>
      <c r="M71" s="42" cm="1">
        <f t="array" ref="M71">IFERROR(
ROUND(
IF($A$2="COSTO",
   ((B71*(1+IFERROR(VLOOKUP($D$2,COLORES[],2,FALSE),0)))+D71)
   *(1-_xlfn.XLOOKUP(1,(DESC_PROV[LINEA]=$B$2)*(DESC_PROV[LISTA]=$C$2),DESC_PROV[DESCUENTO])),
   ((B71*(1+IFERROR(VLOOKUP($D$2,COLORES[],2,FALSE),0)))+D71)
   *(1-_xlfn.XLOOKUP(1,(DESC_PROV[LINEA]=$B$2)*(DESC_PROV[LISTA]=$C$2),DESC_PROV[DESCUENTO]))
   *(1+VLOOKUP($C$2,LISTAS[],2,FALSE))
   *(1+VLOOKUP($C$2,LISTAS[],3,FALSE))
)
/5,0)*5,0)</f>
        <v>98480</v>
      </c>
      <c r="N71" s="42" cm="1">
        <f t="array" ref="N71">IFERROR(
ROUND(
IF($A$2="COSTO",
   ((B71*(1+IFERROR(VLOOKUP($D$2,COLORES[],2,FALSE),0)))+E71)
   *(1-_xlfn.XLOOKUP(1,(DESC_PROV[LINEA]=$B$2)*(DESC_PROV[LISTA]=$C$2),DESC_PROV[DESCUENTO])),
   ((B71*(1+IFERROR(VLOOKUP($D$2,COLORES[],2,FALSE),0)))+E71)
   *(1-_xlfn.XLOOKUP(1,(DESC_PROV[LINEA]=$B$2)*(DESC_PROV[LISTA]=$C$2),DESC_PROV[DESCUENTO]))
   *(1+VLOOKUP($C$2,LISTAS[],2,FALSE))
   *(1+VLOOKUP($C$2,LISTAS[],3,FALSE))
)
/5,0)*5,0)</f>
        <v>107120</v>
      </c>
      <c r="O71" s="42" cm="1">
        <f t="array" ref="O71">IFERROR(
ROUND(
IF($A$2="COSTO",
   ((B71*(1+IFERROR(VLOOKUP($D$2,COLORES[],2,FALSE),0)))+F71)
   *(1-_xlfn.XLOOKUP(1,(DESC_PROV[LINEA]=$B$2)*(DESC_PROV[LISTA]=$C$2),DESC_PROV[DESCUENTO])),
   ((B71*(1+IFERROR(VLOOKUP($D$2,COLORES[],2,FALSE),0)))+F71)
   *(1-_xlfn.XLOOKUP(1,(DESC_PROV[LINEA]=$B$2)*(DESC_PROV[LISTA]=$C$2),DESC_PROV[DESCUENTO]))
   *(1+VLOOKUP($C$2,LISTAS[],2,FALSE))
   *(1+VLOOKUP($C$2,LISTAS[],3,FALSE))
)
/5,0)*5,0)</f>
        <v>148390</v>
      </c>
      <c r="P71" s="42" cm="1">
        <f t="array" ref="P71">IFERROR(
ROUND(
IF($A$2="COSTO",
   ((B71*(1+IFERROR(VLOOKUP($D$2,COLORES[],2,FALSE),0)))+G71)
   *(1-_xlfn.XLOOKUP(1,(DESC_PROV[LINEA]=$B$2)*(DESC_PROV[LISTA]=$C$2),DESC_PROV[DESCUENTO])),
   ((B71*(1+IFERROR(VLOOKUP($D$2,COLORES[],2,FALSE),0)))+G71)
   *(1-_xlfn.XLOOKUP(1,(DESC_PROV[LINEA]=$B$2)*(DESC_PROV[LISTA]=$C$2),DESC_PROV[DESCUENTO]))
   *(1+VLOOKUP($C$2,LISTAS[],2,FALSE))
   *(1+VLOOKUP($C$2,LISTAS[],3,FALSE))
)
/5,0)*5,0)</f>
        <v>101195</v>
      </c>
      <c r="Q71" s="43" cm="1">
        <f t="array" ref="Q71">IFERROR(
ROUND(
IF($A$2="COSTO",
   ((B71*(1+IFERROR(VLOOKUP($D$2,COLORES[],2,FALSE),0)))+H71)
   *(1-_xlfn.XLOOKUP(1,(DESC_PROV[LINEA]=$B$2)*(DESC_PROV[LISTA]=$C$2),DESC_PROV[DESCUENTO])),
   ((B71*(1+IFERROR(VLOOKUP($D$2,COLORES[],2,FALSE),0)))+H71)
   *(1-_xlfn.XLOOKUP(1,(DESC_PROV[LINEA]=$B$2)*(DESC_PROV[LISTA]=$C$2),DESC_PROV[DESCUENTO]))
   *(1+VLOOKUP($C$2,LISTAS[],2,FALSE))
   *(1+VLOOKUP($C$2,LISTAS[],3,FALSE))
)
/5,0)*5,0)</f>
        <v>186545</v>
      </c>
    </row>
    <row r="72" spans="1:17">
      <c r="A72" s="47" t="s">
        <v>151</v>
      </c>
      <c r="B72" s="42">
        <v>59744</v>
      </c>
      <c r="C72" s="42">
        <v>21557</v>
      </c>
      <c r="D72" s="42">
        <v>26109</v>
      </c>
      <c r="E72" s="42">
        <v>34471</v>
      </c>
      <c r="F72" s="42">
        <v>74400</v>
      </c>
      <c r="G72" s="42">
        <v>28734</v>
      </c>
      <c r="H72" s="42">
        <v>111315</v>
      </c>
      <c r="I72" s="2"/>
      <c r="J72" s="2"/>
      <c r="K72" s="47" t="s">
        <v>151</v>
      </c>
      <c r="L72" s="42" cm="1">
        <f t="array" ref="L72">IFERROR(
ROUND(
IF($A$2="COSTO",
   ((B72*(1+IFERROR(VLOOKUP($D$2,COLORES[],2,FALSE),0)))+C72)
   *(1-_xlfn.XLOOKUP(1,(DESC_PROV[LINEA]=$B$2)*(DESC_PROV[LISTA]=$C$2),DESC_PROV[DESCUENTO])),
   ((B72*(1+IFERROR(VLOOKUP($D$2,COLORES[],2,FALSE),0)))+C72)
   *(1-_xlfn.XLOOKUP(1,(DESC_PROV[LINEA]=$B$2)*(DESC_PROV[LISTA]=$C$2),DESC_PROV[DESCUENTO]))
   *(1+VLOOKUP($C$2,LISTAS[],2,FALSE))
   *(1+VLOOKUP($C$2,LISTAS[],3,FALSE))
)
/5,0)*5,0)</f>
        <v>100830</v>
      </c>
      <c r="M72" s="42" cm="1">
        <f t="array" ref="M72">IFERROR(
ROUND(
IF($A$2="COSTO",
   ((B72*(1+IFERROR(VLOOKUP($D$2,COLORES[],2,FALSE),0)))+D72)
   *(1-_xlfn.XLOOKUP(1,(DESC_PROV[LINEA]=$B$2)*(DESC_PROV[LISTA]=$C$2),DESC_PROV[DESCUENTO])),
   ((B72*(1+IFERROR(VLOOKUP($D$2,COLORES[],2,FALSE),0)))+D72)
   *(1-_xlfn.XLOOKUP(1,(DESC_PROV[LINEA]=$B$2)*(DESC_PROV[LISTA]=$C$2),DESC_PROV[DESCUENTO]))
   *(1+VLOOKUP($C$2,LISTAS[],2,FALSE))
   *(1+VLOOKUP($C$2,LISTAS[],3,FALSE))
)
/5,0)*5,0)</f>
        <v>106475</v>
      </c>
      <c r="N72" s="42" cm="1">
        <f t="array" ref="N72">IFERROR(
ROUND(
IF($A$2="COSTO",
   ((B72*(1+IFERROR(VLOOKUP($D$2,COLORES[],2,FALSE),0)))+E72)
   *(1-_xlfn.XLOOKUP(1,(DESC_PROV[LINEA]=$B$2)*(DESC_PROV[LISTA]=$C$2),DESC_PROV[DESCUENTO])),
   ((B72*(1+IFERROR(VLOOKUP($D$2,COLORES[],2,FALSE),0)))+E72)
   *(1-_xlfn.XLOOKUP(1,(DESC_PROV[LINEA]=$B$2)*(DESC_PROV[LISTA]=$C$2),DESC_PROV[DESCUENTO]))
   *(1+VLOOKUP($C$2,LISTAS[],2,FALSE))
   *(1+VLOOKUP($C$2,LISTAS[],3,FALSE))
)
/5,0)*5,0)</f>
        <v>116845</v>
      </c>
      <c r="O72" s="42" cm="1">
        <f t="array" ref="O72">IFERROR(
ROUND(
IF($A$2="COSTO",
   ((B72*(1+IFERROR(VLOOKUP($D$2,COLORES[],2,FALSE),0)))+F72)
   *(1-_xlfn.XLOOKUP(1,(DESC_PROV[LINEA]=$B$2)*(DESC_PROV[LISTA]=$C$2),DESC_PROV[DESCUENTO])),
   ((B72*(1+IFERROR(VLOOKUP($D$2,COLORES[],2,FALSE),0)))+F72)
   *(1-_xlfn.XLOOKUP(1,(DESC_PROV[LINEA]=$B$2)*(DESC_PROV[LISTA]=$C$2),DESC_PROV[DESCUENTO]))
   *(1+VLOOKUP($C$2,LISTAS[],2,FALSE))
   *(1+VLOOKUP($C$2,LISTAS[],3,FALSE))
)
/5,0)*5,0)</f>
        <v>166365</v>
      </c>
      <c r="P72" s="42" cm="1">
        <f t="array" ref="P72">IFERROR(
ROUND(
IF($A$2="COSTO",
   ((B72*(1+IFERROR(VLOOKUP($D$2,COLORES[],2,FALSE),0)))+G72)
   *(1-_xlfn.XLOOKUP(1,(DESC_PROV[LINEA]=$B$2)*(DESC_PROV[LISTA]=$C$2),DESC_PROV[DESCUENTO])),
   ((B72*(1+IFERROR(VLOOKUP($D$2,COLORES[],2,FALSE),0)))+G72)
   *(1-_xlfn.XLOOKUP(1,(DESC_PROV[LINEA]=$B$2)*(DESC_PROV[LISTA]=$C$2),DESC_PROV[DESCUENTO]))
   *(1+VLOOKUP($C$2,LISTAS[],2,FALSE))
   *(1+VLOOKUP($C$2,LISTAS[],3,FALSE))
)
/5,0)*5,0)</f>
        <v>109730</v>
      </c>
      <c r="Q72" s="43" cm="1">
        <f t="array" ref="Q72">IFERROR(
ROUND(
IF($A$2="COSTO",
   ((B72*(1+IFERROR(VLOOKUP($D$2,COLORES[],2,FALSE),0)))+H72)
   *(1-_xlfn.XLOOKUP(1,(DESC_PROV[LINEA]=$B$2)*(DESC_PROV[LISTA]=$C$2),DESC_PROV[DESCUENTO])),
   ((B72*(1+IFERROR(VLOOKUP($D$2,COLORES[],2,FALSE),0)))+H72)
   *(1-_xlfn.XLOOKUP(1,(DESC_PROV[LINEA]=$B$2)*(DESC_PROV[LISTA]=$C$2),DESC_PROV[DESCUENTO]))
   *(1+VLOOKUP($C$2,LISTAS[],2,FALSE))
   *(1+VLOOKUP($C$2,LISTAS[],3,FALSE))
)
/5,0)*5,0)</f>
        <v>212145</v>
      </c>
    </row>
    <row r="73" spans="1:17">
      <c r="A73" s="47" t="s">
        <v>152</v>
      </c>
      <c r="B73" s="42">
        <v>61838</v>
      </c>
      <c r="C73" s="42">
        <v>25150</v>
      </c>
      <c r="D73" s="42">
        <v>30462</v>
      </c>
      <c r="E73" s="42">
        <v>40218</v>
      </c>
      <c r="F73" s="42">
        <v>86799</v>
      </c>
      <c r="G73" s="42">
        <v>33521</v>
      </c>
      <c r="H73" s="42">
        <v>123022</v>
      </c>
      <c r="I73" s="2"/>
      <c r="J73" s="2"/>
      <c r="K73" s="47" t="s">
        <v>152</v>
      </c>
      <c r="L73" s="42" cm="1">
        <f t="array" ref="L73">IFERROR(
ROUND(
IF($A$2="COSTO",
   ((B73*(1+IFERROR(VLOOKUP($D$2,COLORES[],2,FALSE),0)))+C73)
   *(1-_xlfn.XLOOKUP(1,(DESC_PROV[LINEA]=$B$2)*(DESC_PROV[LISTA]=$C$2),DESC_PROV[DESCUENTO])),
   ((B73*(1+IFERROR(VLOOKUP($D$2,COLORES[],2,FALSE),0)))+C73)
   *(1-_xlfn.XLOOKUP(1,(DESC_PROV[LINEA]=$B$2)*(DESC_PROV[LISTA]=$C$2),DESC_PROV[DESCUENTO]))
   *(1+VLOOKUP($C$2,LISTAS[],2,FALSE))
   *(1+VLOOKUP($C$2,LISTAS[],3,FALSE))
)
/5,0)*5,0)</f>
        <v>107885</v>
      </c>
      <c r="M73" s="42" cm="1">
        <f t="array" ref="M73">IFERROR(
ROUND(
IF($A$2="COSTO",
   ((B73*(1+IFERROR(VLOOKUP($D$2,COLORES[],2,FALSE),0)))+D73)
   *(1-_xlfn.XLOOKUP(1,(DESC_PROV[LINEA]=$B$2)*(DESC_PROV[LISTA]=$C$2),DESC_PROV[DESCUENTO])),
   ((B73*(1+IFERROR(VLOOKUP($D$2,COLORES[],2,FALSE),0)))+D73)
   *(1-_xlfn.XLOOKUP(1,(DESC_PROV[LINEA]=$B$2)*(DESC_PROV[LISTA]=$C$2),DESC_PROV[DESCUENTO]))
   *(1+VLOOKUP($C$2,LISTAS[],2,FALSE))
   *(1+VLOOKUP($C$2,LISTAS[],3,FALSE))
)
/5,0)*5,0)</f>
        <v>114470</v>
      </c>
      <c r="N73" s="42" cm="1">
        <f t="array" ref="N73">IFERROR(
ROUND(
IF($A$2="COSTO",
   ((B73*(1+IFERROR(VLOOKUP($D$2,COLORES[],2,FALSE),0)))+E73)
   *(1-_xlfn.XLOOKUP(1,(DESC_PROV[LINEA]=$B$2)*(DESC_PROV[LISTA]=$C$2),DESC_PROV[DESCUENTO])),
   ((B73*(1+IFERROR(VLOOKUP($D$2,COLORES[],2,FALSE),0)))+E73)
   *(1-_xlfn.XLOOKUP(1,(DESC_PROV[LINEA]=$B$2)*(DESC_PROV[LISTA]=$C$2),DESC_PROV[DESCUENTO]))
   *(1+VLOOKUP($C$2,LISTAS[],2,FALSE))
   *(1+VLOOKUP($C$2,LISTAS[],3,FALSE))
)
/5,0)*5,0)</f>
        <v>126570</v>
      </c>
      <c r="O73" s="42" cm="1">
        <f t="array" ref="O73">IFERROR(
ROUND(
IF($A$2="COSTO",
   ((B73*(1+IFERROR(VLOOKUP($D$2,COLORES[],2,FALSE),0)))+F73)
   *(1-_xlfn.XLOOKUP(1,(DESC_PROV[LINEA]=$B$2)*(DESC_PROV[LISTA]=$C$2),DESC_PROV[DESCUENTO])),
   ((B73*(1+IFERROR(VLOOKUP($D$2,COLORES[],2,FALSE),0)))+F73)
   *(1-_xlfn.XLOOKUP(1,(DESC_PROV[LINEA]=$B$2)*(DESC_PROV[LISTA]=$C$2),DESC_PROV[DESCUENTO]))
   *(1+VLOOKUP($C$2,LISTAS[],2,FALSE))
   *(1+VLOOKUP($C$2,LISTAS[],3,FALSE))
)
/5,0)*5,0)</f>
        <v>184340</v>
      </c>
      <c r="P73" s="42" cm="1">
        <f t="array" ref="P73">IFERROR(
ROUND(
IF($A$2="COSTO",
   ((B73*(1+IFERROR(VLOOKUP($D$2,COLORES[],2,FALSE),0)))+G73)
   *(1-_xlfn.XLOOKUP(1,(DESC_PROV[LINEA]=$B$2)*(DESC_PROV[LISTA]=$C$2),DESC_PROV[DESCUENTO])),
   ((B73*(1+IFERROR(VLOOKUP($D$2,COLORES[],2,FALSE),0)))+G73)
   *(1-_xlfn.XLOOKUP(1,(DESC_PROV[LINEA]=$B$2)*(DESC_PROV[LISTA]=$C$2),DESC_PROV[DESCUENTO]))
   *(1+VLOOKUP($C$2,LISTAS[],2,FALSE))
   *(1+VLOOKUP($C$2,LISTAS[],3,FALSE))
)
/5,0)*5,0)</f>
        <v>118265</v>
      </c>
      <c r="Q73" s="43" cm="1">
        <f t="array" ref="Q73">IFERROR(
ROUND(
IF($A$2="COSTO",
   ((B73*(1+IFERROR(VLOOKUP($D$2,COLORES[],2,FALSE),0)))+H73)
   *(1-_xlfn.XLOOKUP(1,(DESC_PROV[LINEA]=$B$2)*(DESC_PROV[LISTA]=$C$2),DESC_PROV[DESCUENTO])),
   ((B73*(1+IFERROR(VLOOKUP($D$2,COLORES[],2,FALSE),0)))+H73)
   *(1-_xlfn.XLOOKUP(1,(DESC_PROV[LINEA]=$B$2)*(DESC_PROV[LISTA]=$C$2),DESC_PROV[DESCUENTO]))
   *(1+VLOOKUP($C$2,LISTAS[],2,FALSE))
   *(1+VLOOKUP($C$2,LISTAS[],3,FALSE))
)
/5,0)*5,0)</f>
        <v>229265</v>
      </c>
    </row>
    <row r="74" spans="1:17">
      <c r="A74" s="47" t="s">
        <v>153</v>
      </c>
      <c r="B74" s="42">
        <v>63932</v>
      </c>
      <c r="C74" s="42">
        <v>28743</v>
      </c>
      <c r="D74" s="42">
        <v>34815</v>
      </c>
      <c r="E74" s="42">
        <v>45965</v>
      </c>
      <c r="F74" s="42">
        <v>99197</v>
      </c>
      <c r="G74" s="42">
        <v>38309</v>
      </c>
      <c r="H74" s="42">
        <v>134729</v>
      </c>
      <c r="I74" s="2"/>
      <c r="J74" s="2"/>
      <c r="K74" s="47" t="s">
        <v>153</v>
      </c>
      <c r="L74" s="42" cm="1">
        <f t="array" ref="L74">IFERROR(
ROUND(
IF($A$2="COSTO",
   ((B74*(1+IFERROR(VLOOKUP($D$2,COLORES[],2,FALSE),0)))+C74)
   *(1-_xlfn.XLOOKUP(1,(DESC_PROV[LINEA]=$B$2)*(DESC_PROV[LISTA]=$C$2),DESC_PROV[DESCUENTO])),
   ((B74*(1+IFERROR(VLOOKUP($D$2,COLORES[],2,FALSE),0)))+C74)
   *(1-_xlfn.XLOOKUP(1,(DESC_PROV[LINEA]=$B$2)*(DESC_PROV[LISTA]=$C$2),DESC_PROV[DESCUENTO]))
   *(1+VLOOKUP($C$2,LISTAS[],2,FALSE))
   *(1+VLOOKUP($C$2,LISTAS[],3,FALSE))
)
/5,0)*5,0)</f>
        <v>114935</v>
      </c>
      <c r="M74" s="42" cm="1">
        <f t="array" ref="M74">IFERROR(
ROUND(
IF($A$2="COSTO",
   ((B74*(1+IFERROR(VLOOKUP($D$2,COLORES[],2,FALSE),0)))+D74)
   *(1-_xlfn.XLOOKUP(1,(DESC_PROV[LINEA]=$B$2)*(DESC_PROV[LISTA]=$C$2),DESC_PROV[DESCUENTO])),
   ((B74*(1+IFERROR(VLOOKUP($D$2,COLORES[],2,FALSE),0)))+D74)
   *(1-_xlfn.XLOOKUP(1,(DESC_PROV[LINEA]=$B$2)*(DESC_PROV[LISTA]=$C$2),DESC_PROV[DESCUENTO]))
   *(1+VLOOKUP($C$2,LISTAS[],2,FALSE))
   *(1+VLOOKUP($C$2,LISTAS[],3,FALSE))
)
/5,0)*5,0)</f>
        <v>122465</v>
      </c>
      <c r="N74" s="42" cm="1">
        <f t="array" ref="N74">IFERROR(
ROUND(
IF($A$2="COSTO",
   ((B74*(1+IFERROR(VLOOKUP($D$2,COLORES[],2,FALSE),0)))+E74)
   *(1-_xlfn.XLOOKUP(1,(DESC_PROV[LINEA]=$B$2)*(DESC_PROV[LISTA]=$C$2),DESC_PROV[DESCUENTO])),
   ((B74*(1+IFERROR(VLOOKUP($D$2,COLORES[],2,FALSE),0)))+E74)
   *(1-_xlfn.XLOOKUP(1,(DESC_PROV[LINEA]=$B$2)*(DESC_PROV[LISTA]=$C$2),DESC_PROV[DESCUENTO]))
   *(1+VLOOKUP($C$2,LISTAS[],2,FALSE))
   *(1+VLOOKUP($C$2,LISTAS[],3,FALSE))
)
/5,0)*5,0)</f>
        <v>136295</v>
      </c>
      <c r="O74" s="42" cm="1">
        <f t="array" ref="O74">IFERROR(
ROUND(
IF($A$2="COSTO",
   ((B74*(1+IFERROR(VLOOKUP($D$2,COLORES[],2,FALSE),0)))+F74)
   *(1-_xlfn.XLOOKUP(1,(DESC_PROV[LINEA]=$B$2)*(DESC_PROV[LISTA]=$C$2),DESC_PROV[DESCUENTO])),
   ((B74*(1+IFERROR(VLOOKUP($D$2,COLORES[],2,FALSE),0)))+F74)
   *(1-_xlfn.XLOOKUP(1,(DESC_PROV[LINEA]=$B$2)*(DESC_PROV[LISTA]=$C$2),DESC_PROV[DESCUENTO]))
   *(1+VLOOKUP($C$2,LISTAS[],2,FALSE))
   *(1+VLOOKUP($C$2,LISTAS[],3,FALSE))
)
/5,0)*5,0)</f>
        <v>202315</v>
      </c>
      <c r="P74" s="42" cm="1">
        <f t="array" ref="P74">IFERROR(
ROUND(
IF($A$2="COSTO",
   ((B74*(1+IFERROR(VLOOKUP($D$2,COLORES[],2,FALSE),0)))+G74)
   *(1-_xlfn.XLOOKUP(1,(DESC_PROV[LINEA]=$B$2)*(DESC_PROV[LISTA]=$C$2),DESC_PROV[DESCUENTO])),
   ((B74*(1+IFERROR(VLOOKUP($D$2,COLORES[],2,FALSE),0)))+G74)
   *(1-_xlfn.XLOOKUP(1,(DESC_PROV[LINEA]=$B$2)*(DESC_PROV[LISTA]=$C$2),DESC_PROV[DESCUENTO]))
   *(1+VLOOKUP($C$2,LISTAS[],2,FALSE))
   *(1+VLOOKUP($C$2,LISTAS[],3,FALSE))
)
/5,0)*5,0)</f>
        <v>126800</v>
      </c>
      <c r="Q74" s="43" cm="1">
        <f t="array" ref="Q74">IFERROR(
ROUND(
IF($A$2="COSTO",
   ((B74*(1+IFERROR(VLOOKUP($D$2,COLORES[],2,FALSE),0)))+H74)
   *(1-_xlfn.XLOOKUP(1,(DESC_PROV[LINEA]=$B$2)*(DESC_PROV[LISTA]=$C$2),DESC_PROV[DESCUENTO])),
   ((B74*(1+IFERROR(VLOOKUP($D$2,COLORES[],2,FALSE),0)))+H74)
   *(1-_xlfn.XLOOKUP(1,(DESC_PROV[LINEA]=$B$2)*(DESC_PROV[LISTA]=$C$2),DESC_PROV[DESCUENTO]))
   *(1+VLOOKUP($C$2,LISTAS[],2,FALSE))
   *(1+VLOOKUP($C$2,LISTAS[],3,FALSE))
)
/5,0)*5,0)</f>
        <v>246380</v>
      </c>
    </row>
    <row r="75" spans="1:17" ht="14.65" thickBot="1">
      <c r="A75" s="48" t="s">
        <v>114</v>
      </c>
      <c r="B75" s="42">
        <v>66027</v>
      </c>
      <c r="C75" s="42">
        <v>32336</v>
      </c>
      <c r="D75" s="42">
        <v>39168</v>
      </c>
      <c r="E75" s="42">
        <v>51712</v>
      </c>
      <c r="F75" s="42">
        <v>111596</v>
      </c>
      <c r="G75" s="42">
        <v>43096</v>
      </c>
      <c r="H75" s="42">
        <v>153278</v>
      </c>
      <c r="I75" s="2"/>
      <c r="J75" s="2"/>
      <c r="K75" s="48" t="s">
        <v>114</v>
      </c>
      <c r="L75" s="42" cm="1">
        <f t="array" ref="L75">IFERROR(
ROUND(
IF($A$2="COSTO",
   ((B75*(1+IFERROR(VLOOKUP($D$2,COLORES[],2,FALSE),0)))+C75)
   *(1-_xlfn.XLOOKUP(1,(DESC_PROV[LINEA]=$B$2)*(DESC_PROV[LISTA]=$C$2),DESC_PROV[DESCUENTO])),
   ((B75*(1+IFERROR(VLOOKUP($D$2,COLORES[],2,FALSE),0)))+C75)
   *(1-_xlfn.XLOOKUP(1,(DESC_PROV[LINEA]=$B$2)*(DESC_PROV[LISTA]=$C$2),DESC_PROV[DESCUENTO]))
   *(1+VLOOKUP($C$2,LISTAS[],2,FALSE))
   *(1+VLOOKUP($C$2,LISTAS[],3,FALSE))
)
/5,0)*5,0)</f>
        <v>121990</v>
      </c>
      <c r="M75" s="42" cm="1">
        <f t="array" ref="M75">IFERROR(
ROUND(
IF($A$2="COSTO",
   ((B75*(1+IFERROR(VLOOKUP($D$2,COLORES[],2,FALSE),0)))+D75)
   *(1-_xlfn.XLOOKUP(1,(DESC_PROV[LINEA]=$B$2)*(DESC_PROV[LISTA]=$C$2),DESC_PROV[DESCUENTO])),
   ((B75*(1+IFERROR(VLOOKUP($D$2,COLORES[],2,FALSE),0)))+D75)
   *(1-_xlfn.XLOOKUP(1,(DESC_PROV[LINEA]=$B$2)*(DESC_PROV[LISTA]=$C$2),DESC_PROV[DESCUENTO]))
   *(1+VLOOKUP($C$2,LISTAS[],2,FALSE))
   *(1+VLOOKUP($C$2,LISTAS[],3,FALSE))
)
/5,0)*5,0)</f>
        <v>130465</v>
      </c>
      <c r="N75" s="42" cm="1">
        <f t="array" ref="N75">IFERROR(
ROUND(
IF($A$2="COSTO",
   ((B75*(1+IFERROR(VLOOKUP($D$2,COLORES[],2,FALSE),0)))+E75)
   *(1-_xlfn.XLOOKUP(1,(DESC_PROV[LINEA]=$B$2)*(DESC_PROV[LISTA]=$C$2),DESC_PROV[DESCUENTO])),
   ((B75*(1+IFERROR(VLOOKUP($D$2,COLORES[],2,FALSE),0)))+E75)
   *(1-_xlfn.XLOOKUP(1,(DESC_PROV[LINEA]=$B$2)*(DESC_PROV[LISTA]=$C$2),DESC_PROV[DESCUENTO]))
   *(1+VLOOKUP($C$2,LISTAS[],2,FALSE))
   *(1+VLOOKUP($C$2,LISTAS[],3,FALSE))
)
/5,0)*5,0)</f>
        <v>146020</v>
      </c>
      <c r="O75" s="42" cm="1">
        <f t="array" ref="O75">IFERROR(
ROUND(
IF($A$2="COSTO",
   ((B75*(1+IFERROR(VLOOKUP($D$2,COLORES[],2,FALSE),0)))+F75)
   *(1-_xlfn.XLOOKUP(1,(DESC_PROV[LINEA]=$B$2)*(DESC_PROV[LISTA]=$C$2),DESC_PROV[DESCUENTO])),
   ((B75*(1+IFERROR(VLOOKUP($D$2,COLORES[],2,FALSE),0)))+F75)
   *(1-_xlfn.XLOOKUP(1,(DESC_PROV[LINEA]=$B$2)*(DESC_PROV[LISTA]=$C$2),DESC_PROV[DESCUENTO]))
   *(1+VLOOKUP($C$2,LISTAS[],2,FALSE))
   *(1+VLOOKUP($C$2,LISTAS[],3,FALSE))
)
/5,0)*5,0)</f>
        <v>220290</v>
      </c>
      <c r="P75" s="42" cm="1">
        <f t="array" ref="P75">IFERROR(
ROUND(
IF($A$2="COSTO",
   ((B75*(1+IFERROR(VLOOKUP($D$2,COLORES[],2,FALSE),0)))+G75)
   *(1-_xlfn.XLOOKUP(1,(DESC_PROV[LINEA]=$B$2)*(DESC_PROV[LISTA]=$C$2),DESC_PROV[DESCUENTO])),
   ((B75*(1+IFERROR(VLOOKUP($D$2,COLORES[],2,FALSE),0)))+G75)
   *(1-_xlfn.XLOOKUP(1,(DESC_PROV[LINEA]=$B$2)*(DESC_PROV[LISTA]=$C$2),DESC_PROV[DESCUENTO]))
   *(1+VLOOKUP($C$2,LISTAS[],2,FALSE))
   *(1+VLOOKUP($C$2,LISTAS[],3,FALSE))
)
/5,0)*5,0)</f>
        <v>135335</v>
      </c>
      <c r="Q75" s="43" cm="1">
        <f t="array" ref="Q75">IFERROR(
ROUND(
IF($A$2="COSTO",
   ((B75*(1+IFERROR(VLOOKUP($D$2,COLORES[],2,FALSE),0)))+H75)
   *(1-_xlfn.XLOOKUP(1,(DESC_PROV[LINEA]=$B$2)*(DESC_PROV[LISTA]=$C$2),DESC_PROV[DESCUENTO])),
   ((B75*(1+IFERROR(VLOOKUP($D$2,COLORES[],2,FALSE),0)))+H75)
   *(1-_xlfn.XLOOKUP(1,(DESC_PROV[LINEA]=$B$2)*(DESC_PROV[LISTA]=$C$2),DESC_PROV[DESCUENTO]))
   *(1+VLOOKUP($C$2,LISTAS[],2,FALSE))
   *(1+VLOOKUP($C$2,LISTAS[],3,FALSE))
)
/5,0)*5,0)</f>
        <v>271980</v>
      </c>
    </row>
  </sheetData>
  <mergeCells count="2">
    <mergeCell ref="A5:H5"/>
    <mergeCell ref="K5:Q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EBD1-B868-438D-B4E1-10DD7EE40FE9}">
  <sheetPr codeName="Hoja6">
    <tabColor rgb="FFFF0000"/>
  </sheetPr>
  <dimension ref="A1:P26"/>
  <sheetViews>
    <sheetView zoomScale="40" zoomScaleNormal="40" workbookViewId="0">
      <selection activeCell="T30" sqref="T30"/>
    </sheetView>
  </sheetViews>
  <sheetFormatPr baseColWidth="10" defaultRowHeight="14.25"/>
  <cols>
    <col min="1" max="1" width="17.265625" style="4" customWidth="1"/>
    <col min="2" max="2" width="10.73046875" style="4" customWidth="1"/>
    <col min="3" max="3" width="10.3984375" style="4" customWidth="1"/>
    <col min="4" max="4" width="8.73046875" style="4"/>
    <col min="5" max="5" width="8.73046875" style="4" customWidth="1"/>
    <col min="6" max="6" width="12" style="4" customWidth="1"/>
    <col min="7" max="7" width="14.59765625" style="4" customWidth="1"/>
    <col min="8" max="8" width="10.73046875" style="4" customWidth="1"/>
    <col min="9" max="9" width="8.73046875" style="4"/>
    <col min="10" max="10" width="17.265625" style="4" customWidth="1"/>
    <col min="11" max="11" width="10.3984375" style="4" customWidth="1"/>
    <col min="12" max="13" width="8.73046875" style="4"/>
    <col min="14" max="14" width="12" style="4" customWidth="1"/>
    <col min="15" max="15" width="14.59765625" style="4" customWidth="1"/>
    <col min="16" max="16" width="10.73046875" style="4" customWidth="1"/>
    <col min="17" max="16384" width="10.6640625" style="4"/>
  </cols>
  <sheetData>
    <row r="1" spans="1:16">
      <c r="A1" s="254" t="s">
        <v>34</v>
      </c>
      <c r="B1" s="255" t="s">
        <v>396</v>
      </c>
      <c r="C1" s="255" t="s">
        <v>397</v>
      </c>
      <c r="D1" s="256" t="s">
        <v>28</v>
      </c>
      <c r="E1" s="256" t="s">
        <v>404</v>
      </c>
    </row>
    <row r="2" spans="1:16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  <c r="E2" s="253">
        <v>0.8</v>
      </c>
    </row>
    <row r="3" spans="1:16" ht="14.65" thickBot="1"/>
    <row r="4" spans="1:16" ht="25.9" thickBot="1">
      <c r="A4" s="287" t="s">
        <v>195</v>
      </c>
      <c r="B4" s="288"/>
      <c r="C4" s="288"/>
      <c r="D4" s="288"/>
      <c r="E4" s="288"/>
      <c r="F4" s="288"/>
      <c r="G4" s="288"/>
      <c r="H4" s="289"/>
      <c r="I4" s="2"/>
      <c r="J4" s="287" t="s">
        <v>195</v>
      </c>
      <c r="K4" s="288"/>
      <c r="L4" s="288"/>
      <c r="M4" s="288"/>
      <c r="N4" s="288"/>
      <c r="O4" s="288"/>
      <c r="P4" s="289"/>
    </row>
    <row r="5" spans="1:16" ht="16.899999999999999">
      <c r="A5" s="71"/>
      <c r="B5" s="72" t="s">
        <v>196</v>
      </c>
      <c r="C5" s="72" t="s">
        <v>197</v>
      </c>
      <c r="D5" s="72" t="s">
        <v>198</v>
      </c>
      <c r="E5" s="72" t="s">
        <v>199</v>
      </c>
      <c r="F5" s="72" t="s">
        <v>200</v>
      </c>
      <c r="G5" s="72" t="s">
        <v>201</v>
      </c>
      <c r="H5" s="73" t="s">
        <v>202</v>
      </c>
      <c r="I5" s="2"/>
      <c r="J5" s="71"/>
      <c r="K5" s="72" t="s">
        <v>197</v>
      </c>
      <c r="L5" s="72" t="s">
        <v>198</v>
      </c>
      <c r="M5" s="72" t="s">
        <v>199</v>
      </c>
      <c r="N5" s="72" t="s">
        <v>200</v>
      </c>
      <c r="O5" s="72" t="s">
        <v>201</v>
      </c>
      <c r="P5" s="73" t="s">
        <v>202</v>
      </c>
    </row>
    <row r="6" spans="1:16" ht="16.899999999999999">
      <c r="A6" s="74" t="s">
        <v>203</v>
      </c>
      <c r="B6" s="64">
        <v>122701</v>
      </c>
      <c r="C6" s="64">
        <v>0</v>
      </c>
      <c r="D6" s="64">
        <v>24077</v>
      </c>
      <c r="E6" s="64">
        <v>31709</v>
      </c>
      <c r="F6" s="64">
        <v>26500</v>
      </c>
      <c r="G6" s="64">
        <v>68616</v>
      </c>
      <c r="H6" s="64">
        <v>102678</v>
      </c>
      <c r="I6" s="2"/>
      <c r="J6" s="74" t="s">
        <v>203</v>
      </c>
      <c r="K6" s="65" cm="1">
        <f t="array" ref="K6">IFERROR(
ROUND(
IF($A$2="COSTO",
   ((B6*(1+IFERROR(VLOOKUP($D$2,COLORES[],2,FALSE),0)) + C6)
   *IF($E$2=0.8,1,IF($E$2=0.7,1-7%,1+10%)))
   *(1-_xlfn.XLOOKUP(1,(DESC_PROV[LINEA]=$B$2)*(DESC_PROV[LISTA]=$C$2),DESC_PROV[DESCUENTO])),
   ((B6*(1+IFERROR(VLOOKUP($D$2,COLORES[],2,FALSE),0)) + C6)
   *IF($E$2=0.8,1,IF($E$2=0.7,1-7%,1+10%)))
   *(1-_xlfn.XLOOKUP(1,(DESC_PROV[LINEA]=$B$2)*(DESC_PROV[LISTA]=$C$2),DESC_PROV[DESCUENTO]))
   *(1+VLOOKUP($C$2,LISTAS[],2,FALSE))
   *(1+VLOOKUP($C$2,LISTAS[],3,FALSE))
)
/5,0)*5,0)</f>
        <v>152175</v>
      </c>
      <c r="L6" s="65" t="s">
        <v>204</v>
      </c>
      <c r="M6" s="65" cm="1">
        <f t="array" ref="M6">IFERROR(
ROUND(
IF($A$2="COSTO",
   ((B6*(1+IFERROR(VLOOKUP($D$2,COLORES[],2,FALSE),0)) + E6)
   *IF($E$2=0.8,1,IF($E$2=0.7,1-7%,1+10%)))
   *(1-_xlfn.XLOOKUP(1,(DESC_PROV[LINEA]=$B$2)*(DESC_PROV[LISTA]=$C$2),DESC_PROV[DESCUENTO])),
   ((B6*(1+IFERROR(VLOOKUP($D$2,COLORES[],2,FALSE),0)) + E6)
   *IF($E$2=0.8,1,IF($E$2=0.7,1-7%,1+10%)))
   *(1-_xlfn.XLOOKUP(1,(DESC_PROV[LINEA]=$B$2)*(DESC_PROV[LISTA]=$C$2),DESC_PROV[DESCUENTO]))
   *(1+VLOOKUP($C$2,LISTAS[],2,FALSE))
   *(1+VLOOKUP($C$2,LISTAS[],3,FALSE))
)
/5,0)*5,0)</f>
        <v>191500</v>
      </c>
      <c r="N6" s="65" cm="1">
        <f t="array" ref="N6">IFERROR(
ROUND(
IF($A$2="COSTO",
   ((B6*(1+IFERROR(VLOOKUP($D$2,COLORES[],2,FALSE),0)) + F6)
   *IF($E$2=0.8,1,IF($E$2=0.7,1-7%,1+10%)))
   *(1-_xlfn.XLOOKUP(1,(DESC_PROV[LINEA]=$B$2)*(DESC_PROV[LISTA]=$C$2),DESC_PROV[DESCUENTO])),
   ((B6*(1+IFERROR(VLOOKUP($D$2,COLORES[],2,FALSE),0)) + F6)
   *IF($E$2=0.8,1,IF($E$2=0.7,1-7%,1+10%)))
   *(1-_xlfn.XLOOKUP(1,(DESC_PROV[LINEA]=$B$2)*(DESC_PROV[LISTA]=$C$2),DESC_PROV[DESCUENTO]))
   *(1+VLOOKUP($C$2,LISTAS[],2,FALSE))
   *(1+VLOOKUP($C$2,LISTAS[],3,FALSE))
)
/5,0)*5,0)</f>
        <v>185040</v>
      </c>
      <c r="O6" s="65" cm="1">
        <f t="array" ref="O6">IFERROR(
ROUND(
IF($A$2="COSTO",
   ((B6*(1+IFERROR(VLOOKUP($D$2,COLORES[],2,FALSE),0)) + G6)
   *IF($E$2=0.8,1,IF($E$2=0.7,1-7%,1+10%)))
   *(1-_xlfn.XLOOKUP(1,(DESC_PROV[LINEA]=$B$2)*(DESC_PROV[LISTA]=$C$2),DESC_PROV[DESCUENTO])),
   ((B6*(1+IFERROR(VLOOKUP($D$2,COLORES[],2,FALSE),0)) + G6)
   *IF($E$2=0.8,1,IF($E$2=0.7,1-7%,1+10%)))
   *(1-_xlfn.XLOOKUP(1,(DESC_PROV[LINEA]=$B$2)*(DESC_PROV[LISTA]=$C$2),DESC_PROV[DESCUENTO]))
   *(1+VLOOKUP($C$2,LISTAS[],2,FALSE))
   *(1+VLOOKUP($C$2,LISTAS[],3,FALSE))
)
/5,0)*5,0)</f>
        <v>237270</v>
      </c>
      <c r="P6" s="65" cm="1">
        <f t="array" ref="P6">IFERROR(
ROUND(
IF($A$2="COSTO",
   ((B6*(1+IFERROR(VLOOKUP($D$2,COLORES[],2,FALSE),0)) + H6)
   *IF($E$2=0.8,1,IF($E$2=0.7,1-7%,1+10%)))
   *(1-_xlfn.XLOOKUP(1,(DESC_PROV[LINEA]=$B$2)*(DESC_PROV[LISTA]=$C$2),DESC_PROV[DESCUENTO])),
   ((B6*(1+IFERROR(VLOOKUP($D$2,COLORES[],2,FALSE),0)) + H6)
   *IF($E$2=0.8,1,IF($E$2=0.7,1-7%,1+10%)))
   *(1-_xlfn.XLOOKUP(1,(DESC_PROV[LINEA]=$B$2)*(DESC_PROV[LISTA]=$C$2),DESC_PROV[DESCUENTO]))
   *(1+VLOOKUP($C$2,LISTAS[],2,FALSE))
   *(1+VLOOKUP($C$2,LISTAS[],3,FALSE))
)
/5,0)*5,0)</f>
        <v>279515</v>
      </c>
    </row>
    <row r="7" spans="1:16" ht="16.899999999999999">
      <c r="A7" s="74" t="s">
        <v>205</v>
      </c>
      <c r="B7" s="64">
        <v>162622</v>
      </c>
      <c r="C7" s="64">
        <v>0</v>
      </c>
      <c r="D7" s="64">
        <v>24077</v>
      </c>
      <c r="E7" s="64">
        <v>0</v>
      </c>
      <c r="F7" s="64">
        <v>26500</v>
      </c>
      <c r="G7" s="64">
        <v>68616</v>
      </c>
      <c r="H7" s="64">
        <v>0</v>
      </c>
      <c r="I7" s="2"/>
      <c r="J7" s="74" t="s">
        <v>205</v>
      </c>
      <c r="K7" s="65" cm="1">
        <f t="array" ref="K7">IFERROR(
ROUND(
IF($A$2="COSTO",
   ((B7*(1+IFERROR(VLOOKUP($D$2,COLORES[],2,FALSE),0)) + C7)
   *IF($E$2=0.8,1,IF($E$2=0.7,1-7%,1+10%)))
   *(1-_xlfn.XLOOKUP(1,(DESC_PROV[LINEA]=$B$2)*(DESC_PROV[LISTA]=$C$2),DESC_PROV[DESCUENTO])),
   ((B7*(1+IFERROR(VLOOKUP($D$2,COLORES[],2,FALSE),0)) + C7)
   *IF($E$2=0.8,1,IF($E$2=0.7,1-7%,1+10%)))
   *(1-_xlfn.XLOOKUP(1,(DESC_PROV[LINEA]=$B$2)*(DESC_PROV[LISTA]=$C$2),DESC_PROV[DESCUENTO]))
   *(1+VLOOKUP($C$2,LISTAS[],2,FALSE))
   *(1+VLOOKUP($C$2,LISTAS[],3,FALSE))
)
/5,0)*5,0)</f>
        <v>201685</v>
      </c>
      <c r="L7" s="65" t="s">
        <v>204</v>
      </c>
      <c r="M7" s="65" cm="1">
        <f t="array" ref="M7">IFERROR(
ROUND(
IF($A$2="COSTO",
   ((B7*(1+IFERROR(VLOOKUP($D$2,COLORES[],2,FALSE),0)) + E7)
   *IF($E$2=0.8,1,IF($E$2=0.7,1-7%,1+10%)))
   *(1-_xlfn.XLOOKUP(1,(DESC_PROV[LINEA]=$B$2)*(DESC_PROV[LISTA]=$C$2),DESC_PROV[DESCUENTO])),
   ((B7*(1+IFERROR(VLOOKUP($D$2,COLORES[],2,FALSE),0)) + E7)
   *IF($E$2=0.8,1,IF($E$2=0.7,1-7%,1+10%)))
   *(1-_xlfn.XLOOKUP(1,(DESC_PROV[LINEA]=$B$2)*(DESC_PROV[LISTA]=$C$2),DESC_PROV[DESCUENTO]))
   *(1+VLOOKUP($C$2,LISTAS[],2,FALSE))
   *(1+VLOOKUP($C$2,LISTAS[],3,FALSE))
)
/5,0)*5,0)</f>
        <v>201685</v>
      </c>
      <c r="N7" s="65" cm="1">
        <f t="array" ref="N7">IFERROR(
ROUND(
IF($A$2="COSTO",
   ((B7*(1+IFERROR(VLOOKUP($D$2,COLORES[],2,FALSE),0)) + F7)
   *IF($E$2=0.8,1,IF($E$2=0.7,1-7%,1+10%)))
   *(1-_xlfn.XLOOKUP(1,(DESC_PROV[LINEA]=$B$2)*(DESC_PROV[LISTA]=$C$2),DESC_PROV[DESCUENTO])),
   ((B7*(1+IFERROR(VLOOKUP($D$2,COLORES[],2,FALSE),0)) + F7)
   *IF($E$2=0.8,1,IF($E$2=0.7,1-7%,1+10%)))
   *(1-_xlfn.XLOOKUP(1,(DESC_PROV[LINEA]=$B$2)*(DESC_PROV[LISTA]=$C$2),DESC_PROV[DESCUENTO]))
   *(1+VLOOKUP($C$2,LISTAS[],2,FALSE))
   *(1+VLOOKUP($C$2,LISTAS[],3,FALSE))
)
/5,0)*5,0)</f>
        <v>234550</v>
      </c>
      <c r="O7" s="65" cm="1">
        <f t="array" ref="O7">IFERROR(
ROUND(
IF($A$2="COSTO",
   ((B7*(1+IFERROR(VLOOKUP($D$2,COLORES[],2,FALSE),0)) + G7)
   *IF($E$2=0.8,1,IF($E$2=0.7,1-7%,1+10%)))
   *(1-_xlfn.XLOOKUP(1,(DESC_PROV[LINEA]=$B$2)*(DESC_PROV[LISTA]=$C$2),DESC_PROV[DESCUENTO])),
   ((B7*(1+IFERROR(VLOOKUP($D$2,COLORES[],2,FALSE),0)) + G7)
   *IF($E$2=0.8,1,IF($E$2=0.7,1-7%,1+10%)))
   *(1-_xlfn.XLOOKUP(1,(DESC_PROV[LINEA]=$B$2)*(DESC_PROV[LISTA]=$C$2),DESC_PROV[DESCUENTO]))
   *(1+VLOOKUP($C$2,LISTAS[],2,FALSE))
   *(1+VLOOKUP($C$2,LISTAS[],3,FALSE))
)
/5,0)*5,0)</f>
        <v>286780</v>
      </c>
      <c r="P7" s="65" cm="1">
        <f t="array" ref="P7">IFERROR(
ROUND(
IF($A$2="COSTO",
   ((B7*(1+IFERROR(VLOOKUP($D$2,COLORES[],2,FALSE),0)) + H7)
   *IF($E$2=0.8,1,IF($E$2=0.7,1-7%,1+10%)))
   *(1-_xlfn.XLOOKUP(1,(DESC_PROV[LINEA]=$B$2)*(DESC_PROV[LISTA]=$C$2),DESC_PROV[DESCUENTO])),
   ((B7*(1+IFERROR(VLOOKUP($D$2,COLORES[],2,FALSE),0)) + H7)
   *IF($E$2=0.8,1,IF($E$2=0.7,1-7%,1+10%)))
   *(1-_xlfn.XLOOKUP(1,(DESC_PROV[LINEA]=$B$2)*(DESC_PROV[LISTA]=$C$2),DESC_PROV[DESCUENTO]))
   *(1+VLOOKUP($C$2,LISTAS[],2,FALSE))
   *(1+VLOOKUP($C$2,LISTAS[],3,FALSE))
)
/5,0)*5,0)</f>
        <v>201685</v>
      </c>
    </row>
    <row r="8" spans="1:16" ht="16.899999999999999">
      <c r="A8" s="74" t="s">
        <v>206</v>
      </c>
      <c r="B8" s="64">
        <v>129329</v>
      </c>
      <c r="C8" s="64">
        <v>18819</v>
      </c>
      <c r="D8" s="64">
        <v>22817</v>
      </c>
      <c r="E8" s="64">
        <v>30037</v>
      </c>
      <c r="F8" s="64">
        <v>25104</v>
      </c>
      <c r="G8" s="64">
        <v>65006</v>
      </c>
      <c r="H8" s="64">
        <v>83034</v>
      </c>
      <c r="I8" s="2"/>
      <c r="J8" s="74" t="s">
        <v>206</v>
      </c>
      <c r="K8" s="65" cm="1">
        <f t="array" ref="K8">IFERROR(
ROUND(
IF($A$2="COSTO",
   ((B8*(1+IFERROR(VLOOKUP($D$2,COLORES[],2,FALSE),0)) + C8)
   *IF($E$2=0.8,1,IF($E$2=0.7,1-7%,1+10%)))
   *(1-_xlfn.XLOOKUP(1,(DESC_PROV[LINEA]=$B$2)*(DESC_PROV[LISTA]=$C$2),DESC_PROV[DESCUENTO])),
   ((B8*(1+IFERROR(VLOOKUP($D$2,COLORES[],2,FALSE),0)) + C8)
   *IF($E$2=0.8,1,IF($E$2=0.7,1-7%,1+10%)))
   *(1-_xlfn.XLOOKUP(1,(DESC_PROV[LINEA]=$B$2)*(DESC_PROV[LISTA]=$C$2),DESC_PROV[DESCUENTO]))
   *(1+VLOOKUP($C$2,LISTAS[],2,FALSE))
   *(1+VLOOKUP($C$2,LISTAS[],3,FALSE))
)
/5,0)*5,0)</f>
        <v>183735</v>
      </c>
      <c r="L8" s="65" cm="1">
        <f t="array" ref="L8">IFERROR(
ROUND(
IF($A$2="COSTO",
   ((B8*(1+IFERROR(VLOOKUP($D$2,COLORES[],2,FALSE),0)) + D8)
   *(1+($E$2-0.8)))
   *(1-_xlfn.XLOOKUP(1,(DESC_PROV[LINEA]=$B$2)*(DESC_PROV[LISTA]=$C$2),DESC_PROV[DESCUENTO])),
   ((B8*(1+IFERROR(VLOOKUP($D$2,COLORES[],2,FALSE),0)) + D8)
   *(1+($E$2-0.8)))
   *(1-_xlfn.XLOOKUP(1,(DESC_PROV[LINEA]=$B$2)*(DESC_PROV[LISTA]=$C$2),DESC_PROV[DESCUENTO]))
   *(1+VLOOKUP($C$2,LISTAS[],2,FALSE))
   *(1+VLOOKUP($C$2,LISTAS[],3,FALSE))
)
/5,0)*5,0)</f>
        <v>188690</v>
      </c>
      <c r="M8" s="65" cm="1">
        <f t="array" ref="M8">IFERROR(
ROUND(
IF($A$2="COSTO",
   ((B8*(1+IFERROR(VLOOKUP($D$2,COLORES[],2,FALSE),0)) + E8)
   *IF($E$2=0.8,1,IF($E$2=0.7,1-7%,1+10%)))
   *(1-_xlfn.XLOOKUP(1,(DESC_PROV[LINEA]=$B$2)*(DESC_PROV[LISTA]=$C$2),DESC_PROV[DESCUENTO])),
   ((B8*(1+IFERROR(VLOOKUP($D$2,COLORES[],2,FALSE),0)) + E8)
   *IF($E$2=0.8,1,IF($E$2=0.7,1-7%,1+10%)))
   *(1-_xlfn.XLOOKUP(1,(DESC_PROV[LINEA]=$B$2)*(DESC_PROV[LISTA]=$C$2),DESC_PROV[DESCUENTO]))
   *(1+VLOOKUP($C$2,LISTAS[],2,FALSE))
   *(1+VLOOKUP($C$2,LISTAS[],3,FALSE))
)
/5,0)*5,0)</f>
        <v>197645</v>
      </c>
      <c r="N8" s="65" cm="1">
        <f t="array" ref="N8">IFERROR(
ROUND(
IF($A$2="COSTO",
   ((B8*(1+IFERROR(VLOOKUP($D$2,COLORES[],2,FALSE),0)) + F8)
   *IF($E$2=0.8,1,IF($E$2=0.7,1-7%,1+10%)))
   *(1-_xlfn.XLOOKUP(1,(DESC_PROV[LINEA]=$B$2)*(DESC_PROV[LISTA]=$C$2),DESC_PROV[DESCUENTO])),
   ((B8*(1+IFERROR(VLOOKUP($D$2,COLORES[],2,FALSE),0)) + F8)
   *IF($E$2=0.8,1,IF($E$2=0.7,1-7%,1+10%)))
   *(1-_xlfn.XLOOKUP(1,(DESC_PROV[LINEA]=$B$2)*(DESC_PROV[LISTA]=$C$2),DESC_PROV[DESCUENTO]))
   *(1+VLOOKUP($C$2,LISTAS[],2,FALSE))
   *(1+VLOOKUP($C$2,LISTAS[],3,FALSE))
)
/5,0)*5,0)</f>
        <v>191530</v>
      </c>
      <c r="O8" s="65" cm="1">
        <f t="array" ref="O8">IFERROR(
ROUND(
IF($A$2="COSTO",
   ((B8*(1+IFERROR(VLOOKUP($D$2,COLORES[],2,FALSE),0)) + G8)
   *IF($E$2=0.8,1,IF($E$2=0.7,1-7%,1+10%)))
   *(1-_xlfn.XLOOKUP(1,(DESC_PROV[LINEA]=$B$2)*(DESC_PROV[LISTA]=$C$2),DESC_PROV[DESCUENTO])),
   ((B8*(1+IFERROR(VLOOKUP($D$2,COLORES[],2,FALSE),0)) + G8)
   *IF($E$2=0.8,1,IF($E$2=0.7,1-7%,1+10%)))
   *(1-_xlfn.XLOOKUP(1,(DESC_PROV[LINEA]=$B$2)*(DESC_PROV[LISTA]=$C$2),DESC_PROV[DESCUENTO]))
   *(1+VLOOKUP($C$2,LISTAS[],2,FALSE))
   *(1+VLOOKUP($C$2,LISTAS[],3,FALSE))
)
/5,0)*5,0)</f>
        <v>241015</v>
      </c>
      <c r="P8" s="65" cm="1">
        <f t="array" ref="P8">IFERROR(
ROUND(
IF($A$2="COSTO",
   ((B8*(1+IFERROR(VLOOKUP($D$2,COLORES[],2,FALSE),0)) + H8)
   *IF($E$2=0.8,1,IF($E$2=0.7,1-7%,1+10%)))
   *(1-_xlfn.XLOOKUP(1,(DESC_PROV[LINEA]=$B$2)*(DESC_PROV[LISTA]=$C$2),DESC_PROV[DESCUENTO])),
   ((B8*(1+IFERROR(VLOOKUP($D$2,COLORES[],2,FALSE),0)) + H8)
   *IF($E$2=0.8,1,IF($E$2=0.7,1-7%,1+10%)))
   *(1-_xlfn.XLOOKUP(1,(DESC_PROV[LINEA]=$B$2)*(DESC_PROV[LISTA]=$C$2),DESC_PROV[DESCUENTO]))
   *(1+VLOOKUP($C$2,LISTAS[],2,FALSE))
   *(1+VLOOKUP($C$2,LISTAS[],3,FALSE))
)
/5,0)*5,0)</f>
        <v>263375</v>
      </c>
    </row>
    <row r="9" spans="1:16" ht="16.899999999999999">
      <c r="A9" s="74" t="s">
        <v>207</v>
      </c>
      <c r="B9" s="64">
        <v>171098</v>
      </c>
      <c r="C9" s="64">
        <v>9410</v>
      </c>
      <c r="D9" s="64">
        <v>11408</v>
      </c>
      <c r="E9" s="64">
        <v>15018</v>
      </c>
      <c r="F9" s="64">
        <v>12552</v>
      </c>
      <c r="G9" s="64">
        <v>32503</v>
      </c>
      <c r="H9" s="64">
        <v>41517</v>
      </c>
      <c r="I9" s="2"/>
      <c r="J9" s="74" t="s">
        <v>207</v>
      </c>
      <c r="K9" s="65" cm="1">
        <f t="array" ref="K9">IFERROR(
ROUND(
IF($A$2="COSTO",
   ((B9*(1+IFERROR(VLOOKUP($D$2,COLORES[],2,FALSE),0)) + C9)
   *IF($E$2=0.8,1,IF($E$2=0.7,1-7%,1+10%)))
   *(1-_xlfn.XLOOKUP(1,(DESC_PROV[LINEA]=$B$2)*(DESC_PROV[LISTA]=$C$2),DESC_PROV[DESCUENTO])),
   ((B9*(1+IFERROR(VLOOKUP($D$2,COLORES[],2,FALSE),0)) + C9)
   *IF($E$2=0.8,1,IF($E$2=0.7,1-7%,1+10%)))
   *(1-_xlfn.XLOOKUP(1,(DESC_PROV[LINEA]=$B$2)*(DESC_PROV[LISTA]=$C$2),DESC_PROV[DESCUENTO]))
   *(1+VLOOKUP($C$2,LISTAS[],2,FALSE))
   *(1+VLOOKUP($C$2,LISTAS[],3,FALSE))
)
/5,0)*5,0)</f>
        <v>223865</v>
      </c>
      <c r="L9" s="65" cm="1">
        <f t="array" ref="L9">IFERROR(
ROUND(
IF($A$2="COSTO",
   ((B9*(1+IFERROR(VLOOKUP($D$2,COLORES[],2,FALSE),0)) + D9)
   *(1+($E$2-0.8)))
   *(1-_xlfn.XLOOKUP(1,(DESC_PROV[LINEA]=$B$2)*(DESC_PROV[LISTA]=$C$2),DESC_PROV[DESCUENTO])),
   ((B9*(1+IFERROR(VLOOKUP($D$2,COLORES[],2,FALSE),0)) + D9)
   *(1+($E$2-0.8)))
   *(1-_xlfn.XLOOKUP(1,(DESC_PROV[LINEA]=$B$2)*(DESC_PROV[LISTA]=$C$2),DESC_PROV[DESCUENTO]))
   *(1+VLOOKUP($C$2,LISTAS[],2,FALSE))
   *(1+VLOOKUP($C$2,LISTAS[],3,FALSE))
)
/5,0)*5,0)</f>
        <v>226345</v>
      </c>
      <c r="M9" s="65" cm="1">
        <f t="array" ref="M9">IFERROR(
ROUND(
IF($A$2="COSTO",
   ((B9*(1+IFERROR(VLOOKUP($D$2,COLORES[],2,FALSE),0)) + E9)
   *IF($E$2=0.8,1,IF($E$2=0.7,1-7%,1+10%)))
   *(1-_xlfn.XLOOKUP(1,(DESC_PROV[LINEA]=$B$2)*(DESC_PROV[LISTA]=$C$2),DESC_PROV[DESCUENTO])),
   ((B9*(1+IFERROR(VLOOKUP($D$2,COLORES[],2,FALSE),0)) + E9)
   *IF($E$2=0.8,1,IF($E$2=0.7,1-7%,1+10%)))
   *(1-_xlfn.XLOOKUP(1,(DESC_PROV[LINEA]=$B$2)*(DESC_PROV[LISTA]=$C$2),DESC_PROV[DESCUENTO]))
   *(1+VLOOKUP($C$2,LISTAS[],2,FALSE))
   *(1+VLOOKUP($C$2,LISTAS[],3,FALSE))
)
/5,0)*5,0)</f>
        <v>230820</v>
      </c>
      <c r="N9" s="65" cm="1">
        <f t="array" ref="N9">IFERROR(
ROUND(
IF($A$2="COSTO",
   ((B9*(1+IFERROR(VLOOKUP($D$2,COLORES[],2,FALSE),0)) + F9)
   *IF($E$2=0.8,1,IF($E$2=0.7,1-7%,1+10%)))
   *(1-_xlfn.XLOOKUP(1,(DESC_PROV[LINEA]=$B$2)*(DESC_PROV[LISTA]=$C$2),DESC_PROV[DESCUENTO])),
   ((B9*(1+IFERROR(VLOOKUP($D$2,COLORES[],2,FALSE),0)) + F9)
   *IF($E$2=0.8,1,IF($E$2=0.7,1-7%,1+10%)))
   *(1-_xlfn.XLOOKUP(1,(DESC_PROV[LINEA]=$B$2)*(DESC_PROV[LISTA]=$C$2),DESC_PROV[DESCUENTO]))
   *(1+VLOOKUP($C$2,LISTAS[],2,FALSE))
   *(1+VLOOKUP($C$2,LISTAS[],3,FALSE))
)
/5,0)*5,0)</f>
        <v>227765</v>
      </c>
      <c r="O9" s="65" cm="1">
        <f t="array" ref="O9">IFERROR(
ROUND(
IF($A$2="COSTO",
   ((B9*(1+IFERROR(VLOOKUP($D$2,COLORES[],2,FALSE),0)) + G9)
   *IF($E$2=0.8,1,IF($E$2=0.7,1-7%,1+10%)))
   *(1-_xlfn.XLOOKUP(1,(DESC_PROV[LINEA]=$B$2)*(DESC_PROV[LISTA]=$C$2),DESC_PROV[DESCUENTO])),
   ((B9*(1+IFERROR(VLOOKUP($D$2,COLORES[],2,FALSE),0)) + G9)
   *IF($E$2=0.8,1,IF($E$2=0.7,1-7%,1+10%)))
   *(1-_xlfn.XLOOKUP(1,(DESC_PROV[LINEA]=$B$2)*(DESC_PROV[LISTA]=$C$2),DESC_PROV[DESCUENTO]))
   *(1+VLOOKUP($C$2,LISTAS[],2,FALSE))
   *(1+VLOOKUP($C$2,LISTAS[],3,FALSE))
)
/5,0)*5,0)</f>
        <v>252505</v>
      </c>
      <c r="P9" s="65" cm="1">
        <f t="array" ref="P9">IFERROR(
ROUND(
IF($A$2="COSTO",
   ((B9*(1+IFERROR(VLOOKUP($D$2,COLORES[],2,FALSE),0)) + H9)
   *IF($E$2=0.8,1,IF($E$2=0.7,1-7%,1+10%)))
   *(1-_xlfn.XLOOKUP(1,(DESC_PROV[LINEA]=$B$2)*(DESC_PROV[LISTA]=$C$2),DESC_PROV[DESCUENTO])),
   ((B9*(1+IFERROR(VLOOKUP($D$2,COLORES[],2,FALSE),0)) + H9)
   *IF($E$2=0.8,1,IF($E$2=0.7,1-7%,1+10%)))
   *(1-_xlfn.XLOOKUP(1,(DESC_PROV[LINEA]=$B$2)*(DESC_PROV[LISTA]=$C$2),DESC_PROV[DESCUENTO]))
   *(1+VLOOKUP($C$2,LISTAS[],2,FALSE))
   *(1+VLOOKUP($C$2,LISTAS[],3,FALSE))
)
/5,0)*5,0)</f>
        <v>263685</v>
      </c>
    </row>
    <row r="10" spans="1:16" ht="16.899999999999999">
      <c r="A10" s="74" t="s">
        <v>208</v>
      </c>
      <c r="B10" s="64">
        <v>195833</v>
      </c>
      <c r="C10" s="64">
        <v>9410</v>
      </c>
      <c r="D10" s="64">
        <v>0</v>
      </c>
      <c r="E10" s="64">
        <v>0</v>
      </c>
      <c r="F10" s="64">
        <v>12552</v>
      </c>
      <c r="G10" s="64">
        <v>32503</v>
      </c>
      <c r="H10" s="64">
        <v>0</v>
      </c>
      <c r="I10" s="2"/>
      <c r="J10" s="74" t="s">
        <v>208</v>
      </c>
      <c r="K10" s="65" cm="1">
        <f t="array" ref="K10">IFERROR(
ROUND(
IF($A$2="COSTO",
   ((B10*(1+IFERROR(VLOOKUP($D$2,COLORES[],2,FALSE),0)) + C10)
   *IF($E$2=0.8,1,IF($E$2=0.7,1-7%,1+10%)))
   *(1-_xlfn.XLOOKUP(1,(DESC_PROV[LINEA]=$B$2)*(DESC_PROV[LISTA]=$C$2),DESC_PROV[DESCUENTO])),
   ((B10*(1+IFERROR(VLOOKUP($D$2,COLORES[],2,FALSE),0)) + C10)
   *IF($E$2=0.8,1,IF($E$2=0.7,1-7%,1+10%)))
   *(1-_xlfn.XLOOKUP(1,(DESC_PROV[LINEA]=$B$2)*(DESC_PROV[LISTA]=$C$2),DESC_PROV[DESCUENTO]))
   *(1+VLOOKUP($C$2,LISTAS[],2,FALSE))
   *(1+VLOOKUP($C$2,LISTAS[],3,FALSE))
)
/5,0)*5,0)</f>
        <v>254540</v>
      </c>
      <c r="L10" s="65" cm="1">
        <f t="array" ref="L10">IFERROR(
ROUND(
IF($A$2="COSTO",
   ((B10*(1+IFERROR(VLOOKUP($D$2,COLORES[],2,FALSE),0)) + D10)
   *(1+($E$2-0.8)))
   *(1-_xlfn.XLOOKUP(1,(DESC_PROV[LINEA]=$B$2)*(DESC_PROV[LISTA]=$C$2),DESC_PROV[DESCUENTO])),
   ((B10*(1+IFERROR(VLOOKUP($D$2,COLORES[],2,FALSE),0)) + D10)
   *(1+($E$2-0.8)))
   *(1-_xlfn.XLOOKUP(1,(DESC_PROV[LINEA]=$B$2)*(DESC_PROV[LISTA]=$C$2),DESC_PROV[DESCUENTO]))
   *(1+VLOOKUP($C$2,LISTAS[],2,FALSE))
   *(1+VLOOKUP($C$2,LISTAS[],3,FALSE))
)
/5,0)*5,0)</f>
        <v>242870</v>
      </c>
      <c r="M10" s="65" cm="1">
        <f t="array" ref="M10">IFERROR(
ROUND(
IF($A$2="COSTO",
   ((B10*(1+IFERROR(VLOOKUP($D$2,COLORES[],2,FALSE),0)) + E10)
   *IF($E$2=0.8,1,IF($E$2=0.7,1-7%,1+10%)))
   *(1-_xlfn.XLOOKUP(1,(DESC_PROV[LINEA]=$B$2)*(DESC_PROV[LISTA]=$C$2),DESC_PROV[DESCUENTO])),
   ((B10*(1+IFERROR(VLOOKUP($D$2,COLORES[],2,FALSE),0)) + E10)
   *IF($E$2=0.8,1,IF($E$2=0.7,1-7%,1+10%)))
   *(1-_xlfn.XLOOKUP(1,(DESC_PROV[LINEA]=$B$2)*(DESC_PROV[LISTA]=$C$2),DESC_PROV[DESCUENTO]))
   *(1+VLOOKUP($C$2,LISTAS[],2,FALSE))
   *(1+VLOOKUP($C$2,LISTAS[],3,FALSE))
)
/5,0)*5,0)</f>
        <v>242870</v>
      </c>
      <c r="N10" s="65" cm="1">
        <f t="array" ref="N10">IFERROR(
ROUND(
IF($A$2="COSTO",
   ((B10*(1+IFERROR(VLOOKUP($D$2,COLORES[],2,FALSE),0)) + F10)
   *IF($E$2=0.8,1,IF($E$2=0.7,1-7%,1+10%)))
   *(1-_xlfn.XLOOKUP(1,(DESC_PROV[LINEA]=$B$2)*(DESC_PROV[LISTA]=$C$2),DESC_PROV[DESCUENTO])),
   ((B10*(1+IFERROR(VLOOKUP($D$2,COLORES[],2,FALSE),0)) + F10)
   *IF($E$2=0.8,1,IF($E$2=0.7,1-7%,1+10%)))
   *(1-_xlfn.XLOOKUP(1,(DESC_PROV[LINEA]=$B$2)*(DESC_PROV[LISTA]=$C$2),DESC_PROV[DESCUENTO]))
   *(1+VLOOKUP($C$2,LISTAS[],2,FALSE))
   *(1+VLOOKUP($C$2,LISTAS[],3,FALSE))
)
/5,0)*5,0)</f>
        <v>258440</v>
      </c>
      <c r="O10" s="65" cm="1">
        <f t="array" ref="O10">IFERROR(
ROUND(
IF($A$2="COSTO",
   ((B10*(1+IFERROR(VLOOKUP($D$2,COLORES[],2,FALSE),0)) + G10)
   *IF($E$2=0.8,1,IF($E$2=0.7,1-7%,1+10%)))
   *(1-_xlfn.XLOOKUP(1,(DESC_PROV[LINEA]=$B$2)*(DESC_PROV[LISTA]=$C$2),DESC_PROV[DESCUENTO])),
   ((B10*(1+IFERROR(VLOOKUP($D$2,COLORES[],2,FALSE),0)) + G10)
   *IF($E$2=0.8,1,IF($E$2=0.7,1-7%,1+10%)))
   *(1-_xlfn.XLOOKUP(1,(DESC_PROV[LINEA]=$B$2)*(DESC_PROV[LISTA]=$C$2),DESC_PROV[DESCUENTO]))
   *(1+VLOOKUP($C$2,LISTAS[],2,FALSE))
   *(1+VLOOKUP($C$2,LISTAS[],3,FALSE))
)
/5,0)*5,0)</f>
        <v>283180</v>
      </c>
      <c r="P10" s="65" cm="1">
        <f t="array" ref="P10">IFERROR(
ROUND(
IF($A$2="COSTO",
   ((B10*(1+IFERROR(VLOOKUP($D$2,COLORES[],2,FALSE),0)) + H10)
   *IF($E$2=0.8,1,IF($E$2=0.7,1-7%,1+10%)))
   *(1-_xlfn.XLOOKUP(1,(DESC_PROV[LINEA]=$B$2)*(DESC_PROV[LISTA]=$C$2),DESC_PROV[DESCUENTO])),
   ((B10*(1+IFERROR(VLOOKUP($D$2,COLORES[],2,FALSE),0)) + H10)
   *IF($E$2=0.8,1,IF($E$2=0.7,1-7%,1+10%)))
   *(1-_xlfn.XLOOKUP(1,(DESC_PROV[LINEA]=$B$2)*(DESC_PROV[LISTA]=$C$2),DESC_PROV[DESCUENTO]))
   *(1+VLOOKUP($C$2,LISTAS[],2,FALSE))
   *(1+VLOOKUP($C$2,LISTAS[],3,FALSE))
)
/5,0)*5,0)</f>
        <v>242870</v>
      </c>
    </row>
    <row r="11" spans="1:16" ht="16.899999999999999">
      <c r="A11" s="74" t="s">
        <v>209</v>
      </c>
      <c r="B11" s="64">
        <v>191983</v>
      </c>
      <c r="C11" s="64">
        <v>5258</v>
      </c>
      <c r="D11" s="64">
        <v>6335</v>
      </c>
      <c r="E11" s="64">
        <v>8346</v>
      </c>
      <c r="F11" s="64">
        <v>6974</v>
      </c>
      <c r="G11" s="64">
        <v>18056</v>
      </c>
      <c r="H11" s="64">
        <v>23064</v>
      </c>
      <c r="I11" s="2"/>
      <c r="J11" s="74" t="s">
        <v>209</v>
      </c>
      <c r="K11" s="65" cm="1">
        <f t="array" ref="K11">IFERROR(
ROUND(
IF($A$2="COSTO",
   ((B11*(1+IFERROR(VLOOKUP($D$2,COLORES[],2,FALSE),0)) + C11)
   *IF($E$2=0.8,1,IF($E$2=0.7,1-7%,1+10%)))
   *(1-_xlfn.XLOOKUP(1,(DESC_PROV[LINEA]=$B$2)*(DESC_PROV[LISTA]=$C$2),DESC_PROV[DESCUENTO])),
   ((B11*(1+IFERROR(VLOOKUP($D$2,COLORES[],2,FALSE),0)) + C11)
   *IF($E$2=0.8,1,IF($E$2=0.7,1-7%,1+10%)))
   *(1-_xlfn.XLOOKUP(1,(DESC_PROV[LINEA]=$B$2)*(DESC_PROV[LISTA]=$C$2),DESC_PROV[DESCUENTO]))
   *(1+VLOOKUP($C$2,LISTAS[],2,FALSE))
   *(1+VLOOKUP($C$2,LISTAS[],3,FALSE))
)
/5,0)*5,0)</f>
        <v>244620</v>
      </c>
      <c r="L11" s="65" cm="1">
        <f t="array" ref="L11">IFERROR(
ROUND(
IF($A$2="COSTO",
   ((B11*(1+IFERROR(VLOOKUP($D$2,COLORES[],2,FALSE),0)) + D11)
   *(1+($E$2-0.8)))
   *(1-_xlfn.XLOOKUP(1,(DESC_PROV[LINEA]=$B$2)*(DESC_PROV[LISTA]=$C$2),DESC_PROV[DESCUENTO])),
   ((B11*(1+IFERROR(VLOOKUP($D$2,COLORES[],2,FALSE),0)) + D11)
   *(1+($E$2-0.8)))
   *(1-_xlfn.XLOOKUP(1,(DESC_PROV[LINEA]=$B$2)*(DESC_PROV[LISTA]=$C$2),DESC_PROV[DESCUENTO]))
   *(1+VLOOKUP($C$2,LISTAS[],2,FALSE))
   *(1+VLOOKUP($C$2,LISTAS[],3,FALSE))
)
/5,0)*5,0)</f>
        <v>245955</v>
      </c>
      <c r="M11" s="65" cm="1">
        <f t="array" ref="M11">IFERROR(
ROUND(
IF($A$2="COSTO",
   ((B11*(1+IFERROR(VLOOKUP($D$2,COLORES[],2,FALSE),0)) + E11)
   *IF($E$2=0.8,1,IF($E$2=0.7,1-7%,1+10%)))
   *(1-_xlfn.XLOOKUP(1,(DESC_PROV[LINEA]=$B$2)*(DESC_PROV[LISTA]=$C$2),DESC_PROV[DESCUENTO])),
   ((B11*(1+IFERROR(VLOOKUP($D$2,COLORES[],2,FALSE),0)) + E11)
   *IF($E$2=0.8,1,IF($E$2=0.7,1-7%,1+10%)))
   *(1-_xlfn.XLOOKUP(1,(DESC_PROV[LINEA]=$B$2)*(DESC_PROV[LISTA]=$C$2),DESC_PROV[DESCUENTO]))
   *(1+VLOOKUP($C$2,LISTAS[],2,FALSE))
   *(1+VLOOKUP($C$2,LISTAS[],3,FALSE))
)
/5,0)*5,0)</f>
        <v>248450</v>
      </c>
      <c r="N11" s="65" cm="1">
        <f t="array" ref="N11">IFERROR(
ROUND(
IF($A$2="COSTO",
   ((B11*(1+IFERROR(VLOOKUP($D$2,COLORES[],2,FALSE),0)) + F11)
   *IF($E$2=0.8,1,IF($E$2=0.7,1-7%,1+10%)))
   *(1-_xlfn.XLOOKUP(1,(DESC_PROV[LINEA]=$B$2)*(DESC_PROV[LISTA]=$C$2),DESC_PROV[DESCUENTO])),
   ((B11*(1+IFERROR(VLOOKUP($D$2,COLORES[],2,FALSE),0)) + F11)
   *IF($E$2=0.8,1,IF($E$2=0.7,1-7%,1+10%)))
   *(1-_xlfn.XLOOKUP(1,(DESC_PROV[LINEA]=$B$2)*(DESC_PROV[LISTA]=$C$2),DESC_PROV[DESCUENTO]))
   *(1+VLOOKUP($C$2,LISTAS[],2,FALSE))
   *(1+VLOOKUP($C$2,LISTAS[],3,FALSE))
)
/5,0)*5,0)</f>
        <v>246745</v>
      </c>
      <c r="O11" s="65" cm="1">
        <f t="array" ref="O11">IFERROR(
ROUND(
IF($A$2="COSTO",
   ((B11*(1+IFERROR(VLOOKUP($D$2,COLORES[],2,FALSE),0)) + G11)
   *IF($E$2=0.8,1,IF($E$2=0.7,1-7%,1+10%)))
   *(1-_xlfn.XLOOKUP(1,(DESC_PROV[LINEA]=$B$2)*(DESC_PROV[LISTA]=$C$2),DESC_PROV[DESCUENTO])),
   ((B11*(1+IFERROR(VLOOKUP($D$2,COLORES[],2,FALSE),0)) + G11)
   *IF($E$2=0.8,1,IF($E$2=0.7,1-7%,1+10%)))
   *(1-_xlfn.XLOOKUP(1,(DESC_PROV[LINEA]=$B$2)*(DESC_PROV[LISTA]=$C$2),DESC_PROV[DESCUENTO]))
   *(1+VLOOKUP($C$2,LISTAS[],2,FALSE))
   *(1+VLOOKUP($C$2,LISTAS[],3,FALSE))
)
/5,0)*5,0)</f>
        <v>260490</v>
      </c>
      <c r="P11" s="65" cm="1">
        <f t="array" ref="P11">IFERROR(
ROUND(
IF($A$2="COSTO",
   ((B11*(1+IFERROR(VLOOKUP($D$2,COLORES[],2,FALSE),0)) + H11)
   *IF($E$2=0.8,1,IF($E$2=0.7,1-7%,1+10%)))
   *(1-_xlfn.XLOOKUP(1,(DESC_PROV[LINEA]=$B$2)*(DESC_PROV[LISTA]=$C$2),DESC_PROV[DESCUENTO])),
   ((B11*(1+IFERROR(VLOOKUP($D$2,COLORES[],2,FALSE),0)) + H11)
   *IF($E$2=0.8,1,IF($E$2=0.7,1-7%,1+10%)))
   *(1-_xlfn.XLOOKUP(1,(DESC_PROV[LINEA]=$B$2)*(DESC_PROV[LISTA]=$C$2),DESC_PROV[DESCUENTO]))
   *(1+VLOOKUP($C$2,LISTAS[],2,FALSE))
   *(1+VLOOKUP($C$2,LISTAS[],3,FALSE))
)
/5,0)*5,0)</f>
        <v>266700</v>
      </c>
    </row>
    <row r="12" spans="1:16" ht="16.899999999999999">
      <c r="A12" s="74" t="s">
        <v>210</v>
      </c>
      <c r="B12" s="64">
        <v>208415</v>
      </c>
      <c r="C12" s="64">
        <v>5258</v>
      </c>
      <c r="D12" s="64">
        <v>0</v>
      </c>
      <c r="E12" s="64">
        <v>0</v>
      </c>
      <c r="F12" s="64">
        <v>6974</v>
      </c>
      <c r="G12" s="64">
        <v>18056</v>
      </c>
      <c r="H12" s="64">
        <v>0</v>
      </c>
      <c r="I12" s="2"/>
      <c r="J12" s="74" t="s">
        <v>210</v>
      </c>
      <c r="K12" s="65" cm="1">
        <f t="array" ref="K12">IFERROR(
ROUND(
IF($A$2="COSTO",
   ((B12*(1+IFERROR(VLOOKUP($D$2,COLORES[],2,FALSE),0)) + C12)
   *IF($E$2=0.8,1,IF($E$2=0.7,1-7%,1+10%)))
   *(1-_xlfn.XLOOKUP(1,(DESC_PROV[LINEA]=$B$2)*(DESC_PROV[LISTA]=$C$2),DESC_PROV[DESCUENTO])),
   ((B12*(1+IFERROR(VLOOKUP($D$2,COLORES[],2,FALSE),0)) + C12)
   *IF($E$2=0.8,1,IF($E$2=0.7,1-7%,1+10%)))
   *(1-_xlfn.XLOOKUP(1,(DESC_PROV[LINEA]=$B$2)*(DESC_PROV[LISTA]=$C$2),DESC_PROV[DESCUENTO]))
   *(1+VLOOKUP($C$2,LISTAS[],2,FALSE))
   *(1+VLOOKUP($C$2,LISTAS[],3,FALSE))
)
/5,0)*5,0)</f>
        <v>264995</v>
      </c>
      <c r="L12" s="65" cm="1">
        <f t="array" ref="L12">IFERROR(
ROUND(
IF($A$2="COSTO",
   ((B12*(1+IFERROR(VLOOKUP($D$2,COLORES[],2,FALSE),0)) + D12)
   *(1+($E$2-0.8)))
   *(1-_xlfn.XLOOKUP(1,(DESC_PROV[LINEA]=$B$2)*(DESC_PROV[LISTA]=$C$2),DESC_PROV[DESCUENTO])),
   ((B12*(1+IFERROR(VLOOKUP($D$2,COLORES[],2,FALSE),0)) + D12)
   *(1+($E$2-0.8)))
   *(1-_xlfn.XLOOKUP(1,(DESC_PROV[LINEA]=$B$2)*(DESC_PROV[LISTA]=$C$2),DESC_PROV[DESCUENTO]))
   *(1+VLOOKUP($C$2,LISTAS[],2,FALSE))
   *(1+VLOOKUP($C$2,LISTAS[],3,FALSE))
)
/5,0)*5,0)</f>
        <v>258475</v>
      </c>
      <c r="M12" s="65" cm="1">
        <f t="array" ref="M12">IFERROR(
ROUND(
IF($A$2="COSTO",
   ((B12*(1+IFERROR(VLOOKUP($D$2,COLORES[],2,FALSE),0)) + E12)
   *IF($E$2=0.8,1,IF($E$2=0.7,1-7%,1+10%)))
   *(1-_xlfn.XLOOKUP(1,(DESC_PROV[LINEA]=$B$2)*(DESC_PROV[LISTA]=$C$2),DESC_PROV[DESCUENTO])),
   ((B12*(1+IFERROR(VLOOKUP($D$2,COLORES[],2,FALSE),0)) + E12)
   *IF($E$2=0.8,1,IF($E$2=0.7,1-7%,1+10%)))
   *(1-_xlfn.XLOOKUP(1,(DESC_PROV[LINEA]=$B$2)*(DESC_PROV[LISTA]=$C$2),DESC_PROV[DESCUENTO]))
   *(1+VLOOKUP($C$2,LISTAS[],2,FALSE))
   *(1+VLOOKUP($C$2,LISTAS[],3,FALSE))
)
/5,0)*5,0)</f>
        <v>258475</v>
      </c>
      <c r="N12" s="65" cm="1">
        <f t="array" ref="N12">IFERROR(
ROUND(
IF($A$2="COSTO",
   ((B12*(1+IFERROR(VLOOKUP($D$2,COLORES[],2,FALSE),0)) + F12)
   *IF($E$2=0.8,1,IF($E$2=0.7,1-7%,1+10%)))
   *(1-_xlfn.XLOOKUP(1,(DESC_PROV[LINEA]=$B$2)*(DESC_PROV[LISTA]=$C$2),DESC_PROV[DESCUENTO])),
   ((B12*(1+IFERROR(VLOOKUP($D$2,COLORES[],2,FALSE),0)) + F12)
   *IF($E$2=0.8,1,IF($E$2=0.7,1-7%,1+10%)))
   *(1-_xlfn.XLOOKUP(1,(DESC_PROV[LINEA]=$B$2)*(DESC_PROV[LISTA]=$C$2),DESC_PROV[DESCUENTO]))
   *(1+VLOOKUP($C$2,LISTAS[],2,FALSE))
   *(1+VLOOKUP($C$2,LISTAS[],3,FALSE))
)
/5,0)*5,0)</f>
        <v>267125</v>
      </c>
      <c r="O12" s="65" cm="1">
        <f t="array" ref="O12">IFERROR(
ROUND(
IF($A$2="COSTO",
   ((B12*(1+IFERROR(VLOOKUP($D$2,COLORES[],2,FALSE),0)) + G12)
   *IF($E$2=0.8,1,IF($E$2=0.7,1-7%,1+10%)))
   *(1-_xlfn.XLOOKUP(1,(DESC_PROV[LINEA]=$B$2)*(DESC_PROV[LISTA]=$C$2),DESC_PROV[DESCUENTO])),
   ((B12*(1+IFERROR(VLOOKUP($D$2,COLORES[],2,FALSE),0)) + G12)
   *IF($E$2=0.8,1,IF($E$2=0.7,1-7%,1+10%)))
   *(1-_xlfn.XLOOKUP(1,(DESC_PROV[LINEA]=$B$2)*(DESC_PROV[LISTA]=$C$2),DESC_PROV[DESCUENTO]))
   *(1+VLOOKUP($C$2,LISTAS[],2,FALSE))
   *(1+VLOOKUP($C$2,LISTAS[],3,FALSE))
)
/5,0)*5,0)</f>
        <v>280870</v>
      </c>
      <c r="P12" s="65" cm="1">
        <f t="array" ref="P12">IFERROR(
ROUND(
IF($A$2="COSTO",
   ((B12*(1+IFERROR(VLOOKUP($D$2,COLORES[],2,FALSE),0)) + H12)
   *IF($E$2=0.8,1,IF($E$2=0.7,1-7%,1+10%)))
   *(1-_xlfn.XLOOKUP(1,(DESC_PROV[LINEA]=$B$2)*(DESC_PROV[LISTA]=$C$2),DESC_PROV[DESCUENTO])),
   ((B12*(1+IFERROR(VLOOKUP($D$2,COLORES[],2,FALSE),0)) + H12)
   *IF($E$2=0.8,1,IF($E$2=0.7,1-7%,1+10%)))
   *(1-_xlfn.XLOOKUP(1,(DESC_PROV[LINEA]=$B$2)*(DESC_PROV[LISTA]=$C$2),DESC_PROV[DESCUENTO]))
   *(1+VLOOKUP($C$2,LISTAS[],2,FALSE))
   *(1+VLOOKUP($C$2,LISTAS[],3,FALSE))
)
/5,0)*5,0)</f>
        <v>258475</v>
      </c>
    </row>
    <row r="13" spans="1:16" ht="16.899999999999999">
      <c r="A13" s="74" t="s">
        <v>211</v>
      </c>
      <c r="B13" s="64">
        <v>206271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2"/>
      <c r="J13" s="74" t="s">
        <v>211</v>
      </c>
      <c r="K13" s="65" cm="1">
        <f t="array" ref="K13">IFERROR(
ROUND(
IF($A$2="COSTO",
   ((B13*(1+IFERROR(VLOOKUP($D$2,COLORES[],2,FALSE),0)) + C13)
   *IF($E$2=0.8,1,IF($E$2=0.7,1-7%,1+10%)))
   *(1-_xlfn.XLOOKUP(1,(DESC_PROV[LINEA]=$B$2)*(DESC_PROV[LISTA]=$C$2),DESC_PROV[DESCUENTO])),
   ((B13*(1+IFERROR(VLOOKUP($D$2,COLORES[],2,FALSE),0)) + C13)
   *IF($E$2=0.8,1,IF($E$2=0.7,1-7%,1+10%)))
   *(1-_xlfn.XLOOKUP(1,(DESC_PROV[LINEA]=$B$2)*(DESC_PROV[LISTA]=$C$2),DESC_PROV[DESCUENTO]))
   *(1+VLOOKUP($C$2,LISTAS[],2,FALSE))
   *(1+VLOOKUP($C$2,LISTAS[],3,FALSE))
   *(1-CONFIG!$F$32)
)
/5,0)*5,0)</f>
        <v>243025</v>
      </c>
      <c r="L13" s="65" t="s">
        <v>204</v>
      </c>
      <c r="M13" s="65" t="s">
        <v>204</v>
      </c>
      <c r="N13" s="65" t="s">
        <v>204</v>
      </c>
      <c r="O13" s="65" t="s">
        <v>204</v>
      </c>
      <c r="P13" s="65" t="s">
        <v>204</v>
      </c>
    </row>
    <row r="14" spans="1:16" ht="16.899999999999999">
      <c r="A14" s="74" t="s">
        <v>212</v>
      </c>
      <c r="B14" s="64">
        <v>190883</v>
      </c>
      <c r="C14" s="64">
        <v>9410</v>
      </c>
      <c r="D14" s="64">
        <v>11408</v>
      </c>
      <c r="E14" s="64">
        <v>15018</v>
      </c>
      <c r="F14" s="64">
        <v>12552</v>
      </c>
      <c r="G14" s="64">
        <v>32503</v>
      </c>
      <c r="H14" s="64">
        <v>41517</v>
      </c>
      <c r="I14" s="2"/>
      <c r="J14" s="74" t="s">
        <v>212</v>
      </c>
      <c r="K14" s="65" cm="1">
        <f t="array" ref="K14">IFERROR(
ROUND(
IF($A$2="COSTO",
   ((B14*(1+IFERROR(VLOOKUP($D$2,COLORES[],2,FALSE),0)) + C14)
   *IF($E$2=0.8,1,IF($E$2=0.7,1-7%,1+10%)))
   *(1-_xlfn.XLOOKUP(1,(DESC_PROV[LINEA]=$B$2)*(DESC_PROV[LISTA]=$C$2),DESC_PROV[DESCUENTO])),
   ((B14*(1+IFERROR(VLOOKUP($D$2,COLORES[],2,FALSE),0)) + C14)
   *IF($E$2=0.8,1,IF($E$2=0.7,1-7%,1+10%)))
   *(1-_xlfn.XLOOKUP(1,(DESC_PROV[LINEA]=$B$2)*(DESC_PROV[LISTA]=$C$2),DESC_PROV[DESCUENTO]))
   *(1+VLOOKUP($C$2,LISTAS[],2,FALSE))
   *(1+VLOOKUP($C$2,LISTAS[],3,FALSE))
)
/5,0)*5,0)</f>
        <v>248405</v>
      </c>
      <c r="L14" s="65" cm="1">
        <f t="array" ref="L14">IFERROR(
ROUND(
IF($A$2="COSTO",
   ((B14*(1+IFERROR(VLOOKUP($D$2,COLORES[],2,FALSE),0)) + D14)
   *(1+($E$2-0.8)))
   *(1-_xlfn.XLOOKUP(1,(DESC_PROV[LINEA]=$B$2)*(DESC_PROV[LISTA]=$C$2),DESC_PROV[DESCUENTO])),
   ((B14*(1+IFERROR(VLOOKUP($D$2,COLORES[],2,FALSE),0)) + D14)
   *(1+($E$2-0.8)))
   *(1-_xlfn.XLOOKUP(1,(DESC_PROV[LINEA]=$B$2)*(DESC_PROV[LISTA]=$C$2),DESC_PROV[DESCUENTO]))
   *(1+VLOOKUP($C$2,LISTAS[],2,FALSE))
   *(1+VLOOKUP($C$2,LISTAS[],3,FALSE))
)
/5,0)*5,0)</f>
        <v>250880</v>
      </c>
      <c r="M14" s="65" cm="1">
        <f t="array" ref="M14">IFERROR(
ROUND(
IF($A$2="COSTO",
   ((B14*(1+IFERROR(VLOOKUP($D$2,COLORES[],2,FALSE),0)) + E14)
   *IF($E$2=0.8,1,IF($E$2=0.7,1-7%,1+10%)))
   *(1-_xlfn.XLOOKUP(1,(DESC_PROV[LINEA]=$B$2)*(DESC_PROV[LISTA]=$C$2),DESC_PROV[DESCUENTO])),
   ((B14*(1+IFERROR(VLOOKUP($D$2,COLORES[],2,FALSE),0)) + E14)
   *IF($E$2=0.8,1,IF($E$2=0.7,1-7%,1+10%)))
   *(1-_xlfn.XLOOKUP(1,(DESC_PROV[LINEA]=$B$2)*(DESC_PROV[LISTA]=$C$2),DESC_PROV[DESCUENTO]))
   *(1+VLOOKUP($C$2,LISTAS[],2,FALSE))
   *(1+VLOOKUP($C$2,LISTAS[],3,FALSE))
)
/5,0)*5,0)</f>
        <v>255360</v>
      </c>
      <c r="N14" s="65" cm="1">
        <f t="array" ref="N14">IFERROR(
ROUND(
IF($A$2="COSTO",
   ((B14*(1+IFERROR(VLOOKUP($D$2,COLORES[],2,FALSE),0)) + F14)
   *IF($E$2=0.8,1,IF($E$2=0.7,1-7%,1+10%)))
   *(1-_xlfn.XLOOKUP(1,(DESC_PROV[LINEA]=$B$2)*(DESC_PROV[LISTA]=$C$2),DESC_PROV[DESCUENTO])),
   ((B14*(1+IFERROR(VLOOKUP($D$2,COLORES[],2,FALSE),0)) + F14)
   *IF($E$2=0.8,1,IF($E$2=0.7,1-7%,1+10%)))
   *(1-_xlfn.XLOOKUP(1,(DESC_PROV[LINEA]=$B$2)*(DESC_PROV[LISTA]=$C$2),DESC_PROV[DESCUENTO]))
   *(1+VLOOKUP($C$2,LISTAS[],2,FALSE))
   *(1+VLOOKUP($C$2,LISTAS[],3,FALSE))
)
/5,0)*5,0)</f>
        <v>252300</v>
      </c>
      <c r="O14" s="65" cm="1">
        <f t="array" ref="O14">IFERROR(
ROUND(
IF($A$2="COSTO",
   ((B14*(1+IFERROR(VLOOKUP($D$2,COLORES[],2,FALSE),0)) + G14)
   *IF($E$2=0.8,1,IF($E$2=0.7,1-7%,1+10%)))
   *(1-_xlfn.XLOOKUP(1,(DESC_PROV[LINEA]=$B$2)*(DESC_PROV[LISTA]=$C$2),DESC_PROV[DESCUENTO])),
   ((B14*(1+IFERROR(VLOOKUP($D$2,COLORES[],2,FALSE),0)) + G14)
   *IF($E$2=0.8,1,IF($E$2=0.7,1-7%,1+10%)))
   *(1-_xlfn.XLOOKUP(1,(DESC_PROV[LINEA]=$B$2)*(DESC_PROV[LISTA]=$C$2),DESC_PROV[DESCUENTO]))
   *(1+VLOOKUP($C$2,LISTAS[],2,FALSE))
   *(1+VLOOKUP($C$2,LISTAS[],3,FALSE))
)
/5,0)*5,0)</f>
        <v>277045</v>
      </c>
      <c r="P14" s="65" cm="1">
        <f t="array" ref="P14">IFERROR(
ROUND(
IF($A$2="COSTO",
   ((B14*(1+IFERROR(VLOOKUP($D$2,COLORES[],2,FALSE),0)) + H14)
   *IF($E$2=0.8,1,IF($E$2=0.7,1-7%,1+10%)))
   *(1-_xlfn.XLOOKUP(1,(DESC_PROV[LINEA]=$B$2)*(DESC_PROV[LISTA]=$C$2),DESC_PROV[DESCUENTO])),
   ((B14*(1+IFERROR(VLOOKUP($D$2,COLORES[],2,FALSE),0)) + H14)
   *IF($E$2=0.8,1,IF($E$2=0.7,1-7%,1+10%)))
   *(1-_xlfn.XLOOKUP(1,(DESC_PROV[LINEA]=$B$2)*(DESC_PROV[LISTA]=$C$2),DESC_PROV[DESCUENTO]))
   *(1+VLOOKUP($C$2,LISTAS[],2,FALSE))
   *(1+VLOOKUP($C$2,LISTAS[],3,FALSE))
)
/5,0)*5,0)</f>
        <v>288220</v>
      </c>
    </row>
    <row r="15" spans="1:16" ht="16.899999999999999">
      <c r="A15" s="74" t="s">
        <v>213</v>
      </c>
      <c r="B15" s="64">
        <v>201875</v>
      </c>
      <c r="C15" s="64">
        <v>5258</v>
      </c>
      <c r="D15" s="64">
        <v>6335</v>
      </c>
      <c r="E15" s="64">
        <v>8346</v>
      </c>
      <c r="F15" s="64">
        <v>6974</v>
      </c>
      <c r="G15" s="64">
        <v>18056</v>
      </c>
      <c r="H15" s="64">
        <v>23064</v>
      </c>
      <c r="I15" s="2"/>
      <c r="J15" s="74" t="s">
        <v>213</v>
      </c>
      <c r="K15" s="65" cm="1">
        <f t="array" ref="K15">IFERROR(
ROUND(
IF($A$2="COSTO",
   ((B15*(1+IFERROR(VLOOKUP($D$2,COLORES[],2,FALSE),0)) + C15)
   *IF($E$2=0.8,1,IF($E$2=0.7,1-7%,1+10%)))
   *(1-_xlfn.XLOOKUP(1,(DESC_PROV[LINEA]=$B$2)*(DESC_PROV[LISTA]=$C$2),DESC_PROV[DESCUENTO])),
   ((B15*(1+IFERROR(VLOOKUP($D$2,COLORES[],2,FALSE),0)) + C15)
   *IF($E$2=0.8,1,IF($E$2=0.7,1-7%,1+10%)))
   *(1-_xlfn.XLOOKUP(1,(DESC_PROV[LINEA]=$B$2)*(DESC_PROV[LISTA]=$C$2),DESC_PROV[DESCUENTO]))
   *(1+VLOOKUP($C$2,LISTAS[],2,FALSE))
   *(1+VLOOKUP($C$2,LISTAS[],3,FALSE))
)
/5,0)*5,0)</f>
        <v>256885</v>
      </c>
      <c r="L15" s="65" cm="1">
        <f t="array" ref="L15">IFERROR(
ROUND(
IF($A$2="COSTO",
   ((B15*(1+IFERROR(VLOOKUP($D$2,COLORES[],2,FALSE),0)) + D15)
   *(1+($E$2-0.8)))
   *(1-_xlfn.XLOOKUP(1,(DESC_PROV[LINEA]=$B$2)*(DESC_PROV[LISTA]=$C$2),DESC_PROV[DESCUENTO])),
   ((B15*(1+IFERROR(VLOOKUP($D$2,COLORES[],2,FALSE),0)) + D15)
   *(1+($E$2-0.8)))
   *(1-_xlfn.XLOOKUP(1,(DESC_PROV[LINEA]=$B$2)*(DESC_PROV[LISTA]=$C$2),DESC_PROV[DESCUENTO]))
   *(1+VLOOKUP($C$2,LISTAS[],2,FALSE))
   *(1+VLOOKUP($C$2,LISTAS[],3,FALSE))
)
/5,0)*5,0)</f>
        <v>258220</v>
      </c>
      <c r="M15" s="65" cm="1">
        <f t="array" ref="M15">IFERROR(
ROUND(
IF($A$2="COSTO",
   ((B15*(1+IFERROR(VLOOKUP($D$2,COLORES[],2,FALSE),0)) + E15)
   *IF($E$2=0.8,1,IF($E$2=0.7,1-7%,1+10%)))
   *(1-_xlfn.XLOOKUP(1,(DESC_PROV[LINEA]=$B$2)*(DESC_PROV[LISTA]=$C$2),DESC_PROV[DESCUENTO])),
   ((B15*(1+IFERROR(VLOOKUP($D$2,COLORES[],2,FALSE),0)) + E15)
   *IF($E$2=0.8,1,IF($E$2=0.7,1-7%,1+10%)))
   *(1-_xlfn.XLOOKUP(1,(DESC_PROV[LINEA]=$B$2)*(DESC_PROV[LISTA]=$C$2),DESC_PROV[DESCUENTO]))
   *(1+VLOOKUP($C$2,LISTAS[],2,FALSE))
   *(1+VLOOKUP($C$2,LISTAS[],3,FALSE))
)
/5,0)*5,0)</f>
        <v>260715</v>
      </c>
      <c r="N15" s="65" cm="1">
        <f t="array" ref="N15">IFERROR(
ROUND(
IF($A$2="COSTO",
   ((B15*(1+IFERROR(VLOOKUP($D$2,COLORES[],2,FALSE),0)) + F15)
   *IF($E$2=0.8,1,IF($E$2=0.7,1-7%,1+10%)))
   *(1-_xlfn.XLOOKUP(1,(DESC_PROV[LINEA]=$B$2)*(DESC_PROV[LISTA]=$C$2),DESC_PROV[DESCUENTO])),
   ((B15*(1+IFERROR(VLOOKUP($D$2,COLORES[],2,FALSE),0)) + F15)
   *IF($E$2=0.8,1,IF($E$2=0.7,1-7%,1+10%)))
   *(1-_xlfn.XLOOKUP(1,(DESC_PROV[LINEA]=$B$2)*(DESC_PROV[LISTA]=$C$2),DESC_PROV[DESCUENTO]))
   *(1+VLOOKUP($C$2,LISTAS[],2,FALSE))
   *(1+VLOOKUP($C$2,LISTAS[],3,FALSE))
)
/5,0)*5,0)</f>
        <v>259015</v>
      </c>
      <c r="O15" s="65" cm="1">
        <f t="array" ref="O15">IFERROR(
ROUND(
IF($A$2="COSTO",
   ((B15*(1+IFERROR(VLOOKUP($D$2,COLORES[],2,FALSE),0)) + G15)
   *IF($E$2=0.8,1,IF($E$2=0.7,1-7%,1+10%)))
   *(1-_xlfn.XLOOKUP(1,(DESC_PROV[LINEA]=$B$2)*(DESC_PROV[LISTA]=$C$2),DESC_PROV[DESCUENTO])),
   ((B15*(1+IFERROR(VLOOKUP($D$2,COLORES[],2,FALSE),0)) + G15)
   *IF($E$2=0.8,1,IF($E$2=0.7,1-7%,1+10%)))
   *(1-_xlfn.XLOOKUP(1,(DESC_PROV[LINEA]=$B$2)*(DESC_PROV[LISTA]=$C$2),DESC_PROV[DESCUENTO]))
   *(1+VLOOKUP($C$2,LISTAS[],2,FALSE))
   *(1+VLOOKUP($C$2,LISTAS[],3,FALSE))
)
/5,0)*5,0)</f>
        <v>272760</v>
      </c>
      <c r="P15" s="65" cm="1">
        <f t="array" ref="P15">IFERROR(
ROUND(
IF($A$2="COSTO",
   ((B15*(1+IFERROR(VLOOKUP($D$2,COLORES[],2,FALSE),0)) + H15)
   *IF($E$2=0.8,1,IF($E$2=0.7,1-7%,1+10%)))
   *(1-_xlfn.XLOOKUP(1,(DESC_PROV[LINEA]=$B$2)*(DESC_PROV[LISTA]=$C$2),DESC_PROV[DESCUENTO])),
   ((B15*(1+IFERROR(VLOOKUP($D$2,COLORES[],2,FALSE),0)) + H15)
   *IF($E$2=0.8,1,IF($E$2=0.7,1-7%,1+10%)))
   *(1-_xlfn.XLOOKUP(1,(DESC_PROV[LINEA]=$B$2)*(DESC_PROV[LISTA]=$C$2),DESC_PROV[DESCUENTO]))
   *(1+VLOOKUP($C$2,LISTAS[],2,FALSE))
   *(1+VLOOKUP($C$2,LISTAS[],3,FALSE))
)
/5,0)*5,0)</f>
        <v>278970</v>
      </c>
    </row>
    <row r="16" spans="1:16" ht="16.899999999999999">
      <c r="A16" s="74" t="s">
        <v>214</v>
      </c>
      <c r="B16" s="64">
        <v>144718</v>
      </c>
      <c r="C16" s="64">
        <v>21033</v>
      </c>
      <c r="D16" s="64">
        <v>25338</v>
      </c>
      <c r="E16" s="64">
        <v>33382</v>
      </c>
      <c r="F16" s="64">
        <v>27896</v>
      </c>
      <c r="G16" s="64">
        <v>72226</v>
      </c>
      <c r="H16" s="64">
        <v>92257</v>
      </c>
      <c r="I16" s="2"/>
      <c r="J16" s="74" t="s">
        <v>214</v>
      </c>
      <c r="K16" s="65" cm="1">
        <f t="array" ref="K16">IFERROR(
ROUND(
IF($A$2="COSTO",
   ((B16*(1+IFERROR(VLOOKUP($D$2,COLORES[],2,FALSE),0)) + C16)
   *IF($E$2=0.8,1,IF($E$2=0.7,1-7%,1+10%)))
   *(1-_xlfn.XLOOKUP(1,(DESC_PROV[LINEA]=$B$2)*(DESC_PROV[LISTA]=$C$2),DESC_PROV[DESCUENTO])),
   ((B16*(1+IFERROR(VLOOKUP($D$2,COLORES[],2,FALSE),0)) + C16)
   *IF($E$2=0.8,1,IF($E$2=0.7,1-7%,1+10%)))
   *(1-_xlfn.XLOOKUP(1,(DESC_PROV[LINEA]=$B$2)*(DESC_PROV[LISTA]=$C$2),DESC_PROV[DESCUENTO]))
   *(1+VLOOKUP($C$2,LISTAS[],2,FALSE))
   *(1+VLOOKUP($C$2,LISTAS[],3,FALSE))
)
/5,0)*5,0)</f>
        <v>205565</v>
      </c>
      <c r="L16" s="65" cm="1">
        <f t="array" ref="L16">IFERROR(
ROUND(
IF($A$2="COSTO",
   ((B16*(1+IFERROR(VLOOKUP($D$2,COLORES[],2,FALSE),0)) + D16)
   *(1+($E$2-0.8)))
   *(1-_xlfn.XLOOKUP(1,(DESC_PROV[LINEA]=$B$2)*(DESC_PROV[LISTA]=$C$2),DESC_PROV[DESCUENTO])),
   ((B16*(1+IFERROR(VLOOKUP($D$2,COLORES[],2,FALSE),0)) + D16)
   *(1+($E$2-0.8)))
   *(1-_xlfn.XLOOKUP(1,(DESC_PROV[LINEA]=$B$2)*(DESC_PROV[LISTA]=$C$2),DESC_PROV[DESCUENTO]))
   *(1+VLOOKUP($C$2,LISTAS[],2,FALSE))
   *(1+VLOOKUP($C$2,LISTAS[],3,FALSE))
)
/5,0)*5,0)</f>
        <v>210905</v>
      </c>
      <c r="M16" s="65" cm="1">
        <f t="array" ref="M16">IFERROR(
ROUND(
IF($A$2="COSTO",
   ((B16*(1+IFERROR(VLOOKUP($D$2,COLORES[],2,FALSE),0)) + E16)
   *IF($E$2=0.8,1,IF($E$2=0.7,1-7%,1+10%)))
   *(1-_xlfn.XLOOKUP(1,(DESC_PROV[LINEA]=$B$2)*(DESC_PROV[LISTA]=$C$2),DESC_PROV[DESCUENTO])),
   ((B16*(1+IFERROR(VLOOKUP($D$2,COLORES[],2,FALSE),0)) + E16)
   *IF($E$2=0.8,1,IF($E$2=0.7,1-7%,1+10%)))
   *(1-_xlfn.XLOOKUP(1,(DESC_PROV[LINEA]=$B$2)*(DESC_PROV[LISTA]=$C$2),DESC_PROV[DESCUENTO]))
   *(1+VLOOKUP($C$2,LISTAS[],2,FALSE))
   *(1+VLOOKUP($C$2,LISTAS[],3,FALSE))
)
/5,0)*5,0)</f>
        <v>220880</v>
      </c>
      <c r="N16" s="65" cm="1">
        <f t="array" ref="N16">IFERROR(
ROUND(
IF($A$2="COSTO",
   ((B16*(1+IFERROR(VLOOKUP($D$2,COLORES[],2,FALSE),0)) + F16)
   *IF($E$2=0.8,1,IF($E$2=0.7,1-7%,1+10%)))
   *(1-_xlfn.XLOOKUP(1,(DESC_PROV[LINEA]=$B$2)*(DESC_PROV[LISTA]=$C$2),DESC_PROV[DESCUENTO])),
   ((B16*(1+IFERROR(VLOOKUP($D$2,COLORES[],2,FALSE),0)) + F16)
   *IF($E$2=0.8,1,IF($E$2=0.7,1-7%,1+10%)))
   *(1-_xlfn.XLOOKUP(1,(DESC_PROV[LINEA]=$B$2)*(DESC_PROV[LISTA]=$C$2),DESC_PROV[DESCUENTO]))
   *(1+VLOOKUP($C$2,LISTAS[],2,FALSE))
   *(1+VLOOKUP($C$2,LISTAS[],3,FALSE))
)
/5,0)*5,0)</f>
        <v>214075</v>
      </c>
      <c r="O16" s="65" cm="1">
        <f t="array" ref="O16">IFERROR(
ROUND(
IF($A$2="COSTO",
   ((B16*(1+IFERROR(VLOOKUP($D$2,COLORES[],2,FALSE),0)) + G16)
   *IF($E$2=0.8,1,IF($E$2=0.7,1-7%,1+10%)))
   *(1-_xlfn.XLOOKUP(1,(DESC_PROV[LINEA]=$B$2)*(DESC_PROV[LISTA]=$C$2),DESC_PROV[DESCUENTO])),
   ((B16*(1+IFERROR(VLOOKUP($D$2,COLORES[],2,FALSE),0)) + G16)
   *IF($E$2=0.8,1,IF($E$2=0.7,1-7%,1+10%)))
   *(1-_xlfn.XLOOKUP(1,(DESC_PROV[LINEA]=$B$2)*(DESC_PROV[LISTA]=$C$2),DESC_PROV[DESCUENTO]))
   *(1+VLOOKUP($C$2,LISTAS[],2,FALSE))
   *(1+VLOOKUP($C$2,LISTAS[],3,FALSE))
)
/5,0)*5,0)</f>
        <v>269055</v>
      </c>
      <c r="P16" s="65" cm="1">
        <f t="array" ref="P16">IFERROR(
ROUND(
IF($A$2="COSTO",
   ((B16*(1+IFERROR(VLOOKUP($D$2,COLORES[],2,FALSE),0)) + H16)
   *IF($E$2=0.8,1,IF($E$2=0.7,1-7%,1+10%)))
   *(1-_xlfn.XLOOKUP(1,(DESC_PROV[LINEA]=$B$2)*(DESC_PROV[LISTA]=$C$2),DESC_PROV[DESCUENTO])),
   ((B16*(1+IFERROR(VLOOKUP($D$2,COLORES[],2,FALSE),0)) + H16)
   *IF($E$2=0.8,1,IF($E$2=0.7,1-7%,1+10%)))
   *(1-_xlfn.XLOOKUP(1,(DESC_PROV[LINEA]=$B$2)*(DESC_PROV[LISTA]=$C$2),DESC_PROV[DESCUENTO]))
   *(1+VLOOKUP($C$2,LISTAS[],2,FALSE))
   *(1+VLOOKUP($C$2,LISTAS[],3,FALSE))
)
/5,0)*5,0)</f>
        <v>293895</v>
      </c>
    </row>
    <row r="17" spans="1:16" ht="16.899999999999999">
      <c r="A17" s="74" t="s">
        <v>215</v>
      </c>
      <c r="B17" s="64">
        <v>195280</v>
      </c>
      <c r="C17" s="64">
        <v>6624</v>
      </c>
      <c r="D17" s="64">
        <v>8026</v>
      </c>
      <c r="E17" s="64">
        <v>10572</v>
      </c>
      <c r="F17" s="64">
        <v>8856</v>
      </c>
      <c r="G17" s="64">
        <v>22878</v>
      </c>
      <c r="H17" s="64">
        <v>29219</v>
      </c>
      <c r="I17" s="2"/>
      <c r="J17" s="74" t="s">
        <v>215</v>
      </c>
      <c r="K17" s="65" cm="1">
        <f t="array" ref="K17">IFERROR(
ROUND(
IF($A$2="COSTO",
   ((B17*(1+IFERROR(VLOOKUP($D$2,COLORES[],2,FALSE),0)) + C17)
   *IF($E$2=0.8,1,IF($E$2=0.7,1-7%,1+10%)))
   *(1-_xlfn.XLOOKUP(1,(DESC_PROV[LINEA]=$B$2)*(DESC_PROV[LISTA]=$C$2),DESC_PROV[DESCUENTO])),
   ((B17*(1+IFERROR(VLOOKUP($D$2,COLORES[],2,FALSE),0)) + C17)
   *IF($E$2=0.8,1,IF($E$2=0.7,1-7%,1+10%)))
   *(1-_xlfn.XLOOKUP(1,(DESC_PROV[LINEA]=$B$2)*(DESC_PROV[LISTA]=$C$2),DESC_PROV[DESCUENTO]))
   *(1+VLOOKUP($C$2,LISTAS[],2,FALSE))
   *(1+VLOOKUP($C$2,LISTAS[],3,FALSE))
)
/5,0)*5,0)</f>
        <v>250400</v>
      </c>
      <c r="L17" s="65" cm="1">
        <f t="array" ref="L17">IFERROR(
ROUND(
IF($A$2="COSTO",
   ((B17*(1+IFERROR(VLOOKUP($D$2,COLORES[],2,FALSE),0)) + D17)
   *(1+($E$2-0.8)))
   *(1-_xlfn.XLOOKUP(1,(DESC_PROV[LINEA]=$B$2)*(DESC_PROV[LISTA]=$C$2),DESC_PROV[DESCUENTO])),
   ((B17*(1+IFERROR(VLOOKUP($D$2,COLORES[],2,FALSE),0)) + D17)
   *(1+($E$2-0.8)))
   *(1-_xlfn.XLOOKUP(1,(DESC_PROV[LINEA]=$B$2)*(DESC_PROV[LISTA]=$C$2),DESC_PROV[DESCUENTO]))
   *(1+VLOOKUP($C$2,LISTAS[],2,FALSE))
   *(1+VLOOKUP($C$2,LISTAS[],3,FALSE))
)
/5,0)*5,0)</f>
        <v>252140</v>
      </c>
      <c r="M17" s="65" cm="1">
        <f t="array" ref="M17">IFERROR(
ROUND(
IF($A$2="COSTO",
   ((B17*(1+IFERROR(VLOOKUP($D$2,COLORES[],2,FALSE),0)) + E17)
   *IF($E$2=0.8,1,IF($E$2=0.7,1-7%,1+10%)))
   *(1-_xlfn.XLOOKUP(1,(DESC_PROV[LINEA]=$B$2)*(DESC_PROV[LISTA]=$C$2),DESC_PROV[DESCUENTO])),
   ((B17*(1+IFERROR(VLOOKUP($D$2,COLORES[],2,FALSE),0)) + E17)
   *IF($E$2=0.8,1,IF($E$2=0.7,1-7%,1+10%)))
   *(1-_xlfn.XLOOKUP(1,(DESC_PROV[LINEA]=$B$2)*(DESC_PROV[LISTA]=$C$2),DESC_PROV[DESCUENTO]))
   *(1+VLOOKUP($C$2,LISTAS[],2,FALSE))
   *(1+VLOOKUP($C$2,LISTAS[],3,FALSE))
)
/5,0)*5,0)</f>
        <v>255300</v>
      </c>
      <c r="N17" s="65" cm="1">
        <f t="array" ref="N17">IFERROR(
ROUND(
IF($A$2="COSTO",
   ((B17*(1+IFERROR(VLOOKUP($D$2,COLORES[],2,FALSE),0)) + F17)
   *IF($E$2=0.8,1,IF($E$2=0.7,1-7%,1+10%)))
   *(1-_xlfn.XLOOKUP(1,(DESC_PROV[LINEA]=$B$2)*(DESC_PROV[LISTA]=$C$2),DESC_PROV[DESCUENTO])),
   ((B17*(1+IFERROR(VLOOKUP($D$2,COLORES[],2,FALSE),0)) + F17)
   *IF($E$2=0.8,1,IF($E$2=0.7,1-7%,1+10%)))
   *(1-_xlfn.XLOOKUP(1,(DESC_PROV[LINEA]=$B$2)*(DESC_PROV[LISTA]=$C$2),DESC_PROV[DESCUENTO]))
   *(1+VLOOKUP($C$2,LISTAS[],2,FALSE))
   *(1+VLOOKUP($C$2,LISTAS[],3,FALSE))
)
/5,0)*5,0)</f>
        <v>253170</v>
      </c>
      <c r="O17" s="65" cm="1">
        <f t="array" ref="O17">IFERROR(
ROUND(
IF($A$2="COSTO",
   ((B17*(1+IFERROR(VLOOKUP($D$2,COLORES[],2,FALSE),0)) + G17)
   *IF($E$2=0.8,1,IF($E$2=0.7,1-7%,1+10%)))
   *(1-_xlfn.XLOOKUP(1,(DESC_PROV[LINEA]=$B$2)*(DESC_PROV[LISTA]=$C$2),DESC_PROV[DESCUENTO])),
   ((B17*(1+IFERROR(VLOOKUP($D$2,COLORES[],2,FALSE),0)) + G17)
   *IF($E$2=0.8,1,IF($E$2=0.7,1-7%,1+10%)))
   *(1-_xlfn.XLOOKUP(1,(DESC_PROV[LINEA]=$B$2)*(DESC_PROV[LISTA]=$C$2),DESC_PROV[DESCUENTO]))
   *(1+VLOOKUP($C$2,LISTAS[],2,FALSE))
   *(1+VLOOKUP($C$2,LISTAS[],3,FALSE))
)
/5,0)*5,0)</f>
        <v>270560</v>
      </c>
      <c r="P17" s="65" cm="1">
        <f t="array" ref="P17">IFERROR(
ROUND(
IF($A$2="COSTO",
   ((B17*(1+IFERROR(VLOOKUP($D$2,COLORES[],2,FALSE),0)) + H17)
   *IF($E$2=0.8,1,IF($E$2=0.7,1-7%,1+10%)))
   *(1-_xlfn.XLOOKUP(1,(DESC_PROV[LINEA]=$B$2)*(DESC_PROV[LISTA]=$C$2),DESC_PROV[DESCUENTO])),
   ((B17*(1+IFERROR(VLOOKUP($D$2,COLORES[],2,FALSE),0)) + H17)
   *IF($E$2=0.8,1,IF($E$2=0.7,1-7%,1+10%)))
   *(1-_xlfn.XLOOKUP(1,(DESC_PROV[LINEA]=$B$2)*(DESC_PROV[LISTA]=$C$2),DESC_PROV[DESCUENTO]))
   *(1+VLOOKUP($C$2,LISTAS[],2,FALSE))
   *(1+VLOOKUP($C$2,LISTAS[],3,FALSE))
)
/5,0)*5,0)</f>
        <v>278425</v>
      </c>
    </row>
    <row r="18" spans="1:16" ht="16.899999999999999">
      <c r="A18" s="74" t="s">
        <v>216</v>
      </c>
      <c r="B18" s="64">
        <v>207370</v>
      </c>
      <c r="C18" s="64">
        <v>3659</v>
      </c>
      <c r="D18" s="64">
        <v>5068</v>
      </c>
      <c r="E18" s="64">
        <v>6673</v>
      </c>
      <c r="F18" s="64">
        <v>5578</v>
      </c>
      <c r="G18" s="64">
        <v>14446</v>
      </c>
      <c r="H18" s="64">
        <v>18446</v>
      </c>
      <c r="I18" s="2"/>
      <c r="J18" s="74" t="s">
        <v>216</v>
      </c>
      <c r="K18" s="65" cm="1">
        <f t="array" ref="K18">IFERROR(
ROUND(
IF($A$2="COSTO",
   ((B18*(1+IFERROR(VLOOKUP($D$2,COLORES[],2,FALSE),0)) + C18)
   *IF($E$2=0.8,1,IF($E$2=0.7,1-7%,1+10%)))
   *(1-_xlfn.XLOOKUP(1,(DESC_PROV[LINEA]=$B$2)*(DESC_PROV[LISTA]=$C$2),DESC_PROV[DESCUENTO])),
   ((B18*(1+IFERROR(VLOOKUP($D$2,COLORES[],2,FALSE),0)) + C18)
   *IF($E$2=0.8,1,IF($E$2=0.7,1-7%,1+10%)))
   *(1-_xlfn.XLOOKUP(1,(DESC_PROV[LINEA]=$B$2)*(DESC_PROV[LISTA]=$C$2),DESC_PROV[DESCUENTO]))
   *(1+VLOOKUP($C$2,LISTAS[],2,FALSE))
   *(1+VLOOKUP($C$2,LISTAS[],3,FALSE))
)
/5,0)*5,0)</f>
        <v>261720</v>
      </c>
      <c r="L18" s="65" cm="1">
        <f t="array" ref="L18">IFERROR(
ROUND(
IF($A$2="COSTO",
   ((B18*(1+IFERROR(VLOOKUP($D$2,COLORES[],2,FALSE),0)) + D18)
   *(1+($E$2-0.8)))
   *(1-_xlfn.XLOOKUP(1,(DESC_PROV[LINEA]=$B$2)*(DESC_PROV[LISTA]=$C$2),DESC_PROV[DESCUENTO])),
   ((B18*(1+IFERROR(VLOOKUP($D$2,COLORES[],2,FALSE),0)) + D18)
   *(1+($E$2-0.8)))
   *(1-_xlfn.XLOOKUP(1,(DESC_PROV[LINEA]=$B$2)*(DESC_PROV[LISTA]=$C$2),DESC_PROV[DESCUENTO]))
   *(1+VLOOKUP($C$2,LISTAS[],2,FALSE))
   *(1+VLOOKUP($C$2,LISTAS[],3,FALSE))
)
/5,0)*5,0)</f>
        <v>263465</v>
      </c>
      <c r="M18" s="65" cm="1">
        <f t="array" ref="M18">IFERROR(
ROUND(
IF($A$2="COSTO",
   ((B18*(1+IFERROR(VLOOKUP($D$2,COLORES[],2,FALSE),0)) + E18)
   *IF($E$2=0.8,1,IF($E$2=0.7,1-7%,1+10%)))
   *(1-_xlfn.XLOOKUP(1,(DESC_PROV[LINEA]=$B$2)*(DESC_PROV[LISTA]=$C$2),DESC_PROV[DESCUENTO])),
   ((B18*(1+IFERROR(VLOOKUP($D$2,COLORES[],2,FALSE),0)) + E18)
   *IF($E$2=0.8,1,IF($E$2=0.7,1-7%,1+10%)))
   *(1-_xlfn.XLOOKUP(1,(DESC_PROV[LINEA]=$B$2)*(DESC_PROV[LISTA]=$C$2),DESC_PROV[DESCUENTO]))
   *(1+VLOOKUP($C$2,LISTAS[],2,FALSE))
   *(1+VLOOKUP($C$2,LISTAS[],3,FALSE))
)
/5,0)*5,0)</f>
        <v>265455</v>
      </c>
      <c r="N18" s="65" cm="1">
        <f t="array" ref="N18">IFERROR(
ROUND(
IF($A$2="COSTO",
   ((B18*(1+IFERROR(VLOOKUP($D$2,COLORES[],2,FALSE),0)) + F18)
   *IF($E$2=0.8,1,IF($E$2=0.7,1-7%,1+10%)))
   *(1-_xlfn.XLOOKUP(1,(DESC_PROV[LINEA]=$B$2)*(DESC_PROV[LISTA]=$C$2),DESC_PROV[DESCUENTO])),
   ((B18*(1+IFERROR(VLOOKUP($D$2,COLORES[],2,FALSE),0)) + F18)
   *IF($E$2=0.8,1,IF($E$2=0.7,1-7%,1+10%)))
   *(1-_xlfn.XLOOKUP(1,(DESC_PROV[LINEA]=$B$2)*(DESC_PROV[LISTA]=$C$2),DESC_PROV[DESCUENTO]))
   *(1+VLOOKUP($C$2,LISTAS[],2,FALSE))
   *(1+VLOOKUP($C$2,LISTAS[],3,FALSE))
)
/5,0)*5,0)</f>
        <v>264100</v>
      </c>
      <c r="O18" s="65" cm="1">
        <f t="array" ref="O18">IFERROR(
ROUND(
IF($A$2="COSTO",
   ((B18*(1+IFERROR(VLOOKUP($D$2,COLORES[],2,FALSE),0)) + G18)
   *IF($E$2=0.8,1,IF($E$2=0.7,1-7%,1+10%)))
   *(1-_xlfn.XLOOKUP(1,(DESC_PROV[LINEA]=$B$2)*(DESC_PROV[LISTA]=$C$2),DESC_PROV[DESCUENTO])),
   ((B18*(1+IFERROR(VLOOKUP($D$2,COLORES[],2,FALSE),0)) + G18)
   *IF($E$2=0.8,1,IF($E$2=0.7,1-7%,1+10%)))
   *(1-_xlfn.XLOOKUP(1,(DESC_PROV[LINEA]=$B$2)*(DESC_PROV[LISTA]=$C$2),DESC_PROV[DESCUENTO]))
   *(1+VLOOKUP($C$2,LISTAS[],2,FALSE))
   *(1+VLOOKUP($C$2,LISTAS[],3,FALSE))
)
/5,0)*5,0)</f>
        <v>275095</v>
      </c>
      <c r="P18" s="65" cm="1">
        <f t="array" ref="P18">IFERROR(
ROUND(
IF($A$2="COSTO",
   ((B18*(1+IFERROR(VLOOKUP($D$2,COLORES[],2,FALSE),0)) + H18)
   *IF($E$2=0.8,1,IF($E$2=0.7,1-7%,1+10%)))
   *(1-_xlfn.XLOOKUP(1,(DESC_PROV[LINEA]=$B$2)*(DESC_PROV[LISTA]=$C$2),DESC_PROV[DESCUENTO])),
   ((B18*(1+IFERROR(VLOOKUP($D$2,COLORES[],2,FALSE),0)) + H18)
   *IF($E$2=0.8,1,IF($E$2=0.7,1-7%,1+10%)))
   *(1-_xlfn.XLOOKUP(1,(DESC_PROV[LINEA]=$B$2)*(DESC_PROV[LISTA]=$C$2),DESC_PROV[DESCUENTO]))
   *(1+VLOOKUP($C$2,LISTAS[],2,FALSE))
   *(1+VLOOKUP($C$2,LISTAS[],3,FALSE))
)
/5,0)*5,0)</f>
        <v>280055</v>
      </c>
    </row>
    <row r="19" spans="1:16" ht="16.899999999999999">
      <c r="A19" s="74" t="s">
        <v>217</v>
      </c>
      <c r="B19" s="64">
        <v>223579</v>
      </c>
      <c r="C19" s="64">
        <v>3659</v>
      </c>
      <c r="D19" s="64">
        <v>0</v>
      </c>
      <c r="E19" s="64">
        <v>0</v>
      </c>
      <c r="F19" s="64">
        <v>5578</v>
      </c>
      <c r="G19" s="64">
        <v>14446</v>
      </c>
      <c r="H19" s="64">
        <v>0</v>
      </c>
      <c r="I19" s="2"/>
      <c r="J19" s="74" t="s">
        <v>217</v>
      </c>
      <c r="K19" s="65" cm="1">
        <f t="array" ref="K19">IFERROR(
ROUND(
IF($A$2="COSTO",
   ((B19*(1+IFERROR(VLOOKUP($D$2,COLORES[],2,FALSE),0)) + C19)
   *IF($E$2=0.8,1,IF($E$2=0.7,1-7%,1+10%)))
   *(1-_xlfn.XLOOKUP(1,(DESC_PROV[LINEA]=$B$2)*(DESC_PROV[LISTA]=$C$2),DESC_PROV[DESCUENTO])),
   ((B19*(1+IFERROR(VLOOKUP($D$2,COLORES[],2,FALSE),0)) + C19)
   *IF($E$2=0.8,1,IF($E$2=0.7,1-7%,1+10%)))
   *(1-_xlfn.XLOOKUP(1,(DESC_PROV[LINEA]=$B$2)*(DESC_PROV[LISTA]=$C$2),DESC_PROV[DESCUENTO]))
   *(1+VLOOKUP($C$2,LISTAS[],2,FALSE))
   *(1+VLOOKUP($C$2,LISTAS[],3,FALSE))
)
/5,0)*5,0)</f>
        <v>281820</v>
      </c>
      <c r="L19" s="65" cm="1">
        <f t="array" ref="L19">IFERROR(
ROUND(
IF($A$2="COSTO",
   ((B19*(1+IFERROR(VLOOKUP($D$2,COLORES[],2,FALSE),0)) + D19)
   *(1+($E$2-0.8)))
   *(1-_xlfn.XLOOKUP(1,(DESC_PROV[LINEA]=$B$2)*(DESC_PROV[LISTA]=$C$2),DESC_PROV[DESCUENTO])),
   ((B19*(1+IFERROR(VLOOKUP($D$2,COLORES[],2,FALSE),0)) + D19)
   *(1+($E$2-0.8)))
   *(1-_xlfn.XLOOKUP(1,(DESC_PROV[LINEA]=$B$2)*(DESC_PROV[LISTA]=$C$2),DESC_PROV[DESCUENTO]))
   *(1+VLOOKUP($C$2,LISTAS[],2,FALSE))
   *(1+VLOOKUP($C$2,LISTAS[],3,FALSE))
)
/5,0)*5,0)</f>
        <v>277285</v>
      </c>
      <c r="M19" s="65" cm="1">
        <f t="array" ref="M19">IFERROR(
ROUND(
IF($A$2="COSTO",
   ((B19*(1+IFERROR(VLOOKUP($D$2,COLORES[],2,FALSE),0)) + E19)
   *IF($E$2=0.8,1,IF($E$2=0.7,1-7%,1+10%)))
   *(1-_xlfn.XLOOKUP(1,(DESC_PROV[LINEA]=$B$2)*(DESC_PROV[LISTA]=$C$2),DESC_PROV[DESCUENTO])),
   ((B19*(1+IFERROR(VLOOKUP($D$2,COLORES[],2,FALSE),0)) + E19)
   *IF($E$2=0.8,1,IF($E$2=0.7,1-7%,1+10%)))
   *(1-_xlfn.XLOOKUP(1,(DESC_PROV[LINEA]=$B$2)*(DESC_PROV[LISTA]=$C$2),DESC_PROV[DESCUENTO]))
   *(1+VLOOKUP($C$2,LISTAS[],2,FALSE))
   *(1+VLOOKUP($C$2,LISTAS[],3,FALSE))
)
/5,0)*5,0)</f>
        <v>277285</v>
      </c>
      <c r="N19" s="65" cm="1">
        <f t="array" ref="N19">IFERROR(
ROUND(
IF($A$2="COSTO",
   ((B19*(1+IFERROR(VLOOKUP($D$2,COLORES[],2,FALSE),0)) + F19)
   *IF($E$2=0.8,1,IF($E$2=0.7,1-7%,1+10%)))
   *(1-_xlfn.XLOOKUP(1,(DESC_PROV[LINEA]=$B$2)*(DESC_PROV[LISTA]=$C$2),DESC_PROV[DESCUENTO])),
   ((B19*(1+IFERROR(VLOOKUP($D$2,COLORES[],2,FALSE),0)) + F19)
   *IF($E$2=0.8,1,IF($E$2=0.7,1-7%,1+10%)))
   *(1-_xlfn.XLOOKUP(1,(DESC_PROV[LINEA]=$B$2)*(DESC_PROV[LISTA]=$C$2),DESC_PROV[DESCUENTO]))
   *(1+VLOOKUP($C$2,LISTAS[],2,FALSE))
   *(1+VLOOKUP($C$2,LISTAS[],3,FALSE))
)
/5,0)*5,0)</f>
        <v>284200</v>
      </c>
      <c r="O19" s="65" cm="1">
        <f t="array" ref="O19">IFERROR(
ROUND(
IF($A$2="COSTO",
   ((B19*(1+IFERROR(VLOOKUP($D$2,COLORES[],2,FALSE),0)) + G19)
   *IF($E$2=0.8,1,IF($E$2=0.7,1-7%,1+10%)))
   *(1-_xlfn.XLOOKUP(1,(DESC_PROV[LINEA]=$B$2)*(DESC_PROV[LISTA]=$C$2),DESC_PROV[DESCUENTO])),
   ((B19*(1+IFERROR(VLOOKUP($D$2,COLORES[],2,FALSE),0)) + G19)
   *IF($E$2=0.8,1,IF($E$2=0.7,1-7%,1+10%)))
   *(1-_xlfn.XLOOKUP(1,(DESC_PROV[LINEA]=$B$2)*(DESC_PROV[LISTA]=$C$2),DESC_PROV[DESCUENTO]))
   *(1+VLOOKUP($C$2,LISTAS[],2,FALSE))
   *(1+VLOOKUP($C$2,LISTAS[],3,FALSE))
)
/5,0)*5,0)</f>
        <v>295200</v>
      </c>
      <c r="P19" s="65" cm="1">
        <f t="array" ref="P19">IFERROR(
ROUND(
IF($A$2="COSTO",
   ((B19*(1+IFERROR(VLOOKUP($D$2,COLORES[],2,FALSE),0)) + H19)
   *IF($E$2=0.8,1,IF($E$2=0.7,1-7%,1+10%)))
   *(1-_xlfn.XLOOKUP(1,(DESC_PROV[LINEA]=$B$2)*(DESC_PROV[LISTA]=$C$2),DESC_PROV[DESCUENTO])),
   ((B19*(1+IFERROR(VLOOKUP($D$2,COLORES[],2,FALSE),0)) + H19)
   *IF($E$2=0.8,1,IF($E$2=0.7,1-7%,1+10%)))
   *(1-_xlfn.XLOOKUP(1,(DESC_PROV[LINEA]=$B$2)*(DESC_PROV[LISTA]=$C$2),DESC_PROV[DESCUENTO]))
   *(1+VLOOKUP($C$2,LISTAS[],2,FALSE))
   *(1+VLOOKUP($C$2,LISTAS[],3,FALSE))
)
/5,0)*5,0)</f>
        <v>277285</v>
      </c>
    </row>
    <row r="20" spans="1:16" ht="16.899999999999999">
      <c r="A20" s="74" t="s">
        <v>218</v>
      </c>
      <c r="B20" s="64">
        <v>180990</v>
      </c>
      <c r="C20" s="64">
        <v>14643</v>
      </c>
      <c r="D20" s="64">
        <v>19004</v>
      </c>
      <c r="E20" s="64">
        <v>25031</v>
      </c>
      <c r="F20" s="64">
        <v>20922</v>
      </c>
      <c r="G20" s="64">
        <v>54175</v>
      </c>
      <c r="H20" s="64">
        <v>69199</v>
      </c>
      <c r="I20" s="2"/>
      <c r="J20" s="74" t="s">
        <v>218</v>
      </c>
      <c r="K20" s="65" cm="1">
        <f t="array" ref="K20">IFERROR(
ROUND(
IF($A$2="COSTO",
   ((B20*(1+IFERROR(VLOOKUP($D$2,COLORES[],2,FALSE),0)) + C20)
   *IF($E$2=0.8,1,IF($E$2=0.7,1-7%,1+10%)))
   *(1-_xlfn.XLOOKUP(1,(DESC_PROV[LINEA]=$B$2)*(DESC_PROV[LISTA]=$C$2),DESC_PROV[DESCUENTO])),
   ((B20*(1+IFERROR(VLOOKUP($D$2,COLORES[],2,FALSE),0)) + C20)
   *IF($E$2=0.8,1,IF($E$2=0.7,1-7%,1+10%)))
   *(1-_xlfn.XLOOKUP(1,(DESC_PROV[LINEA]=$B$2)*(DESC_PROV[LISTA]=$C$2),DESC_PROV[DESCUENTO]))
   *(1+VLOOKUP($C$2,LISTAS[],2,FALSE))
   *(1+VLOOKUP($C$2,LISTAS[],3,FALSE))
)
/5,0)*5,0)</f>
        <v>242625</v>
      </c>
      <c r="L20" s="65" cm="1">
        <f t="array" ref="L20">IFERROR(
ROUND(
IF($A$2="COSTO",
   ((B20*(1+IFERROR(VLOOKUP($D$2,COLORES[],2,FALSE),0)) + D20)
   *(1+($E$2-0.8)))
   *(1-_xlfn.XLOOKUP(1,(DESC_PROV[LINEA]=$B$2)*(DESC_PROV[LISTA]=$C$2),DESC_PROV[DESCUENTO])),
   ((B20*(1+IFERROR(VLOOKUP($D$2,COLORES[],2,FALSE),0)) + D20)
   *(1+($E$2-0.8)))
   *(1-_xlfn.XLOOKUP(1,(DESC_PROV[LINEA]=$B$2)*(DESC_PROV[LISTA]=$C$2),DESC_PROV[DESCUENTO]))
   *(1+VLOOKUP($C$2,LISTAS[],2,FALSE))
   *(1+VLOOKUP($C$2,LISTAS[],3,FALSE))
)
/5,0)*5,0)</f>
        <v>248035</v>
      </c>
      <c r="M20" s="65" cm="1">
        <f t="array" ref="M20">IFERROR(
ROUND(
IF($A$2="COSTO",
   ((B20*(1+IFERROR(VLOOKUP($D$2,COLORES[],2,FALSE),0)) + E20)
   *IF($E$2=0.8,1,IF($E$2=0.7,1-7%,1+10%)))
   *(1-_xlfn.XLOOKUP(1,(DESC_PROV[LINEA]=$B$2)*(DESC_PROV[LISTA]=$C$2),DESC_PROV[DESCUENTO])),
   ((B20*(1+IFERROR(VLOOKUP($D$2,COLORES[],2,FALSE),0)) + E20)
   *IF($E$2=0.8,1,IF($E$2=0.7,1-7%,1+10%)))
   *(1-_xlfn.XLOOKUP(1,(DESC_PROV[LINEA]=$B$2)*(DESC_PROV[LISTA]=$C$2),DESC_PROV[DESCUENTO]))
   *(1+VLOOKUP($C$2,LISTAS[],2,FALSE))
   *(1+VLOOKUP($C$2,LISTAS[],3,FALSE))
)
/5,0)*5,0)</f>
        <v>255505</v>
      </c>
      <c r="N20" s="65" cm="1">
        <f t="array" ref="N20">IFERROR(
ROUND(
IF($A$2="COSTO",
   ((B20*(1+IFERROR(VLOOKUP($D$2,COLORES[],2,FALSE),0)) + F20)
   *IF($E$2=0.8,1,IF($E$2=0.7,1-7%,1+10%)))
   *(1-_xlfn.XLOOKUP(1,(DESC_PROV[LINEA]=$B$2)*(DESC_PROV[LISTA]=$C$2),DESC_PROV[DESCUENTO])),
   ((B20*(1+IFERROR(VLOOKUP($D$2,COLORES[],2,FALSE),0)) + F20)
   *IF($E$2=0.8,1,IF($E$2=0.7,1-7%,1+10%)))
   *(1-_xlfn.XLOOKUP(1,(DESC_PROV[LINEA]=$B$2)*(DESC_PROV[LISTA]=$C$2),DESC_PROV[DESCUENTO]))
   *(1+VLOOKUP($C$2,LISTAS[],2,FALSE))
   *(1+VLOOKUP($C$2,LISTAS[],3,FALSE))
)
/5,0)*5,0)</f>
        <v>250410</v>
      </c>
      <c r="O20" s="65" cm="1">
        <f t="array" ref="O20">IFERROR(
ROUND(
IF($A$2="COSTO",
   ((B20*(1+IFERROR(VLOOKUP($D$2,COLORES[],2,FALSE),0)) + G20)
   *IF($E$2=0.8,1,IF($E$2=0.7,1-7%,1+10%)))
   *(1-_xlfn.XLOOKUP(1,(DESC_PROV[LINEA]=$B$2)*(DESC_PROV[LISTA]=$C$2),DESC_PROV[DESCUENTO])),
   ((B20*(1+IFERROR(VLOOKUP($D$2,COLORES[],2,FALSE),0)) + G20)
   *IF($E$2=0.8,1,IF($E$2=0.7,1-7%,1+10%)))
   *(1-_xlfn.XLOOKUP(1,(DESC_PROV[LINEA]=$B$2)*(DESC_PROV[LISTA]=$C$2),DESC_PROV[DESCUENTO]))
   *(1+VLOOKUP($C$2,LISTAS[],2,FALSE))
   *(1+VLOOKUP($C$2,LISTAS[],3,FALSE))
)
/5,0)*5,0)</f>
        <v>291650</v>
      </c>
      <c r="P20" s="65" cm="1">
        <f t="array" ref="P20">IFERROR(
ROUND(
IF($A$2="COSTO",
   ((B20*(1+IFERROR(VLOOKUP($D$2,COLORES[],2,FALSE),0)) + H20)
   *IF($E$2=0.8,1,IF($E$2=0.7,1-7%,1+10%)))
   *(1-_xlfn.XLOOKUP(1,(DESC_PROV[LINEA]=$B$2)*(DESC_PROV[LISTA]=$C$2),DESC_PROV[DESCUENTO])),
   ((B20*(1+IFERROR(VLOOKUP($D$2,COLORES[],2,FALSE),0)) + H20)
   *IF($E$2=0.8,1,IF($E$2=0.7,1-7%,1+10%)))
   *(1-_xlfn.XLOOKUP(1,(DESC_PROV[LINEA]=$B$2)*(DESC_PROV[LISTA]=$C$2),DESC_PROV[DESCUENTO]))
   *(1+VLOOKUP($C$2,LISTAS[],2,FALSE))
   *(1+VLOOKUP($C$2,LISTAS[],3,FALSE))
)
/5,0)*5,0)</f>
        <v>310285</v>
      </c>
    </row>
    <row r="21" spans="1:16" ht="16.899999999999999">
      <c r="A21" s="74" t="s">
        <v>219</v>
      </c>
      <c r="B21" s="64">
        <v>150213</v>
      </c>
      <c r="C21" s="64">
        <v>14643</v>
      </c>
      <c r="D21" s="64">
        <v>19004</v>
      </c>
      <c r="E21" s="64">
        <v>25031</v>
      </c>
      <c r="F21" s="64">
        <v>20922</v>
      </c>
      <c r="G21" s="64">
        <v>54175</v>
      </c>
      <c r="H21" s="64">
        <v>69199</v>
      </c>
      <c r="I21" s="2"/>
      <c r="J21" s="74" t="s">
        <v>219</v>
      </c>
      <c r="K21" s="65" cm="1">
        <f t="array" ref="K21">IFERROR(
ROUND(
IF($A$2="COSTO",
   ((B21*(1+IFERROR(VLOOKUP($D$2,COLORES[],2,FALSE),0)) + C21)
   *IF($E$2=0.8,1,IF($E$2=0.7,1-7%,1+10%)))
   *(1-_xlfn.XLOOKUP(1,(DESC_PROV[LINEA]=$B$2)*(DESC_PROV[LISTA]=$C$2),DESC_PROV[DESCUENTO])),
   ((B21*(1+IFERROR(VLOOKUP($D$2,COLORES[],2,FALSE),0)) + C21)
   *IF($E$2=0.8,1,IF($E$2=0.7,1-7%,1+10%)))
   *(1-_xlfn.XLOOKUP(1,(DESC_PROV[LINEA]=$B$2)*(DESC_PROV[LISTA]=$C$2),DESC_PROV[DESCUENTO]))
   *(1+VLOOKUP($C$2,LISTAS[],2,FALSE))
   *(1+VLOOKUP($C$2,LISTAS[],3,FALSE))
)
/5,0)*5,0)</f>
        <v>204455</v>
      </c>
      <c r="L21" s="65" cm="1">
        <f t="array" ref="L21">IFERROR(
ROUND(
IF($A$2="COSTO",
   ((B21*(1+IFERROR(VLOOKUP($D$2,COLORES[],2,FALSE),0)) + D21)
   *(1+($E$2-0.8)))
   *(1-_xlfn.XLOOKUP(1,(DESC_PROV[LINEA]=$B$2)*(DESC_PROV[LISTA]=$C$2),DESC_PROV[DESCUENTO])),
   ((B21*(1+IFERROR(VLOOKUP($D$2,COLORES[],2,FALSE),0)) + D21)
   *(1+($E$2-0.8)))
   *(1-_xlfn.XLOOKUP(1,(DESC_PROV[LINEA]=$B$2)*(DESC_PROV[LISTA]=$C$2),DESC_PROV[DESCUENTO]))
   *(1+VLOOKUP($C$2,LISTAS[],2,FALSE))
   *(1+VLOOKUP($C$2,LISTAS[],3,FALSE))
)
/5,0)*5,0)</f>
        <v>209865</v>
      </c>
      <c r="M21" s="65" cm="1">
        <f t="array" ref="M21">IFERROR(
ROUND(
IF($A$2="COSTO",
   ((B21*(1+IFERROR(VLOOKUP($D$2,COLORES[],2,FALSE),0)) + E21)
   *IF($E$2=0.8,1,IF($E$2=0.7,1-7%,1+10%)))
   *(1-_xlfn.XLOOKUP(1,(DESC_PROV[LINEA]=$B$2)*(DESC_PROV[LISTA]=$C$2),DESC_PROV[DESCUENTO])),
   ((B21*(1+IFERROR(VLOOKUP($D$2,COLORES[],2,FALSE),0)) + E21)
   *IF($E$2=0.8,1,IF($E$2=0.7,1-7%,1+10%)))
   *(1-_xlfn.XLOOKUP(1,(DESC_PROV[LINEA]=$B$2)*(DESC_PROV[LISTA]=$C$2),DESC_PROV[DESCUENTO]))
   *(1+VLOOKUP($C$2,LISTAS[],2,FALSE))
   *(1+VLOOKUP($C$2,LISTAS[],3,FALSE))
)
/5,0)*5,0)</f>
        <v>217340</v>
      </c>
      <c r="N21" s="65" cm="1">
        <f t="array" ref="N21">IFERROR(
ROUND(
IF($A$2="COSTO",
   ((B21*(1+IFERROR(VLOOKUP($D$2,COLORES[],2,FALSE),0)) + F21)
   *IF($E$2=0.8,1,IF($E$2=0.7,1-7%,1+10%)))
   *(1-_xlfn.XLOOKUP(1,(DESC_PROV[LINEA]=$B$2)*(DESC_PROV[LISTA]=$C$2),DESC_PROV[DESCUENTO])),
   ((B21*(1+IFERROR(VLOOKUP($D$2,COLORES[],2,FALSE),0)) + F21)
   *IF($E$2=0.8,1,IF($E$2=0.7,1-7%,1+10%)))
   *(1-_xlfn.XLOOKUP(1,(DESC_PROV[LINEA]=$B$2)*(DESC_PROV[LISTA]=$C$2),DESC_PROV[DESCUENTO]))
   *(1+VLOOKUP($C$2,LISTAS[],2,FALSE))
   *(1+VLOOKUP($C$2,LISTAS[],3,FALSE))
)
/5,0)*5,0)</f>
        <v>212240</v>
      </c>
      <c r="O21" s="65" cm="1">
        <f t="array" ref="O21">IFERROR(
ROUND(
IF($A$2="COSTO",
   ((B21*(1+IFERROR(VLOOKUP($D$2,COLORES[],2,FALSE),0)) + G21)
   *IF($E$2=0.8,1,IF($E$2=0.7,1-7%,1+10%)))
   *(1-_xlfn.XLOOKUP(1,(DESC_PROV[LINEA]=$B$2)*(DESC_PROV[LISTA]=$C$2),DESC_PROV[DESCUENTO])),
   ((B21*(1+IFERROR(VLOOKUP($D$2,COLORES[],2,FALSE),0)) + G21)
   *IF($E$2=0.8,1,IF($E$2=0.7,1-7%,1+10%)))
   *(1-_xlfn.XLOOKUP(1,(DESC_PROV[LINEA]=$B$2)*(DESC_PROV[LISTA]=$C$2),DESC_PROV[DESCUENTO]))
   *(1+VLOOKUP($C$2,LISTAS[],2,FALSE))
   *(1+VLOOKUP($C$2,LISTAS[],3,FALSE))
)
/5,0)*5,0)</f>
        <v>253480</v>
      </c>
      <c r="P21" s="65" cm="1">
        <f t="array" ref="P21">IFERROR(
ROUND(
IF($A$2="COSTO",
   ((B21*(1+IFERROR(VLOOKUP($D$2,COLORES[],2,FALSE),0)) + H21)
   *IF($E$2=0.8,1,IF($E$2=0.7,1-7%,1+10%)))
   *(1-_xlfn.XLOOKUP(1,(DESC_PROV[LINEA]=$B$2)*(DESC_PROV[LISTA]=$C$2),DESC_PROV[DESCUENTO])),
   ((B21*(1+IFERROR(VLOOKUP($D$2,COLORES[],2,FALSE),0)) + H21)
   *IF($E$2=0.8,1,IF($E$2=0.7,1-7%,1+10%)))
   *(1-_xlfn.XLOOKUP(1,(DESC_PROV[LINEA]=$B$2)*(DESC_PROV[LISTA]=$C$2),DESC_PROV[DESCUENTO]))
   *(1+VLOOKUP($C$2,LISTAS[],2,FALSE))
   *(1+VLOOKUP($C$2,LISTAS[],3,FALSE))
)
/5,0)*5,0)</f>
        <v>272115</v>
      </c>
    </row>
    <row r="22" spans="1:16" ht="17.25" thickBot="1">
      <c r="A22" s="75" t="s">
        <v>220</v>
      </c>
      <c r="B22" s="64">
        <v>283039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2"/>
      <c r="J22" s="75" t="s">
        <v>220</v>
      </c>
      <c r="K22" s="65" cm="1">
        <f t="array" ref="K22">IFERROR(
ROUND(
IF($A$2="COSTO",
   ((B22*(1+IFERROR(VLOOKUP($D$2,COLORES[],2,FALSE),0)) + C22)
   *IF($E$2=0.8,1,IF($E$2=0.7,1-7%,1+10%)))
   *(1-_xlfn.XLOOKUP(1,(DESC_PROV[LINEA]=$B$2)*(DESC_PROV[LISTA]=$C$2),DESC_PROV[DESCUENTO])),
   ((B22*(1+IFERROR(VLOOKUP($D$2,COLORES[],2,FALSE),0)) + C22)
   *IF($E$2=0.8,1,IF($E$2=0.7,1-7%,1+10%)))
   *(1-_xlfn.XLOOKUP(1,(DESC_PROV[LINEA]=$B$2)*(DESC_PROV[LISTA]=$C$2),DESC_PROV[DESCUENTO]))
   *(1+VLOOKUP($C$2,LISTAS[],2,FALSE))
   *(1+VLOOKUP($C$2,LISTAS[],3,FALSE))
)
/5,0)*5,0)</f>
        <v>351025</v>
      </c>
      <c r="L22" s="65" cm="1">
        <f t="array" ref="L22">IFERROR(
ROUND(
IF($A$2="COSTO",
   ((B22*(1+IFERROR(VLOOKUP($D$2,COLORES[],2,FALSE),0)) + D22)
   *(1+($E$2-0.8)))
   *(1-_xlfn.XLOOKUP(1,(DESC_PROV[LINEA]=$B$2)*(DESC_PROV[LISTA]=$C$2),DESC_PROV[DESCUENTO])),
   ((B22*(1+IFERROR(VLOOKUP($D$2,COLORES[],2,FALSE),0)) + D22)
   *(1+($E$2-0.8)))
   *(1-_xlfn.XLOOKUP(1,(DESC_PROV[LINEA]=$B$2)*(DESC_PROV[LISTA]=$C$2),DESC_PROV[DESCUENTO]))
   *(1+VLOOKUP($C$2,LISTAS[],2,FALSE))
   *(1+VLOOKUP($C$2,LISTAS[],3,FALSE))
)
/5,0)*5,0)</f>
        <v>351025</v>
      </c>
      <c r="M22" s="65" cm="1">
        <f t="array" ref="M22">IFERROR(
ROUND(
IF($A$2="COSTO",
   ((B22*(1+IFERROR(VLOOKUP($D$2,COLORES[],2,FALSE),0)) + E22)
   *IF($E$2=0.8,1,IF($E$2=0.7,1-7%,1+10%)))
   *(1-_xlfn.XLOOKUP(1,(DESC_PROV[LINEA]=$B$2)*(DESC_PROV[LISTA]=$C$2),DESC_PROV[DESCUENTO])),
   ((B22*(1+IFERROR(VLOOKUP($D$2,COLORES[],2,FALSE),0)) + E22)
   *IF($E$2=0.8,1,IF($E$2=0.7,1-7%,1+10%)))
   *(1-_xlfn.XLOOKUP(1,(DESC_PROV[LINEA]=$B$2)*(DESC_PROV[LISTA]=$C$2),DESC_PROV[DESCUENTO]))
   *(1+VLOOKUP($C$2,LISTAS[],2,FALSE))
   *(1+VLOOKUP($C$2,LISTAS[],3,FALSE))
)
/5,0)*5,0)</f>
        <v>351025</v>
      </c>
      <c r="N22" s="65" cm="1">
        <f t="array" ref="N22">IFERROR(
ROUND(
IF($A$2="COSTO",
   ((B22*(1+IFERROR(VLOOKUP($D$2,COLORES[],2,FALSE),0)) + F22)
   *IF($E$2=0.8,1,IF($E$2=0.7,1-7%,1+10%)))
   *(1-_xlfn.XLOOKUP(1,(DESC_PROV[LINEA]=$B$2)*(DESC_PROV[LISTA]=$C$2),DESC_PROV[DESCUENTO])),
   ((B22*(1+IFERROR(VLOOKUP($D$2,COLORES[],2,FALSE),0)) + F22)
   *IF($E$2=0.8,1,IF($E$2=0.7,1-7%,1+10%)))
   *(1-_xlfn.XLOOKUP(1,(DESC_PROV[LINEA]=$B$2)*(DESC_PROV[LISTA]=$C$2),DESC_PROV[DESCUENTO]))
   *(1+VLOOKUP($C$2,LISTAS[],2,FALSE))
   *(1+VLOOKUP($C$2,LISTAS[],3,FALSE))
)
/5,0)*5,0)</f>
        <v>351025</v>
      </c>
      <c r="O22" s="65" cm="1">
        <f t="array" ref="O22">IFERROR(
ROUND(
IF($A$2="COSTO",
   ((B22*(1+IFERROR(VLOOKUP($D$2,COLORES[],2,FALSE),0)) + G22)
   *IF($E$2=0.8,1,IF($E$2=0.7,1-7%,1+10%)))
   *(1-_xlfn.XLOOKUP(1,(DESC_PROV[LINEA]=$B$2)*(DESC_PROV[LISTA]=$C$2),DESC_PROV[DESCUENTO])),
   ((B22*(1+IFERROR(VLOOKUP($D$2,COLORES[],2,FALSE),0)) + G22)
   *IF($E$2=0.8,1,IF($E$2=0.7,1-7%,1+10%)))
   *(1-_xlfn.XLOOKUP(1,(DESC_PROV[LINEA]=$B$2)*(DESC_PROV[LISTA]=$C$2),DESC_PROV[DESCUENTO]))
   *(1+VLOOKUP($C$2,LISTAS[],2,FALSE))
   *(1+VLOOKUP($C$2,LISTAS[],3,FALSE))
)
/5,0)*5,0)</f>
        <v>351025</v>
      </c>
      <c r="P22" s="65" cm="1">
        <f t="array" ref="P22">IFERROR(
ROUND(
IF($A$2="COSTO",
   ((B22*(1+IFERROR(VLOOKUP($D$2,COLORES[],2,FALSE),0)) + H22)
   *IF($E$2=0.8,1,IF($E$2=0.7,1-7%,1+10%)))
   *(1-_xlfn.XLOOKUP(1,(DESC_PROV[LINEA]=$B$2)*(DESC_PROV[LISTA]=$C$2),DESC_PROV[DESCUENTO])),
   ((B22*(1+IFERROR(VLOOKUP($D$2,COLORES[],2,FALSE),0)) + H22)
   *IF($E$2=0.8,1,IF($E$2=0.7,1-7%,1+10%)))
   *(1-_xlfn.XLOOKUP(1,(DESC_PROV[LINEA]=$B$2)*(DESC_PROV[LISTA]=$C$2),DESC_PROV[DESCUENTO]))
   *(1+VLOOKUP($C$2,LISTAS[],2,FALSE))
   *(1+VLOOKUP($C$2,LISTAS[],3,FALSE))
)
/5,0)*5,0)</f>
        <v>351025</v>
      </c>
    </row>
    <row r="23" spans="1:16" ht="14.65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7.25" thickBot="1">
      <c r="A24" s="76" t="s">
        <v>221</v>
      </c>
      <c r="B24" s="67"/>
      <c r="C24" s="2"/>
      <c r="D24" s="2"/>
      <c r="E24" s="2"/>
      <c r="F24" s="2"/>
      <c r="G24" s="2"/>
      <c r="H24" s="2"/>
      <c r="I24" s="2"/>
      <c r="J24" s="76" t="s">
        <v>221</v>
      </c>
      <c r="K24" s="67"/>
      <c r="L24" s="2"/>
      <c r="M24" s="2"/>
      <c r="N24" s="2"/>
      <c r="O24" s="2"/>
      <c r="P24" s="2"/>
    </row>
    <row r="25" spans="1:16" ht="17.25" thickBot="1">
      <c r="A25" s="68" t="s">
        <v>222</v>
      </c>
      <c r="B25" s="67">
        <v>18000</v>
      </c>
      <c r="C25" s="2"/>
      <c r="D25" s="290" t="s">
        <v>223</v>
      </c>
      <c r="E25" s="291"/>
      <c r="F25" s="292"/>
      <c r="G25" s="2"/>
      <c r="H25" s="2"/>
      <c r="I25" s="2"/>
      <c r="J25" s="69" t="s">
        <v>222</v>
      </c>
      <c r="K25" s="70" cm="1">
        <f t="array" ref="K25">IFERROR(
ROUND(
IF($A$2="COSTO",
   B25
   *(1-_xlfn.XLOOKUP(1,(DESC_PROV[LINEA]=$B$2)*(DESC_PROV[LISTA]=$C$2),DESC_PROV[DESCUENTO])),
   B25
   *(1-_xlfn.XLOOKUP(1,(DESC_PROV[LINEA]=$B$2)*(DESC_PROV[LISTA]=$C$2),DESC_PROV[DESCUENTO]))
   *(1+VLOOKUP($C$2,LISTAS[],2,FALSE))
   *(1+VLOOKUP($C$2,LISTAS[],3,FALSE))
)
/5,0)*5,0)</f>
        <v>22325</v>
      </c>
      <c r="L25" s="290" t="s">
        <v>223</v>
      </c>
      <c r="M25" s="291"/>
      <c r="N25" s="292"/>
      <c r="O25" s="2"/>
      <c r="P25" s="2"/>
    </row>
    <row r="26" spans="1:16" ht="17.25" thickBot="1">
      <c r="A26" s="68" t="s">
        <v>224</v>
      </c>
      <c r="B26" s="67">
        <v>18000</v>
      </c>
      <c r="C26" s="2"/>
      <c r="D26" s="284" t="s">
        <v>225</v>
      </c>
      <c r="E26" s="285"/>
      <c r="F26" s="286"/>
      <c r="G26" s="2"/>
      <c r="H26" s="2"/>
      <c r="I26" s="2"/>
      <c r="J26" s="69" t="s">
        <v>224</v>
      </c>
      <c r="K26" s="70" cm="1">
        <f t="array" ref="K26">IFERROR(
ROUND(
IF($A$2="COSTO",
   B26
   *(1-_xlfn.XLOOKUP(1,(DESC_PROV[LINEA]=$B$2)*(DESC_PROV[LISTA]=$C$2),DESC_PROV[DESCUENTO])),
   B26
   *(1-_xlfn.XLOOKUP(1,(DESC_PROV[LINEA]=$B$2)*(DESC_PROV[LISTA]=$C$2),DESC_PROV[DESCUENTO]))
   *(1+VLOOKUP($C$2,LISTAS[],2,FALSE))
   *(1+VLOOKUP($C$2,LISTAS[],3,FALSE))
)
/5,0)*5,0)</f>
        <v>22325</v>
      </c>
      <c r="L26" s="284" t="s">
        <v>225</v>
      </c>
      <c r="M26" s="285"/>
      <c r="N26" s="286"/>
      <c r="O26" s="2"/>
      <c r="P26" s="2"/>
    </row>
  </sheetData>
  <mergeCells count="6">
    <mergeCell ref="D26:F26"/>
    <mergeCell ref="L26:N26"/>
    <mergeCell ref="A4:H4"/>
    <mergeCell ref="J4:P4"/>
    <mergeCell ref="D25:F25"/>
    <mergeCell ref="L25:N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E31029-2AB5-421E-8CB5-39B5410370A4}">
          <x14:formula1>
            <xm:f>CONFIG!$F$10:$F$12</xm:f>
          </x14:formula1>
          <xm:sqref>E2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CA88-F6DE-421B-9A9A-B9DE8A790A12}">
  <sheetPr codeName="Hoja7">
    <tabColor rgb="FFFF0000"/>
  </sheetPr>
  <dimension ref="A1:L14"/>
  <sheetViews>
    <sheetView zoomScale="70" zoomScaleNormal="70" workbookViewId="0">
      <selection activeCell="M27" sqref="M27"/>
    </sheetView>
  </sheetViews>
  <sheetFormatPr baseColWidth="10" defaultRowHeight="14.25"/>
  <cols>
    <col min="1" max="1" width="16.86328125" customWidth="1"/>
    <col min="2" max="2" width="11.265625" customWidth="1"/>
    <col min="3" max="3" width="12.1328125" customWidth="1"/>
    <col min="4" max="4" width="11.1328125" customWidth="1"/>
    <col min="5" max="5" width="9.73046875" customWidth="1"/>
    <col min="6" max="6" width="12.59765625" customWidth="1"/>
    <col min="7" max="7" width="11.59765625" customWidth="1"/>
    <col min="8" max="8" width="16.86328125" customWidth="1"/>
    <col min="9" max="9" width="12.1328125" customWidth="1"/>
    <col min="10" max="10" width="11.1328125" customWidth="1"/>
    <col min="11" max="11" width="9.73046875" customWidth="1"/>
    <col min="12" max="12" width="12.59765625" customWidth="1"/>
  </cols>
  <sheetData>
    <row r="1" spans="1:12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2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3" spans="1:12" ht="14.65" thickBot="1"/>
    <row r="4" spans="1:12" ht="21.4" thickBot="1">
      <c r="A4" s="293" t="s">
        <v>235</v>
      </c>
      <c r="B4" s="294"/>
      <c r="C4" s="294"/>
      <c r="D4" s="294"/>
      <c r="E4" s="294"/>
      <c r="F4" s="295"/>
      <c r="G4" s="88"/>
      <c r="H4" s="293" t="s">
        <v>235</v>
      </c>
      <c r="I4" s="294"/>
      <c r="J4" s="294"/>
      <c r="K4" s="294"/>
      <c r="L4" s="295"/>
    </row>
    <row r="5" spans="1:12" ht="16.149999999999999" thickBo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5.75">
      <c r="A6" s="89" t="s">
        <v>236</v>
      </c>
      <c r="B6" s="90" t="s">
        <v>196</v>
      </c>
      <c r="C6" s="90" t="s">
        <v>237</v>
      </c>
      <c r="D6" s="91" t="s">
        <v>202</v>
      </c>
      <c r="E6" s="91" t="s">
        <v>126</v>
      </c>
      <c r="F6" s="92" t="s">
        <v>125</v>
      </c>
      <c r="G6" s="88"/>
      <c r="H6" s="89" t="s">
        <v>236</v>
      </c>
      <c r="I6" s="90" t="s">
        <v>237</v>
      </c>
      <c r="J6" s="91" t="s">
        <v>202</v>
      </c>
      <c r="K6" s="91" t="s">
        <v>229</v>
      </c>
      <c r="L6" s="92" t="s">
        <v>230</v>
      </c>
    </row>
    <row r="7" spans="1:12" ht="15.75">
      <c r="A7" s="93" t="s">
        <v>238</v>
      </c>
      <c r="B7" s="64">
        <v>99635</v>
      </c>
      <c r="C7" s="64">
        <v>16182</v>
      </c>
      <c r="D7" s="64">
        <v>69207</v>
      </c>
      <c r="E7" s="64">
        <v>17813</v>
      </c>
      <c r="F7" s="64">
        <v>46122</v>
      </c>
      <c r="G7" s="88"/>
      <c r="H7" s="93" t="s">
        <v>238</v>
      </c>
      <c r="I7" s="65" cm="1">
        <f t="array" ref="I7">IFERROR(
ROUND(
IF($A$2="COSTO",
   ((B7*(1+IFERROR(VLOOKUP($D$2,COLORES[],2,FALSE),0)))+C7)
   *(1-IFERROR(_xlfn.XLOOKUP(1,(DESC_PROV[LINEA]=$B$2)*(DESC_PROV[LISTA]=$C$2),DESC_PROV[DESCUENTO]),0)),
   ((B7*(1+IFERROR(VLOOKUP($D$2,COLORES[],2,FALSE),0)))+C7)
   *(1-IFERROR(_xlfn.XLOOKUP(1,(DESC_PROV[LINEA]=$B$2)*(DESC_PROV[LISTA]=$C$2),DESC_PROV[DESCUENTO]),0))
   *(1+VLOOKUP($C$2,LISTAS[],2,FALSE))
   *(1+VLOOKUP($C$2,LISTAS[],3,FALSE))
)
/5,0)*5,0)</f>
        <v>143635</v>
      </c>
      <c r="J7" s="65" cm="1">
        <f t="array" ref="J7">ROUND(
IF($A$2="COSTO",
   ((B7*(1+IFERROR(VLOOKUP($D$2,COLORES[],2,FALSE),0)))+D7)
   *(1-IFERROR(_xlfn.XLOOKUP(1,(DESC_PROV[LINEA]=$B$2)*(DESC_PROV[LISTA]=$C$2),DESC_PROV[DESCUENTO]),0)),
   ((B7*(1+IFERROR(VLOOKUP($D$2,COLORES[],2,FALSE),0)))+D7)
   *(1-IFERROR(_xlfn.XLOOKUP(1,(DESC_PROV[LINEA]=$B$2)*(DESC_PROV[LISTA]=$C$2),DESC_PROV[DESCUENTO]),0))
   *(1+VLOOKUP($C$2,LISTAS[],2,FALSE))
   *(1+VLOOKUP($C$2,LISTAS[],3,FALSE))
)
/5,0)*5</f>
        <v>209400</v>
      </c>
      <c r="K7" s="65" cm="1">
        <f t="array" ref="K7">ROUND(
IF($A$2="COSTO",
   ((B7*(1+IFERROR(VLOOKUP($D$2,COLORES[],2,FALSE),0)))+E7)
   *(1-IFERROR(_xlfn.XLOOKUP(1,(DESC_PROV[LINEA]=$B$2)*(DESC_PROV[LISTA]=$C$2),DESC_PROV[DESCUENTO]),0)),
   ((B7*(1+IFERROR(VLOOKUP($D$2,COLORES[],2,FALSE),0)))+E7)
   *(1-IFERROR(_xlfn.XLOOKUP(1,(DESC_PROV[LINEA]=$B$2)*(DESC_PROV[LISTA]=$C$2),DESC_PROV[DESCUENTO]),0))
   *(1+VLOOKUP($C$2,LISTAS[],2,FALSE))
   *(1+VLOOKUP($C$2,LISTAS[],3,FALSE))
)
/5,0)*5</f>
        <v>145660</v>
      </c>
      <c r="L7" s="66" cm="1">
        <f t="array" ref="L7">ROUND(
IF($A$2="COSTO",
   ((B7*(1+IFERROR(VLOOKUP($D$2,COLORES[],2,FALSE),0)))+F7)
   *(1-IFERROR(_xlfn.XLOOKUP(1,(DESC_PROV[LINEA]=$B$2)*(DESC_PROV[LISTA]=$C$2),DESC_PROV[DESCUENTO]),0)),
   ((B7*(1+IFERROR(VLOOKUP($D$2,COLORES[],2,FALSE),0)))+F7)
   *(1-IFERROR(_xlfn.XLOOKUP(1,(DESC_PROV[LINEA]=$B$2)*(DESC_PROV[LISTA]=$C$2),DESC_PROV[DESCUENTO]),0))
   *(1+VLOOKUP($C$2,LISTAS[],2,FALSE))
   *(1+VLOOKUP($C$2,LISTAS[],3,FALSE))
)
/5,0)*5</f>
        <v>180770</v>
      </c>
    </row>
    <row r="8" spans="1:12" ht="15.75">
      <c r="A8" s="93" t="s">
        <v>239</v>
      </c>
      <c r="B8" s="64">
        <v>114030</v>
      </c>
      <c r="C8" s="64">
        <v>16182</v>
      </c>
      <c r="D8" s="64">
        <v>0</v>
      </c>
      <c r="E8" s="64">
        <v>17813</v>
      </c>
      <c r="F8" s="64">
        <v>46122</v>
      </c>
      <c r="G8" s="88"/>
      <c r="H8" s="93" t="s">
        <v>239</v>
      </c>
      <c r="I8" s="65" cm="1">
        <f t="array" ref="I8">IFERROR(
ROUND(
IF($A$2="COSTO",
   ((B8*(1+IFERROR(VLOOKUP($D$2,COLORES[],2,FALSE),0)))+C8)
   *(1-IFERROR(_xlfn.XLOOKUP(1,(DESC_PROV[LINEA]=$B$2)*(DESC_PROV[LISTA]=$C$2),DESC_PROV[DESCUENTO]),0)),
   ((B8*(1+IFERROR(VLOOKUP($D$2,COLORES[],2,FALSE),0)))+C8)
   *(1-IFERROR(_xlfn.XLOOKUP(1,(DESC_PROV[LINEA]=$B$2)*(DESC_PROV[LISTA]=$C$2),DESC_PROV[DESCUENTO]),0))
   *(1+VLOOKUP($C$2,LISTAS[],2,FALSE))
   *(1+VLOOKUP($C$2,LISTAS[],3,FALSE))
)
/5,0)*5,0)</f>
        <v>161490</v>
      </c>
      <c r="J8" s="65" cm="1">
        <f t="array" ref="J8">ROUND(
IF($A$2="COSTO",
   ((B8*(1+IFERROR(VLOOKUP($D$2,COLORES[],2,FALSE),0)))+D8)
   *(1-IFERROR(_xlfn.XLOOKUP(1,(DESC_PROV[LINEA]=$B$2)*(DESC_PROV[LISTA]=$C$2),DESC_PROV[DESCUENTO]),0)),
   ((B8*(1+IFERROR(VLOOKUP($D$2,COLORES[],2,FALSE),0)))+D8)
   *(1-IFERROR(_xlfn.XLOOKUP(1,(DESC_PROV[LINEA]=$B$2)*(DESC_PROV[LISTA]=$C$2),DESC_PROV[DESCUENTO]),0))
   *(1+VLOOKUP($C$2,LISTAS[],2,FALSE))
   *(1+VLOOKUP($C$2,LISTAS[],3,FALSE))
)
/5,0)*5</f>
        <v>141420</v>
      </c>
      <c r="K8" s="65" cm="1">
        <f t="array" ref="K8">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</f>
        <v>163510</v>
      </c>
      <c r="L8" s="66" cm="1">
        <f t="array" ref="L8">ROUND(
IF($A$2="COSTO",
   ((B8*(1+IFERROR(VLOOKUP($D$2,COLORES[],2,FALSE),0)))+F8)
   *(1-IFERROR(_xlfn.XLOOKUP(1,(DESC_PROV[LINEA]=$B$2)*(DESC_PROV[LISTA]=$C$2),DESC_PROV[DESCUENTO]),0)),
   ((B8*(1+IFERROR(VLOOKUP($D$2,COLORES[],2,FALSE),0)))+F8)
   *(1-IFERROR(_xlfn.XLOOKUP(1,(DESC_PROV[LINEA]=$B$2)*(DESC_PROV[LISTA]=$C$2),DESC_PROV[DESCUENTO]),0))
   *(1+VLOOKUP($C$2,LISTAS[],2,FALSE))
   *(1+VLOOKUP($C$2,LISTAS[],3,FALSE))
)
/5,0)*5</f>
        <v>198620</v>
      </c>
    </row>
    <row r="9" spans="1:12" ht="15.75">
      <c r="A9" s="93" t="s">
        <v>240</v>
      </c>
      <c r="B9" s="64">
        <v>123971</v>
      </c>
      <c r="C9" s="64">
        <v>12772</v>
      </c>
      <c r="D9" s="64">
        <v>54639</v>
      </c>
      <c r="E9" s="64">
        <v>14062</v>
      </c>
      <c r="F9" s="64">
        <v>36413</v>
      </c>
      <c r="G9" s="88"/>
      <c r="H9" s="93" t="s">
        <v>240</v>
      </c>
      <c r="I9" s="65" cm="1">
        <f t="array" ref="I9">IFERROR(
ROUND(
IF($A$2="COSTO",
   ((B9*(1+IFERROR(VLOOKUP($D$2,COLORES[],2,FALSE),0)))+C9)
   *(1-IFERROR(_xlfn.XLOOKUP(1,(DESC_PROV[LINEA]=$B$2)*(DESC_PROV[LISTA]=$C$2),DESC_PROV[DESCUENTO]),0)),
   ((B9*(1+IFERROR(VLOOKUP($D$2,COLORES[],2,FALSE),0)))+C9)
   *(1-IFERROR(_xlfn.XLOOKUP(1,(DESC_PROV[LINEA]=$B$2)*(DESC_PROV[LISTA]=$C$2),DESC_PROV[DESCUENTO]),0))
   *(1+VLOOKUP($C$2,LISTAS[],2,FALSE))
   *(1+VLOOKUP($C$2,LISTAS[],3,FALSE))
)
/5,0)*5,0)</f>
        <v>169590</v>
      </c>
      <c r="J9" s="65" cm="1">
        <f t="array" ref="J9">ROUND(
IF($A$2="COSTO",
   ((B9*(1+IFERROR(VLOOKUP($D$2,COLORES[],2,FALSE),0)))+D9)
   *(1-IFERROR(_xlfn.XLOOKUP(1,(DESC_PROV[LINEA]=$B$2)*(DESC_PROV[LISTA]=$C$2),DESC_PROV[DESCUENTO]),0)),
   ((B9*(1+IFERROR(VLOOKUP($D$2,COLORES[],2,FALSE),0)))+D9)
   *(1-IFERROR(_xlfn.XLOOKUP(1,(DESC_PROV[LINEA]=$B$2)*(DESC_PROV[LISTA]=$C$2),DESC_PROV[DESCUENTO]),0))
   *(1+VLOOKUP($C$2,LISTAS[],2,FALSE))
   *(1+VLOOKUP($C$2,LISTAS[],3,FALSE))
)
/5,0)*5</f>
        <v>221510</v>
      </c>
      <c r="K9" s="65" cm="1">
        <f t="array" ref="K9">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</f>
        <v>171190</v>
      </c>
      <c r="L9" s="66" cm="1">
        <f t="array" ref="L9">ROUND(
IF($A$2="COSTO",
   ((B9*(1+IFERROR(VLOOKUP($D$2,COLORES[],2,FALSE),0)))+F9)
   *(1-IFERROR(_xlfn.XLOOKUP(1,(DESC_PROV[LINEA]=$B$2)*(DESC_PROV[LISTA]=$C$2),DESC_PROV[DESCUENTO]),0)),
   ((B9*(1+IFERROR(VLOOKUP($D$2,COLORES[],2,FALSE),0)))+F9)
   *(1-IFERROR(_xlfn.XLOOKUP(1,(DESC_PROV[LINEA]=$B$2)*(DESC_PROV[LISTA]=$C$2),DESC_PROV[DESCUENTO]),0))
   *(1+VLOOKUP($C$2,LISTAS[],2,FALSE))
   *(1+VLOOKUP($C$2,LISTAS[],3,FALSE))
)
/5,0)*5</f>
        <v>198910</v>
      </c>
    </row>
    <row r="10" spans="1:12" ht="15.75">
      <c r="A10" s="93" t="s">
        <v>241</v>
      </c>
      <c r="B10" s="64">
        <v>138474</v>
      </c>
      <c r="C10" s="64">
        <v>12772</v>
      </c>
      <c r="D10" s="64">
        <v>0</v>
      </c>
      <c r="E10" s="64">
        <v>14062</v>
      </c>
      <c r="F10" s="64">
        <v>36413</v>
      </c>
      <c r="G10" s="88"/>
      <c r="H10" s="93" t="s">
        <v>241</v>
      </c>
      <c r="I10" s="65" cm="1">
        <f t="array" ref="I10">IFERROR(
ROUND(
IF($A$2="COSTO",
   ((B10*(1+IFERROR(VLOOKUP($D$2,COLORES[],2,FALSE),0)))+C10)
   *(1-IFERROR(_xlfn.XLOOKUP(1,(DESC_PROV[LINEA]=$B$2)*(DESC_PROV[LISTA]=$C$2),DESC_PROV[DESCUENTO]),0)),
   ((B10*(1+IFERROR(VLOOKUP($D$2,COLORES[],2,FALSE),0)))+C10)
   *(1-IFERROR(_xlfn.XLOOKUP(1,(DESC_PROV[LINEA]=$B$2)*(DESC_PROV[LISTA]=$C$2),DESC_PROV[DESCUENTO]),0))
   *(1+VLOOKUP($C$2,LISTAS[],2,FALSE))
   *(1+VLOOKUP($C$2,LISTAS[],3,FALSE))
)
/5,0)*5,0)</f>
        <v>187575</v>
      </c>
      <c r="J10" s="65" cm="1">
        <f t="array" ref="J10">ROUND(
IF($A$2="COSTO",
   ((B10*(1+IFERROR(VLOOKUP($D$2,COLORES[],2,FALSE),0)))+D10)
   *(1-IFERROR(_xlfn.XLOOKUP(1,(DESC_PROV[LINEA]=$B$2)*(DESC_PROV[LISTA]=$C$2),DESC_PROV[DESCUENTO]),0)),
   ((B10*(1+IFERROR(VLOOKUP($D$2,COLORES[],2,FALSE),0)))+D10)
   *(1-IFERROR(_xlfn.XLOOKUP(1,(DESC_PROV[LINEA]=$B$2)*(DESC_PROV[LISTA]=$C$2),DESC_PROV[DESCUENTO]),0))
   *(1+VLOOKUP($C$2,LISTAS[],2,FALSE))
   *(1+VLOOKUP($C$2,LISTAS[],3,FALSE))
)
/5,0)*5</f>
        <v>171735</v>
      </c>
      <c r="K10" s="65" cm="1">
        <f t="array" ref="K10">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</f>
        <v>189175</v>
      </c>
      <c r="L10" s="66" cm="1">
        <f t="array" ref="L10">ROUND(
IF($A$2="COSTO",
   ((B10*(1+IFERROR(VLOOKUP($D$2,COLORES[],2,FALSE),0)))+F10)
   *(1-IFERROR(_xlfn.XLOOKUP(1,(DESC_PROV[LINEA]=$B$2)*(DESC_PROV[LISTA]=$C$2),DESC_PROV[DESCUENTO]),0)),
   ((B10*(1+IFERROR(VLOOKUP($D$2,COLORES[],2,FALSE),0)))+F10)
   *(1-IFERROR(_xlfn.XLOOKUP(1,(DESC_PROV[LINEA]=$B$2)*(DESC_PROV[LISTA]=$C$2),DESC_PROV[DESCUENTO]),0))
   *(1+VLOOKUP($C$2,LISTAS[],2,FALSE))
   *(1+VLOOKUP($C$2,LISTAS[],3,FALSE))
)
/5,0)*5</f>
        <v>216895</v>
      </c>
    </row>
    <row r="11" spans="1:12" ht="15.75">
      <c r="A11" s="93" t="s">
        <v>242</v>
      </c>
      <c r="B11" s="64">
        <v>150387</v>
      </c>
      <c r="C11" s="64">
        <v>8519</v>
      </c>
      <c r="D11" s="64">
        <v>36426</v>
      </c>
      <c r="E11" s="64">
        <v>9374</v>
      </c>
      <c r="F11" s="64">
        <v>24273</v>
      </c>
      <c r="G11" s="88"/>
      <c r="H11" s="93" t="s">
        <v>242</v>
      </c>
      <c r="I11" s="65" cm="1">
        <f t="array" ref="I11">IFERROR(
ROUND(
IF($A$2="COSTO",
   ((B11*(1+IFERROR(VLOOKUP($D$2,COLORES[],2,FALSE),0)))+C11)
   *(1-IFERROR(_xlfn.XLOOKUP(1,(DESC_PROV[LINEA]=$B$2)*(DESC_PROV[LISTA]=$C$2),DESC_PROV[DESCUENTO]),0)),
   ((B11*(1+IFERROR(VLOOKUP($D$2,COLORES[],2,FALSE),0)))+C11)
   *(1-IFERROR(_xlfn.XLOOKUP(1,(DESC_PROV[LINEA]=$B$2)*(DESC_PROV[LISTA]=$C$2),DESC_PROV[DESCUENTO]),0))
   *(1+VLOOKUP($C$2,LISTAS[],2,FALSE))
   *(1+VLOOKUP($C$2,LISTAS[],3,FALSE))
)
/5,0)*5,0)</f>
        <v>197075</v>
      </c>
      <c r="J11" s="65" cm="1">
        <f t="array" ref="J11">ROUND(
IF($A$2="COSTO",
   ((B11*(1+IFERROR(VLOOKUP($D$2,COLORES[],2,FALSE),0)))+D11)
   *(1-IFERROR(_xlfn.XLOOKUP(1,(DESC_PROV[LINEA]=$B$2)*(DESC_PROV[LISTA]=$C$2),DESC_PROV[DESCUENTO]),0)),
   ((B11*(1+IFERROR(VLOOKUP($D$2,COLORES[],2,FALSE),0)))+D11)
   *(1-IFERROR(_xlfn.XLOOKUP(1,(DESC_PROV[LINEA]=$B$2)*(DESC_PROV[LISTA]=$C$2),DESC_PROV[DESCUENTO]),0))
   *(1+VLOOKUP($C$2,LISTAS[],2,FALSE))
   *(1+VLOOKUP($C$2,LISTAS[],3,FALSE))
)
/5,0)*5</f>
        <v>231685</v>
      </c>
      <c r="K11" s="65" cm="1">
        <f t="array" ref="K11">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</f>
        <v>198135</v>
      </c>
      <c r="L11" s="66" cm="1">
        <f t="array" ref="L11">ROUND(
IF($A$2="COSTO",
   ((B11*(1+IFERROR(VLOOKUP($D$2,COLORES[],2,FALSE),0)))+F11)
   *(1-IFERROR(_xlfn.XLOOKUP(1,(DESC_PROV[LINEA]=$B$2)*(DESC_PROV[LISTA]=$C$2),DESC_PROV[DESCUENTO]),0)),
   ((B11*(1+IFERROR(VLOOKUP($D$2,COLORES[],2,FALSE),0)))+F11)
   *(1-IFERROR(_xlfn.XLOOKUP(1,(DESC_PROV[LINEA]=$B$2)*(DESC_PROV[LISTA]=$C$2),DESC_PROV[DESCUENTO]),0))
   *(1+VLOOKUP($C$2,LISTAS[],2,FALSE))
   *(1+VLOOKUP($C$2,LISTAS[],3,FALSE))
)
/5,0)*5</f>
        <v>216615</v>
      </c>
    </row>
    <row r="12" spans="1:12" ht="15.75">
      <c r="A12" s="93" t="s">
        <v>243</v>
      </c>
      <c r="B12" s="64">
        <v>158256</v>
      </c>
      <c r="C12" s="64">
        <v>8519</v>
      </c>
      <c r="D12" s="64">
        <v>0</v>
      </c>
      <c r="E12" s="64">
        <v>9374</v>
      </c>
      <c r="F12" s="64">
        <v>24273</v>
      </c>
      <c r="G12" s="88"/>
      <c r="H12" s="93" t="s">
        <v>243</v>
      </c>
      <c r="I12" s="65" cm="1">
        <f t="array" ref="I12">IFERROR(
ROUND(
IF($A$2="COSTO",
   ((B12*(1+IFERROR(VLOOKUP($D$2,COLORES[],2,FALSE),0)))+C12)
   *(1-IFERROR(_xlfn.XLOOKUP(1,(DESC_PROV[LINEA]=$B$2)*(DESC_PROV[LISTA]=$C$2),DESC_PROV[DESCUENTO]),0)),
   ((B12*(1+IFERROR(VLOOKUP($D$2,COLORES[],2,FALSE),0)))+C12)
   *(1-IFERROR(_xlfn.XLOOKUP(1,(DESC_PROV[LINEA]=$B$2)*(DESC_PROV[LISTA]=$C$2),DESC_PROV[DESCUENTO]),0))
   *(1+VLOOKUP($C$2,LISTAS[],2,FALSE))
   *(1+VLOOKUP($C$2,LISTAS[],3,FALSE))
)
/5,0)*5,0)</f>
        <v>206835</v>
      </c>
      <c r="J12" s="65" cm="1">
        <f t="array" ref="J12">ROUND(
IF($A$2="COSTO",
   ((B12*(1+IFERROR(VLOOKUP($D$2,COLORES[],2,FALSE),0)))+D12)
   *(1-IFERROR(_xlfn.XLOOKUP(1,(DESC_PROV[LINEA]=$B$2)*(DESC_PROV[LISTA]=$C$2),DESC_PROV[DESCUENTO]),0)),
   ((B12*(1+IFERROR(VLOOKUP($D$2,COLORES[],2,FALSE),0)))+D12)
   *(1-IFERROR(_xlfn.XLOOKUP(1,(DESC_PROV[LINEA]=$B$2)*(DESC_PROV[LISTA]=$C$2),DESC_PROV[DESCUENTO]),0))
   *(1+VLOOKUP($C$2,LISTAS[],2,FALSE))
   *(1+VLOOKUP($C$2,LISTAS[],3,FALSE))
)
/5,0)*5</f>
        <v>196270</v>
      </c>
      <c r="K12" s="65" cm="1">
        <f t="array" ref="K12">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</f>
        <v>207895</v>
      </c>
      <c r="L12" s="66" cm="1">
        <f t="array" ref="L12">ROUND(
IF($A$2="COSTO",
   ((B12*(1+IFERROR(VLOOKUP($D$2,COLORES[],2,FALSE),0)))+F12)
   *(1-IFERROR(_xlfn.XLOOKUP(1,(DESC_PROV[LINEA]=$B$2)*(DESC_PROV[LISTA]=$C$2),DESC_PROV[DESCUENTO]),0)),
   ((B12*(1+IFERROR(VLOOKUP($D$2,COLORES[],2,FALSE),0)))+F12)
   *(1-IFERROR(_xlfn.XLOOKUP(1,(DESC_PROV[LINEA]=$B$2)*(DESC_PROV[LISTA]=$C$2),DESC_PROV[DESCUENTO]),0))
   *(1+VLOOKUP($C$2,LISTAS[],2,FALSE))
   *(1+VLOOKUP($C$2,LISTAS[],3,FALSE))
)
/5,0)*5</f>
        <v>226370</v>
      </c>
    </row>
    <row r="13" spans="1:12" ht="15.75">
      <c r="A13" s="93" t="s">
        <v>244</v>
      </c>
      <c r="B13" s="64">
        <v>119776</v>
      </c>
      <c r="C13" s="64">
        <v>21291</v>
      </c>
      <c r="D13" s="64">
        <v>91066</v>
      </c>
      <c r="E13" s="64">
        <v>23436</v>
      </c>
      <c r="F13" s="64">
        <v>60686</v>
      </c>
      <c r="G13" s="88"/>
      <c r="H13" s="93" t="s">
        <v>244</v>
      </c>
      <c r="I13" s="65" cm="1">
        <f t="array" ref="I13">IFERROR(
ROUND(
IF($A$2="COSTO",
   ((B13*(1+IFERROR(VLOOKUP($D$2,COLORES[],2,FALSE),0)))+C13)
   *(1-IFERROR(_xlfn.XLOOKUP(1,(DESC_PROV[LINEA]=$B$2)*(DESC_PROV[LISTA]=$C$2),DESC_PROV[DESCUENTO]),0)),
   ((B13*(1+IFERROR(VLOOKUP($D$2,COLORES[],2,FALSE),0)))+C13)
   *(1-IFERROR(_xlfn.XLOOKUP(1,(DESC_PROV[LINEA]=$B$2)*(DESC_PROV[LISTA]=$C$2),DESC_PROV[DESCUENTO]),0))
   *(1+VLOOKUP($C$2,LISTAS[],2,FALSE))
   *(1+VLOOKUP($C$2,LISTAS[],3,FALSE))
)
/5,0)*5,0)</f>
        <v>174950</v>
      </c>
      <c r="J13" s="65" cm="1">
        <f t="array" ref="J13">ROUND(
IF($A$2="COSTO",
   ((B13*(1+IFERROR(VLOOKUP($D$2,COLORES[],2,FALSE),0)))+D13)
   *(1-IFERROR(_xlfn.XLOOKUP(1,(DESC_PROV[LINEA]=$B$2)*(DESC_PROV[LISTA]=$C$2),DESC_PROV[DESCUENTO]),0)),
   ((B13*(1+IFERROR(VLOOKUP($D$2,COLORES[],2,FALSE),0)))+D13)
   *(1-IFERROR(_xlfn.XLOOKUP(1,(DESC_PROV[LINEA]=$B$2)*(DESC_PROV[LISTA]=$C$2),DESC_PROV[DESCUENTO]),0))
   *(1+VLOOKUP($C$2,LISTAS[],2,FALSE))
   *(1+VLOOKUP($C$2,LISTAS[],3,FALSE))
)
/5,0)*5</f>
        <v>261485</v>
      </c>
      <c r="K13" s="65" cm="1">
        <f t="array" ref="K13">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</f>
        <v>177610</v>
      </c>
      <c r="L13" s="66" cm="1">
        <f t="array" ref="L13">ROUND(
IF($A$2="COSTO",
   ((B13*(1+IFERROR(VLOOKUP($D$2,COLORES[],2,FALSE),0)))+F13)
   *(1-IFERROR(_xlfn.XLOOKUP(1,(DESC_PROV[LINEA]=$B$2)*(DESC_PROV[LISTA]=$C$2),DESC_PROV[DESCUENTO]),0)),
   ((B13*(1+IFERROR(VLOOKUP($D$2,COLORES[],2,FALSE),0)))+F13)
   *(1-IFERROR(_xlfn.XLOOKUP(1,(DESC_PROV[LINEA]=$B$2)*(DESC_PROV[LISTA]=$C$2),DESC_PROV[DESCUENTO]),0))
   *(1+VLOOKUP($C$2,LISTAS[],2,FALSE))
   *(1+VLOOKUP($C$2,LISTAS[],3,FALSE))
)
/5,0)*5</f>
        <v>223810</v>
      </c>
    </row>
    <row r="14" spans="1:12" ht="14.65" thickBot="1">
      <c r="A14" s="94" t="s">
        <v>245</v>
      </c>
      <c r="B14" s="64">
        <v>110000</v>
      </c>
      <c r="C14" s="64">
        <v>18000</v>
      </c>
      <c r="D14" s="64">
        <v>60000</v>
      </c>
      <c r="E14" s="64">
        <v>17000</v>
      </c>
      <c r="F14" s="64">
        <v>46000</v>
      </c>
      <c r="G14" s="4"/>
      <c r="H14" s="94" t="s">
        <v>245</v>
      </c>
      <c r="I14" s="65" cm="1">
        <f t="array" ref="I14">IFERROR(
ROUND(
IF($A$2="COSTO",
   ((B14*(1+IFERROR(VLOOKUP($D$2,COLORES[],2,FALSE),0)))+C14)
   *(1-IFERROR(_xlfn.XLOOKUP(1,(DESC_PROV[LINEA]=$B$2)*(DESC_PROV[LISTA]=$C$2),DESC_PROV[DESCUENTO]),0)),
   ((B14*(1+IFERROR(VLOOKUP($D$2,COLORES[],2,FALSE),0)))+C14)
   *(1-IFERROR(_xlfn.XLOOKUP(1,(DESC_PROV[LINEA]=$B$2)*(DESC_PROV[LISTA]=$C$2),DESC_PROV[DESCUENTO]),0))
   *(1+VLOOKUP($C$2,LISTAS[],2,FALSE))
   *(1+VLOOKUP($C$2,LISTAS[],3,FALSE))
)
/5,0)*5,0)</f>
        <v>158745</v>
      </c>
      <c r="J14" s="65" cm="1">
        <f t="array" ref="J14">ROUND(
IF($A$2="COSTO",
   ((B14*(1+IFERROR(VLOOKUP($D$2,COLORES[],2,FALSE),0)))+D14)
   *(1-IFERROR(_xlfn.XLOOKUP(1,(DESC_PROV[LINEA]=$B$2)*(DESC_PROV[LISTA]=$C$2),DESC_PROV[DESCUENTO]),0)),
   ((B14*(1+IFERROR(VLOOKUP($D$2,COLORES[],2,FALSE),0)))+D14)
   *(1-IFERROR(_xlfn.XLOOKUP(1,(DESC_PROV[LINEA]=$B$2)*(DESC_PROV[LISTA]=$C$2),DESC_PROV[DESCUENTO]),0))
   *(1+VLOOKUP($C$2,LISTAS[],2,FALSE))
   *(1+VLOOKUP($C$2,LISTAS[],3,FALSE))
)
/5,0)*5</f>
        <v>210835</v>
      </c>
      <c r="K14" s="65" cm="1">
        <f t="array" ref="K14">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</f>
        <v>157505</v>
      </c>
      <c r="L14" s="66" cm="1">
        <f t="array" ref="L14">ROUND(
IF($A$2="COSTO",
   ((B14*(1+IFERROR(VLOOKUP($D$2,COLORES[],2,FALSE),0)))+F14)
   *(1-IFERROR(_xlfn.XLOOKUP(1,(DESC_PROV[LINEA]=$B$2)*(DESC_PROV[LISTA]=$C$2),DESC_PROV[DESCUENTO]),0)),
   ((B14*(1+IFERROR(VLOOKUP($D$2,COLORES[],2,FALSE),0)))+F14)
   *(1-IFERROR(_xlfn.XLOOKUP(1,(DESC_PROV[LINEA]=$B$2)*(DESC_PROV[LISTA]=$C$2),DESC_PROV[DESCUENTO]),0))
   *(1+VLOOKUP($C$2,LISTAS[],2,FALSE))
   *(1+VLOOKUP($C$2,LISTAS[],3,FALSE))
)
/5,0)*5</f>
        <v>193470</v>
      </c>
    </row>
  </sheetData>
  <mergeCells count="2">
    <mergeCell ref="A4:F4"/>
    <mergeCell ref="H4:L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2A07-68A6-4FC3-B320-3EA02EFBA904}">
  <sheetPr codeName="Hoja8">
    <tabColor rgb="FFFF0000"/>
    <pageSetUpPr fitToPage="1"/>
  </sheetPr>
  <dimension ref="A1:R59"/>
  <sheetViews>
    <sheetView tabSelected="1" topLeftCell="A7" zoomScale="85" zoomScaleNormal="85" workbookViewId="0">
      <selection activeCell="B25" sqref="B25"/>
    </sheetView>
  </sheetViews>
  <sheetFormatPr baseColWidth="10" defaultRowHeight="14.25"/>
  <cols>
    <col min="1" max="1" width="12.59765625" customWidth="1"/>
    <col min="2" max="2" width="11" customWidth="1"/>
    <col min="3" max="4" width="8.73046875"/>
    <col min="5" max="5" width="10.73046875" customWidth="1"/>
    <col min="6" max="6" width="10.59765625" customWidth="1"/>
    <col min="7" max="7" width="8.73046875"/>
    <col min="8" max="8" width="10.265625" customWidth="1"/>
    <col min="9" max="9" width="12.1328125" customWidth="1"/>
    <col min="10" max="13" width="8.73046875"/>
    <col min="14" max="14" width="10.73046875" customWidth="1"/>
    <col min="15" max="15" width="10.59765625" customWidth="1"/>
    <col min="16" max="16" width="10.265625" customWidth="1"/>
    <col min="17" max="17" width="12.1328125" customWidth="1"/>
    <col min="18" max="18" width="9.86328125" customWidth="1"/>
  </cols>
  <sheetData>
    <row r="1" spans="1:18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8" ht="14.65" thickBot="1">
      <c r="A2" s="210" t="str">
        <f>CONTROL!B4</f>
        <v>VENTA</v>
      </c>
      <c r="B2" s="252" t="s">
        <v>400</v>
      </c>
      <c r="C2" s="252" t="str">
        <f>CONTROL!C4</f>
        <v>AMARILLA</v>
      </c>
      <c r="D2" s="253" t="str">
        <f>CONTROL!D4</f>
        <v>BLANCO</v>
      </c>
    </row>
    <row r="3" spans="1:18" ht="14.65" thickBot="1"/>
    <row r="4" spans="1:18" ht="14.65" thickBot="1">
      <c r="A4" s="296" t="s">
        <v>406</v>
      </c>
      <c r="B4" s="297"/>
      <c r="C4" s="297"/>
      <c r="D4" s="297"/>
      <c r="E4" s="297"/>
      <c r="F4" s="297"/>
      <c r="G4" s="297"/>
      <c r="H4" s="297"/>
      <c r="I4" s="298"/>
      <c r="K4" s="299" t="s">
        <v>406</v>
      </c>
      <c r="L4" s="300"/>
      <c r="M4" s="300"/>
      <c r="N4" s="300"/>
      <c r="O4" s="300"/>
      <c r="P4" s="300"/>
      <c r="Q4" s="300"/>
      <c r="R4" s="301"/>
    </row>
    <row r="5" spans="1:18">
      <c r="A5" s="104" t="s">
        <v>4</v>
      </c>
      <c r="B5" s="105" t="s">
        <v>5</v>
      </c>
      <c r="C5" s="105" t="s">
        <v>249</v>
      </c>
      <c r="D5" s="105" t="s">
        <v>250</v>
      </c>
      <c r="E5" s="105" t="s">
        <v>251</v>
      </c>
      <c r="F5" s="105" t="s">
        <v>198</v>
      </c>
      <c r="G5" s="105" t="s">
        <v>199</v>
      </c>
      <c r="H5" s="105" t="s">
        <v>252</v>
      </c>
      <c r="I5" s="106" t="s">
        <v>253</v>
      </c>
      <c r="J5" s="2"/>
      <c r="K5" s="104" t="s">
        <v>4</v>
      </c>
      <c r="L5" s="105" t="s">
        <v>122</v>
      </c>
      <c r="M5" s="105" t="s">
        <v>123</v>
      </c>
      <c r="N5" s="105" t="s">
        <v>124</v>
      </c>
      <c r="O5" s="105" t="s">
        <v>127</v>
      </c>
      <c r="P5" s="105" t="s">
        <v>254</v>
      </c>
      <c r="Q5" s="105" t="s">
        <v>2</v>
      </c>
      <c r="R5" s="106" t="s">
        <v>255</v>
      </c>
    </row>
    <row r="6" spans="1:18">
      <c r="A6" s="107" t="s">
        <v>130</v>
      </c>
      <c r="B6" s="64">
        <v>79094</v>
      </c>
      <c r="C6" s="64">
        <v>6146</v>
      </c>
      <c r="D6" s="64">
        <v>9900</v>
      </c>
      <c r="E6" s="64">
        <v>2231</v>
      </c>
      <c r="F6" s="64">
        <v>2704</v>
      </c>
      <c r="G6" s="64">
        <v>3560</v>
      </c>
      <c r="H6" s="64">
        <v>11145</v>
      </c>
      <c r="I6" s="64">
        <v>36118</v>
      </c>
      <c r="J6" s="2"/>
      <c r="K6" s="107" t="s">
        <v>130</v>
      </c>
      <c r="L6" s="65" cm="1">
        <f t="array" ref="L6">ROUND(
IF($A$2="COSTO",
   ((B6*(1+IFERROR(VLOOKUP($D$2,COLORES[],2,FALSE),0)))+E6)
   *(1-IFERROR(_xlfn.XLOOKUP(1,(DESC_PROV[LINEA]=$B$2)*(DESC_PROV[LISTA]=$C$2),DESC_PROV[DESCUENTO]),0)),
   ((B6*(1+IFERROR(VLOOKUP($D$2,COLORES[],2,FALSE),0)))+E6)
   *(1-IFERROR(_xlfn.XLOOKUP(1,(DESC_PROV[LINEA]=$B$2)*(DESC_PROV[LISTA]=$C$2),DESC_PROV[DESCUENTO]),0))
   *(1+VLOOKUP($C$2,LISTAS[],2,FALSE))
   *(1+VLOOKUP($C$2,LISTAS[],3,FALSE))
)
/5,0)*5</f>
        <v>104220</v>
      </c>
      <c r="M6" s="65" cm="1">
        <f t="array" ref="M6">ROUND(
IF($A$2="COSTO",
   ((B6*(1+IFERROR(VLOOKUP($D$2,COLORES[],2,FALSE),0)))+F6)
   *(1-IFERROR(_xlfn.XLOOKUP(1,(DESC_PROV[LINEA]=$B$2)*(DESC_PROV[LISTA]=$C$2),DESC_PROV[DESCUENTO]),0)),
   ((B6*(1+IFERROR(VLOOKUP($D$2,COLORES[],2,FALSE),0)))+F6)
   *(1-IFERROR(_xlfn.XLOOKUP(1,(DESC_PROV[LINEA]=$B$2)*(DESC_PROV[LISTA]=$C$2),DESC_PROV[DESCUENTO]),0))
   *(1+VLOOKUP($C$2,LISTAS[],2,FALSE))
   *(1+VLOOKUP($C$2,LISTAS[],3,FALSE))
)
/5,0)*5</f>
        <v>104825</v>
      </c>
      <c r="N6" s="65" cm="1">
        <f t="array" ref="N6">ROUND(
IF($A$2="COSTO",
   ((B6*(1+IFERROR(VLOOKUP($D$2,COLORES[],2,FALSE),0)))+G6)
   *(1-IFERROR(_xlfn.XLOOKUP(1,(DESC_PROV[LINEA]=$B$2)*(DESC_PROV[LISTA]=$C$2),DESC_PROV[DESCUENTO]),0)),
   ((B6*(1+IFERROR(VLOOKUP($D$2,COLORES[],2,FALSE),0)))+G6)
   *(1-IFERROR(_xlfn.XLOOKUP(1,(DESC_PROV[LINEA]=$B$2)*(DESC_PROV[LISTA]=$C$2),DESC_PROV[DESCUENTO]),0))
   *(1+VLOOKUP($C$2,LISTAS[],2,FALSE))
   *(1+VLOOKUP($C$2,LISTAS[],3,FALSE))
)
/5,0)*5</f>
        <v>105925</v>
      </c>
      <c r="O6" s="65" cm="1">
        <f t="array" ref="O6">ROUND(
IF($A$2="COSTO",
   ((B6*(1+IFERROR(VLOOKUP($D$2,COLORES[],2,FALSE),0)))+H6)
   *(1-IFERROR(_xlfn.XLOOKUP(1,(DESC_PROV[LINEA]=$B$2)*(DESC_PROV[LISTA]=$C$2),DESC_PROV[DESCUENTO]),0)),
   ((B6*(1+IFERROR(VLOOKUP($D$2,COLORES[],2,FALSE),0)))+H6)
   *(1-IFERROR(_xlfn.XLOOKUP(1,(DESC_PROV[LINEA]=$B$2)*(DESC_PROV[LISTA]=$C$2),DESC_PROV[DESCUENTO]),0))
   *(1+VLOOKUP($C$2,LISTAS[],2,FALSE))
   *(1+VLOOKUP($C$2,LISTAS[],3,FALSE))
)
/5,0)*5</f>
        <v>115645</v>
      </c>
      <c r="P6" s="65" cm="1">
        <f t="array" ref="P6">ROUND(
IF($A$2="COSTO",
   (C6*(1+IFERROR(VLOOKUP($D$2,COLORES[],2,FALSE),0)))
   *(1-IFERROR(_xlfn.XLOOKUP(1,(DESC_PROV[LINEA]=$B$2)*(DESC_PROV[LISTA]=$C$2),DESC_PROV[DESCUENTO]),0)),
   (C6*(1+IFERROR(VLOOKUP($D$2,COLORES[],2,FALSE),0)))
   *(1-IFERROR(_xlfn.XLOOKUP(1,(DESC_PROV[LINEA]=$B$2)*(DESC_PROV[LISTA]=$C$2),DESC_PROV[DESCUENTO]),0))
   *(1+VLOOKUP($C$2,LISTAS[],2,FALSE))
   *(1+VLOOKUP($C$2,LISTAS[],3,FALSE))
)
/5,0)*5</f>
        <v>7875</v>
      </c>
      <c r="Q6" s="65" cm="1">
        <f t="array" ref="Q6">ROUND(
IF($A$2="COSTO",
   (D6*(1+IFERROR(VLOOKUP($D$2,COLORES[],2,FALSE),0)))
   *(1-IFERROR(_xlfn.XLOOKUP(1,(DESC_PROV[LINEA]=$B$2)*(DESC_PROV[LISTA]=$C$2),DESC_PROV[DESCUENTO]),0)),
   (D6*(1+IFERROR(VLOOKUP($D$2,COLORES[],2,FALSE),0)))
   *(1-IFERROR(_xlfn.XLOOKUP(1,(DESC_PROV[LINEA]=$B$2)*(DESC_PROV[LISTA]=$C$2),DESC_PROV[DESCUENTO]),0))
   *(1+VLOOKUP($C$2,LISTAS[],2,FALSE))
   *(1+VLOOKUP($C$2,LISTAS[],4,FALSE))
)
/5,0)*5</f>
        <v>15615</v>
      </c>
      <c r="R6" s="66" cm="1">
        <f t="array" ref="R6">ROUND(
IF($A$2="COSTO",
   ((B6*(1+IFERROR(VLOOKUP($D$2,COLORES[],2,FALSE),0)))+(F6+I6+F6))
   *(1-IFERROR(_xlfn.XLOOKUP(1,(DESC_PROV[LINEA]=$B$2)*(DESC_PROV[LISTA]=$C$2),DESC_PROV[DESCUENTO]),0)),
   ((B6*(1+IFERROR(VLOOKUP($D$2,COLORES[],2,FALSE),0)))+(F6+I6+F6))
   *(1-IFERROR(_xlfn.XLOOKUP(1,(DESC_PROV[LINEA]=$B$2)*(DESC_PROV[LISTA]=$C$2),DESC_PROV[DESCUENTO]),0))
   *(1+VLOOKUP($C$2,LISTAS[],2,FALSE))
   *(1+VLOOKUP($C$2,LISTAS[],3,FALSE))
)
/5,0)*5</f>
        <v>154580</v>
      </c>
    </row>
    <row r="7" spans="1:18">
      <c r="A7" s="107" t="s">
        <v>132</v>
      </c>
      <c r="B7" s="64">
        <v>86656</v>
      </c>
      <c r="C7" s="64">
        <v>6146</v>
      </c>
      <c r="D7" s="64">
        <v>11600</v>
      </c>
      <c r="E7" s="64">
        <v>3124</v>
      </c>
      <c r="F7" s="64">
        <v>3785</v>
      </c>
      <c r="G7" s="64">
        <v>4988</v>
      </c>
      <c r="H7" s="64">
        <v>15609</v>
      </c>
      <c r="I7" s="64">
        <v>41278</v>
      </c>
      <c r="J7" s="2"/>
      <c r="K7" s="107" t="s">
        <v>132</v>
      </c>
      <c r="L7" s="65" cm="1">
        <f t="array" ref="L7">ROUND(
IF($A$2="COSTO",
   ((B7*(1+IFERROR(VLOOKUP($D$2,COLORES[],2,FALSE),0)))+E7)
   *(1-IFERROR(_xlfn.XLOOKUP(1,(DESC_PROV[LINEA]=$B$2)*(DESC_PROV[LISTA]=$C$2),DESC_PROV[DESCUENTO]),0)),
   ((B7*(1+IFERROR(VLOOKUP($D$2,COLORES[],2,FALSE),0)))+E7)
   *(1-IFERROR(_xlfn.XLOOKUP(1,(DESC_PROV[LINEA]=$B$2)*(DESC_PROV[LISTA]=$C$2),DESC_PROV[DESCUENTO]),0))
   *(1+VLOOKUP($C$2,LISTAS[],2,FALSE))
   *(1+VLOOKUP($C$2,LISTAS[],3,FALSE))
)
/5,0)*5</f>
        <v>115055</v>
      </c>
      <c r="M7" s="65" cm="1">
        <f t="array" ref="M7">ROUND(
IF($A$2="COSTO",
   ((B7*(1+IFERROR(VLOOKUP($D$2,COLORES[],2,FALSE),0)))+F7)
   *(1-IFERROR(_xlfn.XLOOKUP(1,(DESC_PROV[LINEA]=$B$2)*(DESC_PROV[LISTA]=$C$2),DESC_PROV[DESCUENTO]),0)),
   ((B7*(1+IFERROR(VLOOKUP($D$2,COLORES[],2,FALSE),0)))+F7)
   *(1-IFERROR(_xlfn.XLOOKUP(1,(DESC_PROV[LINEA]=$B$2)*(DESC_PROV[LISTA]=$C$2),DESC_PROV[DESCUENTO]),0))
   *(1+VLOOKUP($C$2,LISTAS[],2,FALSE))
   *(1+VLOOKUP($C$2,LISTAS[],3,FALSE))
)
/5,0)*5</f>
        <v>115905</v>
      </c>
      <c r="N7" s="65" cm="1">
        <f t="array" ref="N7">ROUND(
IF($A$2="COSTO",
   ((B7*(1+IFERROR(VLOOKUP($D$2,COLORES[],2,FALSE),0)))+G7)
   *(1-IFERROR(_xlfn.XLOOKUP(1,(DESC_PROV[LINEA]=$B$2)*(DESC_PROV[LISTA]=$C$2),DESC_PROV[DESCUENTO]),0)),
   ((B7*(1+IFERROR(VLOOKUP($D$2,COLORES[],2,FALSE),0)))+G7)
   *(1-IFERROR(_xlfn.XLOOKUP(1,(DESC_PROV[LINEA]=$B$2)*(DESC_PROV[LISTA]=$C$2),DESC_PROV[DESCUENTO]),0))
   *(1+VLOOKUP($C$2,LISTAS[],2,FALSE))
   *(1+VLOOKUP($C$2,LISTAS[],3,FALSE))
)
/5,0)*5</f>
        <v>117445</v>
      </c>
      <c r="O7" s="65" cm="1">
        <f t="array" ref="O7">ROUND(
IF($A$2="COSTO",
   ((B7*(1+IFERROR(VLOOKUP($D$2,COLORES[],2,FALSE),0)))+H7)
   *(1-IFERROR(_xlfn.XLOOKUP(1,(DESC_PROV[LINEA]=$B$2)*(DESC_PROV[LISTA]=$C$2),DESC_PROV[DESCUENTO]),0)),
   ((B7*(1+IFERROR(VLOOKUP($D$2,COLORES[],2,FALSE),0)))+H7)
   *(1-IFERROR(_xlfn.XLOOKUP(1,(DESC_PROV[LINEA]=$B$2)*(DESC_PROV[LISTA]=$C$2),DESC_PROV[DESCUENTO]),0))
   *(1+VLOOKUP($C$2,LISTAS[],2,FALSE))
   *(1+VLOOKUP($C$2,LISTAS[],3,FALSE))
)
/5,0)*5</f>
        <v>131055</v>
      </c>
      <c r="P7" s="65" cm="1">
        <f t="array" ref="P7">ROUND(
IF($A$2="COSTO",
   (C7*(1+IFERROR(VLOOKUP($D$2,COLORES[],2,FALSE),0)))
   *(1-IFERROR(_xlfn.XLOOKUP(1,(DESC_PROV[LINEA]=$B$2)*(DESC_PROV[LISTA]=$C$2),DESC_PROV[DESCUENTO]),0)),
   (C7*(1+IFERROR(VLOOKUP($D$2,COLORES[],2,FALSE),0)))
   *(1-IFERROR(_xlfn.XLOOKUP(1,(DESC_PROV[LINEA]=$B$2)*(DESC_PROV[LISTA]=$C$2),DESC_PROV[DESCUENTO]),0))
   *(1+VLOOKUP($C$2,LISTAS[],2,FALSE))
   *(1+VLOOKUP($C$2,LISTAS[],3,FALSE))
)
/5,0)*5</f>
        <v>7875</v>
      </c>
      <c r="Q7" s="65" cm="1">
        <f t="array" ref="Q7">ROUND(
IF($A$2="COSTO",
   (D7*(1+IFERROR(VLOOKUP($D$2,COLORES[],2,FALSE),0)))
   *(1-IFERROR(_xlfn.XLOOKUP(1,(DESC_PROV[LINEA]=$B$2)*(DESC_PROV[LISTA]=$C$2),DESC_PROV[DESCUENTO]),0)),
   (D7*(1+IFERROR(VLOOKUP($D$2,COLORES[],2,FALSE),0)))
   *(1-IFERROR(_xlfn.XLOOKUP(1,(DESC_PROV[LINEA]=$B$2)*(DESC_PROV[LISTA]=$C$2),DESC_PROV[DESCUENTO]),0))
   *(1+VLOOKUP($C$2,LISTAS[],2,FALSE))
   *(1+VLOOKUP($C$2,LISTAS[],4,FALSE))
)
/5,0)*5</f>
        <v>18295</v>
      </c>
      <c r="R7" s="66" cm="1">
        <f t="array" ref="R7">ROUND(
IF($A$2="COSTO",
   ((B7*(1+IFERROR(VLOOKUP($D$2,COLORES[],2,FALSE),0)))+(F7+I7+F7))
   *(1-IFERROR(_xlfn.XLOOKUP(1,(DESC_PROV[LINEA]=$B$2)*(DESC_PROV[LISTA]=$C$2),DESC_PROV[DESCUENTO]),0)),
   ((B7*(1+IFERROR(VLOOKUP($D$2,COLORES[],2,FALSE),0)))+(F7+I7+F7))
   *(1-IFERROR(_xlfn.XLOOKUP(1,(DESC_PROV[LINEA]=$B$2)*(DESC_PROV[LISTA]=$C$2),DESC_PROV[DESCUENTO]),0))
   *(1+VLOOKUP($C$2,LISTAS[],2,FALSE))
   *(1+VLOOKUP($C$2,LISTAS[],3,FALSE))
)
/5,0)*5</f>
        <v>173655</v>
      </c>
    </row>
    <row r="8" spans="1:18">
      <c r="A8" s="107" t="s">
        <v>134</v>
      </c>
      <c r="B8" s="64">
        <v>95394</v>
      </c>
      <c r="C8" s="64">
        <v>6146</v>
      </c>
      <c r="D8" s="64">
        <v>13300</v>
      </c>
      <c r="E8" s="64">
        <v>4016</v>
      </c>
      <c r="F8" s="64">
        <v>4872</v>
      </c>
      <c r="G8" s="64">
        <v>6410</v>
      </c>
      <c r="H8" s="64">
        <v>20067</v>
      </c>
      <c r="I8" s="64">
        <v>46437</v>
      </c>
      <c r="J8" s="2"/>
      <c r="K8" s="107" t="s">
        <v>134</v>
      </c>
      <c r="L8" s="65" cm="1">
        <f t="array" ref="L8">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</f>
        <v>127400</v>
      </c>
      <c r="M8" s="65" cm="1">
        <f t="array" ref="M8">ROUND(
IF($A$2="COSTO",
   ((B8*(1+IFERROR(VLOOKUP($D$2,COLORES[],2,FALSE),0)))+F8)
   *(1-IFERROR(_xlfn.XLOOKUP(1,(DESC_PROV[LINEA]=$B$2)*(DESC_PROV[LISTA]=$C$2),DESC_PROV[DESCUENTO]),0)),
   ((B8*(1+IFERROR(VLOOKUP($D$2,COLORES[],2,FALSE),0)))+F8)
   *(1-IFERROR(_xlfn.XLOOKUP(1,(DESC_PROV[LINEA]=$B$2)*(DESC_PROV[LISTA]=$C$2),DESC_PROV[DESCUENTO]),0))
   *(1+VLOOKUP($C$2,LISTAS[],2,FALSE))
   *(1+VLOOKUP($C$2,LISTAS[],3,FALSE))
)
/5,0)*5</f>
        <v>128495</v>
      </c>
      <c r="N8" s="65" cm="1">
        <f t="array" ref="N8">ROUND(
IF($A$2="COSTO",
   ((B8*(1+IFERROR(VLOOKUP($D$2,COLORES[],2,FALSE),0)))+G8)
   *(1-IFERROR(_xlfn.XLOOKUP(1,(DESC_PROV[LINEA]=$B$2)*(DESC_PROV[LISTA]=$C$2),DESC_PROV[DESCUENTO]),0)),
   ((B8*(1+IFERROR(VLOOKUP($D$2,COLORES[],2,FALSE),0)))+G8)
   *(1-IFERROR(_xlfn.XLOOKUP(1,(DESC_PROV[LINEA]=$B$2)*(DESC_PROV[LISTA]=$C$2),DESC_PROV[DESCUENTO]),0))
   *(1+VLOOKUP($C$2,LISTAS[],2,FALSE))
   *(1+VLOOKUP($C$2,LISTAS[],3,FALSE))
)
/5,0)*5</f>
        <v>130465</v>
      </c>
      <c r="O8" s="65" cm="1">
        <f t="array" ref="O8">ROUND(
IF($A$2="COSTO",
   ((B8*(1+IFERROR(VLOOKUP($D$2,COLORES[],2,FALSE),0)))+H8)
   *(1-IFERROR(_xlfn.XLOOKUP(1,(DESC_PROV[LINEA]=$B$2)*(DESC_PROV[LISTA]=$C$2),DESC_PROV[DESCUENTO]),0)),
   ((B8*(1+IFERROR(VLOOKUP($D$2,COLORES[],2,FALSE),0)))+H8)
   *(1-IFERROR(_xlfn.XLOOKUP(1,(DESC_PROV[LINEA]=$B$2)*(DESC_PROV[LISTA]=$C$2),DESC_PROV[DESCUENTO]),0))
   *(1+VLOOKUP($C$2,LISTAS[],2,FALSE))
   *(1+VLOOKUP($C$2,LISTAS[],3,FALSE))
)
/5,0)*5</f>
        <v>147970</v>
      </c>
      <c r="P8" s="65" cm="1">
        <f t="array" ref="P8">ROUND(
IF($A$2="COSTO",
   (C8*(1+IFERROR(VLOOKUP($D$2,COLORES[],2,FALSE),0)))
   *(1-IFERROR(_xlfn.XLOOKUP(1,(DESC_PROV[LINEA]=$B$2)*(DESC_PROV[LISTA]=$C$2),DESC_PROV[DESCUENTO]),0)),
   (C8*(1+IFERROR(VLOOKUP($D$2,COLORES[],2,FALSE),0)))
   *(1-IFERROR(_xlfn.XLOOKUP(1,(DESC_PROV[LINEA]=$B$2)*(DESC_PROV[LISTA]=$C$2),DESC_PROV[DESCUENTO]),0))
   *(1+VLOOKUP($C$2,LISTAS[],2,FALSE))
   *(1+VLOOKUP($C$2,LISTAS[],3,FALSE))
)
/5,0)*5</f>
        <v>7875</v>
      </c>
      <c r="Q8" s="65" cm="1">
        <f t="array" ref="Q8">ROUND(
IF($A$2="COSTO",
   (D8*(1+IFERROR(VLOOKUP($D$2,COLORES[],2,FALSE),0)))
   *(1-IFERROR(_xlfn.XLOOKUP(1,(DESC_PROV[LINEA]=$B$2)*(DESC_PROV[LISTA]=$C$2),DESC_PROV[DESCUENTO]),0)),
   (D8*(1+IFERROR(VLOOKUP($D$2,COLORES[],2,FALSE),0)))
   *(1-IFERROR(_xlfn.XLOOKUP(1,(DESC_PROV[LINEA]=$B$2)*(DESC_PROV[LISTA]=$C$2),DESC_PROV[DESCUENTO]),0))
   *(1+VLOOKUP($C$2,LISTAS[],2,FALSE))
   *(1+VLOOKUP($C$2,LISTAS[],4,FALSE))
)
/5,0)*5</f>
        <v>20980</v>
      </c>
      <c r="R8" s="66" cm="1">
        <f t="array" ref="R8">ROUND(
IF($A$2="COSTO",
   ((B8*(1+IFERROR(VLOOKUP($D$2,COLORES[],2,FALSE),0)))+(F8+I8+F8))
   *(1-IFERROR(_xlfn.XLOOKUP(1,(DESC_PROV[LINEA]=$B$2)*(DESC_PROV[LISTA]=$C$2),DESC_PROV[DESCUENTO]),0)),
   ((B8*(1+IFERROR(VLOOKUP($D$2,COLORES[],2,FALSE),0)))+(F8+I8+F8))
   *(1-IFERROR(_xlfn.XLOOKUP(1,(DESC_PROV[LINEA]=$B$2)*(DESC_PROV[LISTA]=$C$2),DESC_PROV[DESCUENTO]),0))
   *(1+VLOOKUP($C$2,LISTAS[],2,FALSE))
   *(1+VLOOKUP($C$2,LISTAS[],3,FALSE))
)
/5,0)*5</f>
        <v>194250</v>
      </c>
    </row>
    <row r="9" spans="1:18">
      <c r="A9" s="107" t="s">
        <v>422</v>
      </c>
      <c r="B9" s="64">
        <v>104138</v>
      </c>
      <c r="C9" s="64">
        <v>6146</v>
      </c>
      <c r="D9" s="64">
        <v>15000</v>
      </c>
      <c r="E9" s="64">
        <v>4919</v>
      </c>
      <c r="F9" s="64">
        <v>5954</v>
      </c>
      <c r="G9" s="64">
        <v>7838</v>
      </c>
      <c r="H9" s="64">
        <v>24524</v>
      </c>
      <c r="I9" s="64">
        <v>51597</v>
      </c>
      <c r="J9" s="2"/>
      <c r="K9" s="107" t="s">
        <v>422</v>
      </c>
      <c r="L9" s="65" cm="1">
        <f t="array" ref="L9">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</f>
        <v>139760</v>
      </c>
      <c r="M9" s="65" cm="1">
        <f t="array" ref="M9">ROUND(
IF($A$2="COSTO",
   ((B9*(1+IFERROR(VLOOKUP($D$2,COLORES[],2,FALSE),0)))+F9)
   *(1-IFERROR(_xlfn.XLOOKUP(1,(DESC_PROV[LINEA]=$B$2)*(DESC_PROV[LISTA]=$C$2),DESC_PROV[DESCUENTO]),0)),
   ((B9*(1+IFERROR(VLOOKUP($D$2,COLORES[],2,FALSE),0)))+F9)
   *(1-IFERROR(_xlfn.XLOOKUP(1,(DESC_PROV[LINEA]=$B$2)*(DESC_PROV[LISTA]=$C$2),DESC_PROV[DESCUENTO]),0))
   *(1+VLOOKUP($C$2,LISTAS[],2,FALSE))
   *(1+VLOOKUP($C$2,LISTAS[],3,FALSE))
)
/5,0)*5</f>
        <v>141085</v>
      </c>
      <c r="N9" s="65" cm="1">
        <f t="array" ref="N9">ROUND(
IF($A$2="COSTO",
   ((B9*(1+IFERROR(VLOOKUP($D$2,COLORES[],2,FALSE),0)))+G9)
   *(1-IFERROR(_xlfn.XLOOKUP(1,(DESC_PROV[LINEA]=$B$2)*(DESC_PROV[LISTA]=$C$2),DESC_PROV[DESCUENTO]),0)),
   ((B9*(1+IFERROR(VLOOKUP($D$2,COLORES[],2,FALSE),0)))+G9)
   *(1-IFERROR(_xlfn.XLOOKUP(1,(DESC_PROV[LINEA]=$B$2)*(DESC_PROV[LISTA]=$C$2),DESC_PROV[DESCUENTO]),0))
   *(1+VLOOKUP($C$2,LISTAS[],2,FALSE))
   *(1+VLOOKUP($C$2,LISTAS[],3,FALSE))
)
/5,0)*5</f>
        <v>143500</v>
      </c>
      <c r="O9" s="65" cm="1">
        <f t="array" ref="O9">ROUND(
IF($A$2="COSTO",
   ((B9*(1+IFERROR(VLOOKUP($D$2,COLORES[],2,FALSE),0)))+H9)
   *(1-IFERROR(_xlfn.XLOOKUP(1,(DESC_PROV[LINEA]=$B$2)*(DESC_PROV[LISTA]=$C$2),DESC_PROV[DESCUENTO]),0)),
   ((B9*(1+IFERROR(VLOOKUP($D$2,COLORES[],2,FALSE),0)))+H9)
   *(1-IFERROR(_xlfn.XLOOKUP(1,(DESC_PROV[LINEA]=$B$2)*(DESC_PROV[LISTA]=$C$2),DESC_PROV[DESCUENTO]),0))
   *(1+VLOOKUP($C$2,LISTAS[],2,FALSE))
   *(1+VLOOKUP($C$2,LISTAS[],3,FALSE))
)
/5,0)*5</f>
        <v>164885</v>
      </c>
      <c r="P9" s="65" cm="1">
        <f t="array" ref="P9">ROUND(
IF($A$2="COSTO",
   (C9*(1+IFERROR(VLOOKUP($D$2,COLORES[],2,FALSE),0)))
   *(1-IFERROR(_xlfn.XLOOKUP(1,(DESC_PROV[LINEA]=$B$2)*(DESC_PROV[LISTA]=$C$2),DESC_PROV[DESCUENTO]),0)),
   (C9*(1+IFERROR(VLOOKUP($D$2,COLORES[],2,FALSE),0)))
   *(1-IFERROR(_xlfn.XLOOKUP(1,(DESC_PROV[LINEA]=$B$2)*(DESC_PROV[LISTA]=$C$2),DESC_PROV[DESCUENTO]),0))
   *(1+VLOOKUP($C$2,LISTAS[],2,FALSE))
   *(1+VLOOKUP($C$2,LISTAS[],3,FALSE))
)
/5,0)*5</f>
        <v>7875</v>
      </c>
      <c r="Q9" s="65" cm="1">
        <f t="array" ref="Q9">ROUND(
IF($A$2="COSTO",
   (D9*(1+IFERROR(VLOOKUP($D$2,COLORES[],2,FALSE),0)))
   *(1-IFERROR(_xlfn.XLOOKUP(1,(DESC_PROV[LINEA]=$B$2)*(DESC_PROV[LISTA]=$C$2),DESC_PROV[DESCUENTO]),0)),
   (D9*(1+IFERROR(VLOOKUP($D$2,COLORES[],2,FALSE),0)))
   *(1-IFERROR(_xlfn.XLOOKUP(1,(DESC_PROV[LINEA]=$B$2)*(DESC_PROV[LISTA]=$C$2),DESC_PROV[DESCUENTO]),0))
   *(1+VLOOKUP($C$2,LISTAS[],2,FALSE))
   *(1+VLOOKUP($C$2,LISTAS[],4,FALSE))
)
/5,0)*5</f>
        <v>23660</v>
      </c>
      <c r="R9" s="66" cm="1">
        <f t="array" ref="R9">ROUND(
IF($A$2="COSTO",
   ((B9*(1+IFERROR(VLOOKUP($D$2,COLORES[],2,FALSE),0)))+(F9+I9+F9))
   *(1-IFERROR(_xlfn.XLOOKUP(1,(DESC_PROV[LINEA]=$B$2)*(DESC_PROV[LISTA]=$C$2),DESC_PROV[DESCUENTO]),0)),
   ((B9*(1+IFERROR(VLOOKUP($D$2,COLORES[],2,FALSE),0)))+(F9+I9+F9))
   *(1-IFERROR(_xlfn.XLOOKUP(1,(DESC_PROV[LINEA]=$B$2)*(DESC_PROV[LISTA]=$C$2),DESC_PROV[DESCUENTO]),0))
   *(1+VLOOKUP($C$2,LISTAS[],2,FALSE))
   *(1+VLOOKUP($C$2,LISTAS[],3,FALSE))
)
/5,0)*5</f>
        <v>214840</v>
      </c>
    </row>
    <row r="10" spans="1:18">
      <c r="A10" s="107" t="s">
        <v>423</v>
      </c>
      <c r="B10" s="64">
        <v>119019</v>
      </c>
      <c r="C10" s="64">
        <v>6146</v>
      </c>
      <c r="D10" s="64">
        <v>17550</v>
      </c>
      <c r="E10" s="64">
        <v>6248</v>
      </c>
      <c r="F10" s="64">
        <v>7571</v>
      </c>
      <c r="G10" s="64">
        <v>9970</v>
      </c>
      <c r="H10" s="64">
        <v>31211</v>
      </c>
      <c r="I10" s="64">
        <v>59337</v>
      </c>
      <c r="J10" s="2"/>
      <c r="K10" s="107" t="s">
        <v>423</v>
      </c>
      <c r="L10" s="65" cm="1">
        <f t="array" ref="L10">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</f>
        <v>160535</v>
      </c>
      <c r="M10" s="65" cm="1">
        <f t="array" ref="M10">ROUND(
IF($A$2="COSTO",
   ((B10*(1+IFERROR(VLOOKUP($D$2,COLORES[],2,FALSE),0)))+F10)
   *(1-IFERROR(_xlfn.XLOOKUP(1,(DESC_PROV[LINEA]=$B$2)*(DESC_PROV[LISTA]=$C$2),DESC_PROV[DESCUENTO]),0)),
   ((B10*(1+IFERROR(VLOOKUP($D$2,COLORES[],2,FALSE),0)))+F10)
   *(1-IFERROR(_xlfn.XLOOKUP(1,(DESC_PROV[LINEA]=$B$2)*(DESC_PROV[LISTA]=$C$2),DESC_PROV[DESCUENTO]),0))
   *(1+VLOOKUP($C$2,LISTAS[],2,FALSE))
   *(1+VLOOKUP($C$2,LISTAS[],3,FALSE))
)
/5,0)*5</f>
        <v>162230</v>
      </c>
      <c r="N10" s="65" cm="1">
        <f t="array" ref="N10">ROUND(
IF($A$2="COSTO",
   ((B10*(1+IFERROR(VLOOKUP($D$2,COLORES[],2,FALSE),0)))+G10)
   *(1-IFERROR(_xlfn.XLOOKUP(1,(DESC_PROV[LINEA]=$B$2)*(DESC_PROV[LISTA]=$C$2),DESC_PROV[DESCUENTO]),0)),
   ((B10*(1+IFERROR(VLOOKUP($D$2,COLORES[],2,FALSE),0)))+G10)
   *(1-IFERROR(_xlfn.XLOOKUP(1,(DESC_PROV[LINEA]=$B$2)*(DESC_PROV[LISTA]=$C$2),DESC_PROV[DESCUENTO]),0))
   *(1+VLOOKUP($C$2,LISTAS[],2,FALSE))
   *(1+VLOOKUP($C$2,LISTAS[],3,FALSE))
)
/5,0)*5</f>
        <v>165305</v>
      </c>
      <c r="O10" s="65" cm="1">
        <f t="array" ref="O10">ROUND(
IF($A$2="COSTO",
   ((B10*(1+IFERROR(VLOOKUP($D$2,COLORES[],2,FALSE),0)))+H10)
   *(1-IFERROR(_xlfn.XLOOKUP(1,(DESC_PROV[LINEA]=$B$2)*(DESC_PROV[LISTA]=$C$2),DESC_PROV[DESCUENTO]),0)),
   ((B10*(1+IFERROR(VLOOKUP($D$2,COLORES[],2,FALSE),0)))+H10)
   *(1-IFERROR(_xlfn.XLOOKUP(1,(DESC_PROV[LINEA]=$B$2)*(DESC_PROV[LISTA]=$C$2),DESC_PROV[DESCUENTO]),0))
   *(1+VLOOKUP($C$2,LISTAS[],2,FALSE))
   *(1+VLOOKUP($C$2,LISTAS[],3,FALSE))
)
/5,0)*5</f>
        <v>192525</v>
      </c>
      <c r="P10" s="65" cm="1">
        <f t="array" ref="P10">ROUND(
IF($A$2="COSTO",
   (C10*(1+IFERROR(VLOOKUP($D$2,COLORES[],2,FALSE),0)))
   *(1-IFERROR(_xlfn.XLOOKUP(1,(DESC_PROV[LINEA]=$B$2)*(DESC_PROV[LISTA]=$C$2),DESC_PROV[DESCUENTO]),0)),
   (C10*(1+IFERROR(VLOOKUP($D$2,COLORES[],2,FALSE),0)))
   *(1-IFERROR(_xlfn.XLOOKUP(1,(DESC_PROV[LINEA]=$B$2)*(DESC_PROV[LISTA]=$C$2),DESC_PROV[DESCUENTO]),0))
   *(1+VLOOKUP($C$2,LISTAS[],2,FALSE))
   *(1+VLOOKUP($C$2,LISTAS[],3,FALSE))
)
/5,0)*5</f>
        <v>7875</v>
      </c>
      <c r="Q10" s="65" cm="1">
        <f t="array" ref="Q10">ROUND(
IF($A$2="COSTO",
   (D10*(1+IFERROR(VLOOKUP($D$2,COLORES[],2,FALSE),0)))
   *(1-IFERROR(_xlfn.XLOOKUP(1,(DESC_PROV[LINEA]=$B$2)*(DESC_PROV[LISTA]=$C$2),DESC_PROV[DESCUENTO]),0)),
   (D10*(1+IFERROR(VLOOKUP($D$2,COLORES[],2,FALSE),0)))
   *(1-IFERROR(_xlfn.XLOOKUP(1,(DESC_PROV[LINEA]=$B$2)*(DESC_PROV[LISTA]=$C$2),DESC_PROV[DESCUENTO]),0))
   *(1+VLOOKUP($C$2,LISTAS[],2,FALSE))
   *(1+VLOOKUP($C$2,LISTAS[],4,FALSE))
)
/5,0)*5</f>
        <v>27680</v>
      </c>
      <c r="R10" s="66" cm="1">
        <f t="array" ref="R10">ROUND(
IF($A$2="COSTO",
   ((B10*(1+IFERROR(VLOOKUP($D$2,COLORES[],2,FALSE),0)))+(F10+I10+F10))
   *(1-IFERROR(_xlfn.XLOOKUP(1,(DESC_PROV[LINEA]=$B$2)*(DESC_PROV[LISTA]=$C$2),DESC_PROV[DESCUENTO]),0)),
   ((B10*(1+IFERROR(VLOOKUP($D$2,COLORES[],2,FALSE),0)))+(F10+I10+F10))
   *(1-IFERROR(_xlfn.XLOOKUP(1,(DESC_PROV[LINEA]=$B$2)*(DESC_PROV[LISTA]=$C$2),DESC_PROV[DESCUENTO]),0))
   *(1+VLOOKUP($C$2,LISTAS[],2,FALSE))
   *(1+VLOOKUP($C$2,LISTAS[],3,FALSE))
)
/5,0)*5</f>
        <v>247975</v>
      </c>
    </row>
    <row r="11" spans="1:18">
      <c r="A11" s="107" t="s">
        <v>424</v>
      </c>
      <c r="B11" s="64">
        <v>134413</v>
      </c>
      <c r="C11" s="64">
        <v>6146</v>
      </c>
      <c r="D11" s="64">
        <v>20100</v>
      </c>
      <c r="E11" s="64">
        <v>7592</v>
      </c>
      <c r="F11" s="64">
        <v>9193</v>
      </c>
      <c r="G11" s="64">
        <v>12107</v>
      </c>
      <c r="H11" s="64">
        <v>37904</v>
      </c>
      <c r="I11" s="64">
        <v>67076</v>
      </c>
      <c r="J11" s="2"/>
      <c r="K11" s="107" t="s">
        <v>424</v>
      </c>
      <c r="L11" s="65" cm="1">
        <f t="array" ref="L11">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</f>
        <v>181985</v>
      </c>
      <c r="M11" s="65" cm="1">
        <f t="array" ref="M11">ROUND(
IF($A$2="COSTO",
   ((B11*(1+IFERROR(VLOOKUP($D$2,COLORES[],2,FALSE),0)))+F11)
   *(1-IFERROR(_xlfn.XLOOKUP(1,(DESC_PROV[LINEA]=$B$2)*(DESC_PROV[LISTA]=$C$2),DESC_PROV[DESCUENTO]),0)),
   ((B11*(1+IFERROR(VLOOKUP($D$2,COLORES[],2,FALSE),0)))+F11)
   *(1-IFERROR(_xlfn.XLOOKUP(1,(DESC_PROV[LINEA]=$B$2)*(DESC_PROV[LISTA]=$C$2),DESC_PROV[DESCUENTO]),0))
   *(1+VLOOKUP($C$2,LISTAS[],2,FALSE))
   *(1+VLOOKUP($C$2,LISTAS[],3,FALSE))
)
/5,0)*5</f>
        <v>184035</v>
      </c>
      <c r="N11" s="65" cm="1">
        <f t="array" ref="N11">ROUND(
IF($A$2="COSTO",
   ((B11*(1+IFERROR(VLOOKUP($D$2,COLORES[],2,FALSE),0)))+G11)
   *(1-IFERROR(_xlfn.XLOOKUP(1,(DESC_PROV[LINEA]=$B$2)*(DESC_PROV[LISTA]=$C$2),DESC_PROV[DESCUENTO]),0)),
   ((B11*(1+IFERROR(VLOOKUP($D$2,COLORES[],2,FALSE),0)))+G11)
   *(1-IFERROR(_xlfn.XLOOKUP(1,(DESC_PROV[LINEA]=$B$2)*(DESC_PROV[LISTA]=$C$2),DESC_PROV[DESCUENTO]),0))
   *(1+VLOOKUP($C$2,LISTAS[],2,FALSE))
   *(1+VLOOKUP($C$2,LISTAS[],3,FALSE))
)
/5,0)*5</f>
        <v>187770</v>
      </c>
      <c r="O11" s="65" cm="1">
        <f t="array" ref="O11">ROUND(
IF($A$2="COSTO",
   ((B11*(1+IFERROR(VLOOKUP($D$2,COLORES[],2,FALSE),0)))+H11)
   *(1-IFERROR(_xlfn.XLOOKUP(1,(DESC_PROV[LINEA]=$B$2)*(DESC_PROV[LISTA]=$C$2),DESC_PROV[DESCUENTO]),0)),
   ((B11*(1+IFERROR(VLOOKUP($D$2,COLORES[],2,FALSE),0)))+H11)
   *(1-IFERROR(_xlfn.XLOOKUP(1,(DESC_PROV[LINEA]=$B$2)*(DESC_PROV[LISTA]=$C$2),DESC_PROV[DESCUENTO]),0))
   *(1+VLOOKUP($C$2,LISTAS[],2,FALSE))
   *(1+VLOOKUP($C$2,LISTAS[],3,FALSE))
)
/5,0)*5</f>
        <v>220830</v>
      </c>
      <c r="P11" s="65" cm="1">
        <f t="array" ref="P11">ROUND(
IF($A$2="COSTO",
   (C11*(1+IFERROR(VLOOKUP($D$2,COLORES[],2,FALSE),0)))
   *(1-IFERROR(_xlfn.XLOOKUP(1,(DESC_PROV[LINEA]=$B$2)*(DESC_PROV[LISTA]=$C$2),DESC_PROV[DESCUENTO]),0)),
   (C11*(1+IFERROR(VLOOKUP($D$2,COLORES[],2,FALSE),0)))
   *(1-IFERROR(_xlfn.XLOOKUP(1,(DESC_PROV[LINEA]=$B$2)*(DESC_PROV[LISTA]=$C$2),DESC_PROV[DESCUENTO]),0))
   *(1+VLOOKUP($C$2,LISTAS[],2,FALSE))
   *(1+VLOOKUP($C$2,LISTAS[],3,FALSE))
)
/5,0)*5</f>
        <v>7875</v>
      </c>
      <c r="Q11" s="65" cm="1">
        <f t="array" ref="Q11">ROUND(
IF($A$2="COSTO",
   (D11*(1+IFERROR(VLOOKUP($D$2,COLORES[],2,FALSE),0)))
   *(1-IFERROR(_xlfn.XLOOKUP(1,(DESC_PROV[LINEA]=$B$2)*(DESC_PROV[LISTA]=$C$2),DESC_PROV[DESCUENTO]),0)),
   (D11*(1+IFERROR(VLOOKUP($D$2,COLORES[],2,FALSE),0)))
   *(1-IFERROR(_xlfn.XLOOKUP(1,(DESC_PROV[LINEA]=$B$2)*(DESC_PROV[LISTA]=$C$2),DESC_PROV[DESCUENTO]),0))
   *(1+VLOOKUP($C$2,LISTAS[],2,FALSE))
   *(1+VLOOKUP($C$2,LISTAS[],4,FALSE))
)
/5,0)*5</f>
        <v>31705</v>
      </c>
      <c r="R11" s="66" cm="1">
        <f t="array" ref="R11">ROUND(
IF($A$2="COSTO",
   ((B11*(1+IFERROR(VLOOKUP($D$2,COLORES[],2,FALSE),0)))+(F11+I11+F11))
   *(1-IFERROR(_xlfn.XLOOKUP(1,(DESC_PROV[LINEA]=$B$2)*(DESC_PROV[LISTA]=$C$2),DESC_PROV[DESCUENTO]),0)),
   ((B11*(1+IFERROR(VLOOKUP($D$2,COLORES[],2,FALSE),0)))+(F11+I11+F11))
   *(1-IFERROR(_xlfn.XLOOKUP(1,(DESC_PROV[LINEA]=$B$2)*(DESC_PROV[LISTA]=$C$2),DESC_PROV[DESCUENTO]),0))
   *(1+VLOOKUP($C$2,LISTAS[],2,FALSE))
   *(1+VLOOKUP($C$2,LISTAS[],3,FALSE))
)
/5,0)*5</f>
        <v>281780</v>
      </c>
    </row>
    <row r="12" spans="1:18">
      <c r="A12" s="107" t="s">
        <v>425</v>
      </c>
      <c r="B12" s="64">
        <v>149738</v>
      </c>
      <c r="C12" s="64">
        <v>6146</v>
      </c>
      <c r="D12" s="64">
        <v>21800</v>
      </c>
      <c r="E12" s="64">
        <v>8484</v>
      </c>
      <c r="F12" s="64">
        <v>10280</v>
      </c>
      <c r="G12" s="64">
        <v>13529</v>
      </c>
      <c r="H12" s="64">
        <v>42368</v>
      </c>
      <c r="I12" s="64">
        <v>72236</v>
      </c>
      <c r="J12" s="2"/>
      <c r="K12" s="107" t="s">
        <v>425</v>
      </c>
      <c r="L12" s="65" cm="1">
        <f t="array" ref="L12">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</f>
        <v>202770</v>
      </c>
      <c r="M12" s="65" cm="1">
        <f t="array" ref="M12">ROUND(
IF($A$2="COSTO",
   ((B12*(1+IFERROR(VLOOKUP($D$2,COLORES[],2,FALSE),0)))+F12)
   *(1-IFERROR(_xlfn.XLOOKUP(1,(DESC_PROV[LINEA]=$B$2)*(DESC_PROV[LISTA]=$C$2),DESC_PROV[DESCUENTO]),0)),
   ((B12*(1+IFERROR(VLOOKUP($D$2,COLORES[],2,FALSE),0)))+F12)
   *(1-IFERROR(_xlfn.XLOOKUP(1,(DESC_PROV[LINEA]=$B$2)*(DESC_PROV[LISTA]=$C$2),DESC_PROV[DESCUENTO]),0))
   *(1+VLOOKUP($C$2,LISTAS[],2,FALSE))
   *(1+VLOOKUP($C$2,LISTAS[],3,FALSE))
)
/5,0)*5</f>
        <v>205070</v>
      </c>
      <c r="N12" s="65" cm="1">
        <f t="array" ref="N12">ROUND(
IF($A$2="COSTO",
   ((B12*(1+IFERROR(VLOOKUP($D$2,COLORES[],2,FALSE),0)))+G12)
   *(1-IFERROR(_xlfn.XLOOKUP(1,(DESC_PROV[LINEA]=$B$2)*(DESC_PROV[LISTA]=$C$2),DESC_PROV[DESCUENTO]),0)),
   ((B12*(1+IFERROR(VLOOKUP($D$2,COLORES[],2,FALSE),0)))+G12)
   *(1-IFERROR(_xlfn.XLOOKUP(1,(DESC_PROV[LINEA]=$B$2)*(DESC_PROV[LISTA]=$C$2),DESC_PROV[DESCUENTO]),0))
   *(1+VLOOKUP($C$2,LISTAS[],2,FALSE))
   *(1+VLOOKUP($C$2,LISTAS[],3,FALSE))
)
/5,0)*5</f>
        <v>209235</v>
      </c>
      <c r="O12" s="65" cm="1">
        <f t="array" ref="O12">ROUND(
IF($A$2="COSTO",
   ((B12*(1+IFERROR(VLOOKUP($D$2,COLORES[],2,FALSE),0)))+H12)
   *(1-IFERROR(_xlfn.XLOOKUP(1,(DESC_PROV[LINEA]=$B$2)*(DESC_PROV[LISTA]=$C$2),DESC_PROV[DESCUENTO]),0)),
   ((B12*(1+IFERROR(VLOOKUP($D$2,COLORES[],2,FALSE),0)))+H12)
   *(1-IFERROR(_xlfn.XLOOKUP(1,(DESC_PROV[LINEA]=$B$2)*(DESC_PROV[LISTA]=$C$2),DESC_PROV[DESCUENTO]),0))
   *(1+VLOOKUP($C$2,LISTAS[],2,FALSE))
   *(1+VLOOKUP($C$2,LISTAS[],3,FALSE))
)
/5,0)*5</f>
        <v>246190</v>
      </c>
      <c r="P12" s="65" cm="1">
        <f t="array" ref="P12">ROUND(
IF($A$2="COSTO",
   (C12*(1+IFERROR(VLOOKUP($D$2,COLORES[],2,FALSE),0)))
   *(1-IFERROR(_xlfn.XLOOKUP(1,(DESC_PROV[LINEA]=$B$2)*(DESC_PROV[LISTA]=$C$2),DESC_PROV[DESCUENTO]),0)),
   (C12*(1+IFERROR(VLOOKUP($D$2,COLORES[],2,FALSE),0)))
   *(1-IFERROR(_xlfn.XLOOKUP(1,(DESC_PROV[LINEA]=$B$2)*(DESC_PROV[LISTA]=$C$2),DESC_PROV[DESCUENTO]),0))
   *(1+VLOOKUP($C$2,LISTAS[],2,FALSE))
   *(1+VLOOKUP($C$2,LISTAS[],3,FALSE))
)
/5,0)*5</f>
        <v>7875</v>
      </c>
      <c r="Q12" s="65" cm="1">
        <f t="array" ref="Q12">ROUND(
IF($A$2="COSTO",
   (D12*(1+IFERROR(VLOOKUP($D$2,COLORES[],2,FALSE),0)))
   *(1-IFERROR(_xlfn.XLOOKUP(1,(DESC_PROV[LINEA]=$B$2)*(DESC_PROV[LISTA]=$C$2),DESC_PROV[DESCUENTO]),0)),
   (D12*(1+IFERROR(VLOOKUP($D$2,COLORES[],2,FALSE),0)))
   *(1-IFERROR(_xlfn.XLOOKUP(1,(DESC_PROV[LINEA]=$B$2)*(DESC_PROV[LISTA]=$C$2),DESC_PROV[DESCUENTO]),0))
   *(1+VLOOKUP($C$2,LISTAS[],2,FALSE))
   *(1+VLOOKUP($C$2,LISTAS[],4,FALSE))
)
/5,0)*5</f>
        <v>34385</v>
      </c>
      <c r="R12" s="66" cm="1">
        <f t="array" ref="R12">ROUND(
IF($A$2="COSTO",
   ((B12*(1+IFERROR(VLOOKUP($D$2,COLORES[],2,FALSE),0)))+(F12+I12+F12))
   *(1-IFERROR(_xlfn.XLOOKUP(1,(DESC_PROV[LINEA]=$B$2)*(DESC_PROV[LISTA]=$C$2),DESC_PROV[DESCUENTO]),0)),
   ((B12*(1+IFERROR(VLOOKUP($D$2,COLORES[],2,FALSE),0)))+(F12+I12+F12))
   *(1-IFERROR(_xlfn.XLOOKUP(1,(DESC_PROV[LINEA]=$B$2)*(DESC_PROV[LISTA]=$C$2),DESC_PROV[DESCUENTO]),0))
   *(1+VLOOKUP($C$2,LISTAS[],2,FALSE))
   *(1+VLOOKUP($C$2,LISTAS[],3,FALSE))
)
/5,0)*5</f>
        <v>310815</v>
      </c>
    </row>
    <row r="13" spans="1:18">
      <c r="A13" s="107" t="s">
        <v>158</v>
      </c>
      <c r="B13" s="64">
        <v>89188</v>
      </c>
      <c r="C13" s="64">
        <v>9219</v>
      </c>
      <c r="D13" s="64">
        <v>13050</v>
      </c>
      <c r="E13" s="64">
        <v>3722</v>
      </c>
      <c r="F13" s="64">
        <v>4505</v>
      </c>
      <c r="G13" s="64">
        <v>5938</v>
      </c>
      <c r="H13" s="64">
        <v>18581</v>
      </c>
      <c r="I13" s="64">
        <v>46437</v>
      </c>
      <c r="J13" s="2"/>
      <c r="K13" s="107" t="s">
        <v>158</v>
      </c>
      <c r="L13" s="65" cm="1">
        <f t="array" ref="L13">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</f>
        <v>119070</v>
      </c>
      <c r="M13" s="65" cm="1">
        <f t="array" ref="M13">ROUND(
IF($A$2="COSTO",
   ((B13*(1+IFERROR(VLOOKUP($D$2,COLORES[],2,FALSE),0)))+F13)
   *(1-IFERROR(_xlfn.XLOOKUP(1,(DESC_PROV[LINEA]=$B$2)*(DESC_PROV[LISTA]=$C$2),DESC_PROV[DESCUENTO]),0)),
   ((B13*(1+IFERROR(VLOOKUP($D$2,COLORES[],2,FALSE),0)))+F13)
   *(1-IFERROR(_xlfn.XLOOKUP(1,(DESC_PROV[LINEA]=$B$2)*(DESC_PROV[LISTA]=$C$2),DESC_PROV[DESCUENTO]),0))
   *(1+VLOOKUP($C$2,LISTAS[],2,FALSE))
   *(1+VLOOKUP($C$2,LISTAS[],3,FALSE))
)
/5,0)*5</f>
        <v>120070</v>
      </c>
      <c r="N13" s="65" cm="1">
        <f t="array" ref="N13">ROUND(
IF($A$2="COSTO",
   ((B13*(1+IFERROR(VLOOKUP($D$2,COLORES[],2,FALSE),0)))+G13)
   *(1-IFERROR(_xlfn.XLOOKUP(1,(DESC_PROV[LINEA]=$B$2)*(DESC_PROV[LISTA]=$C$2),DESC_PROV[DESCUENTO]),0)),
   ((B13*(1+IFERROR(VLOOKUP($D$2,COLORES[],2,FALSE),0)))+G13)
   *(1-IFERROR(_xlfn.XLOOKUP(1,(DESC_PROV[LINEA]=$B$2)*(DESC_PROV[LISTA]=$C$2),DESC_PROV[DESCUENTO]),0))
   *(1+VLOOKUP($C$2,LISTAS[],2,FALSE))
   *(1+VLOOKUP($C$2,LISTAS[],3,FALSE))
)
/5,0)*5</f>
        <v>121910</v>
      </c>
      <c r="O13" s="65" cm="1">
        <f t="array" ref="O13">ROUND(
IF($A$2="COSTO",
   ((B13*(1+IFERROR(VLOOKUP($D$2,COLORES[],2,FALSE),0)))+H13)
   *(1-IFERROR(_xlfn.XLOOKUP(1,(DESC_PROV[LINEA]=$B$2)*(DESC_PROV[LISTA]=$C$2),DESC_PROV[DESCUENTO]),0)),
   ((B13*(1+IFERROR(VLOOKUP($D$2,COLORES[],2,FALSE),0)))+H13)
   *(1-IFERROR(_xlfn.XLOOKUP(1,(DESC_PROV[LINEA]=$B$2)*(DESC_PROV[LISTA]=$C$2),DESC_PROV[DESCUENTO]),0))
   *(1+VLOOKUP($C$2,LISTAS[],2,FALSE))
   *(1+VLOOKUP($C$2,LISTAS[],3,FALSE))
)
/5,0)*5</f>
        <v>138110</v>
      </c>
      <c r="P13" s="65" cm="1">
        <f t="array" ref="P13">ROUND(
IF($A$2="COSTO",
   (C13*(1+IFERROR(VLOOKUP($D$2,COLORES[],2,FALSE),0)))
   *(1-IFERROR(_xlfn.XLOOKUP(1,(DESC_PROV[LINEA]=$B$2)*(DESC_PROV[LISTA]=$C$2),DESC_PROV[DESCUENTO]),0)),
   (C13*(1+IFERROR(VLOOKUP($D$2,COLORES[],2,FALSE),0)))
   *(1-IFERROR(_xlfn.XLOOKUP(1,(DESC_PROV[LINEA]=$B$2)*(DESC_PROV[LISTA]=$C$2),DESC_PROV[DESCUENTO]),0))
   *(1+VLOOKUP($C$2,LISTAS[],2,FALSE))
   *(1+VLOOKUP($C$2,LISTAS[],3,FALSE))
)
/5,0)*5</f>
        <v>11815</v>
      </c>
      <c r="Q13" s="65" cm="1">
        <f t="array" ref="Q13">ROUND(
IF($A$2="COSTO",
   (D13*(1+IFERROR(VLOOKUP($D$2,COLORES[],2,FALSE),0)))
   *(1-IFERROR(_xlfn.XLOOKUP(1,(DESC_PROV[LINEA]=$B$2)*(DESC_PROV[LISTA]=$C$2),DESC_PROV[DESCUENTO]),0)),
   (D13*(1+IFERROR(VLOOKUP($D$2,COLORES[],2,FALSE),0)))
   *(1-IFERROR(_xlfn.XLOOKUP(1,(DESC_PROV[LINEA]=$B$2)*(DESC_PROV[LISTA]=$C$2),DESC_PROV[DESCUENTO]),0))
   *(1+VLOOKUP($C$2,LISTAS[],2,FALSE))
   *(1+VLOOKUP($C$2,LISTAS[],4,FALSE))
)
/5,0)*5</f>
        <v>20585</v>
      </c>
      <c r="R13" s="66" cm="1">
        <f t="array" ref="R13">ROUND(
IF($A$2="COSTO",
   ((B13*(1+IFERROR(VLOOKUP($D$2,COLORES[],2,FALSE),0)))+(F13+I13+F13))
   *(1-IFERROR(_xlfn.XLOOKUP(1,(DESC_PROV[LINEA]=$B$2)*(DESC_PROV[LISTA]=$C$2),DESC_PROV[DESCUENTO]),0)),
   ((B13*(1+IFERROR(VLOOKUP($D$2,COLORES[],2,FALSE),0)))+(F13+I13+F13))
   *(1-IFERROR(_xlfn.XLOOKUP(1,(DESC_PROV[LINEA]=$B$2)*(DESC_PROV[LISTA]=$C$2),DESC_PROV[DESCUENTO]),0))
   *(1+VLOOKUP($C$2,LISTAS[],2,FALSE))
   *(1+VLOOKUP($C$2,LISTAS[],3,FALSE))
)
/5,0)*5</f>
        <v>185355</v>
      </c>
    </row>
    <row r="14" spans="1:18">
      <c r="A14" s="107" t="s">
        <v>160</v>
      </c>
      <c r="B14" s="64">
        <v>96781</v>
      </c>
      <c r="C14" s="64">
        <v>9219</v>
      </c>
      <c r="D14" s="64">
        <v>15000</v>
      </c>
      <c r="E14" s="64">
        <v>5208</v>
      </c>
      <c r="F14" s="64">
        <v>6311</v>
      </c>
      <c r="G14" s="64">
        <v>8311</v>
      </c>
      <c r="H14" s="64">
        <v>26010</v>
      </c>
      <c r="I14" s="64">
        <v>51597</v>
      </c>
      <c r="J14" s="2"/>
      <c r="K14" s="107" t="s">
        <v>160</v>
      </c>
      <c r="L14" s="65" cm="1">
        <f t="array" ref="L14">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</f>
        <v>130705</v>
      </c>
      <c r="M14" s="65" cm="1">
        <f t="array" ref="M14">ROUND(
IF($A$2="COSTO",
   ((B14*(1+IFERROR(VLOOKUP($D$2,COLORES[],2,FALSE),0)))+F14)
   *(1-IFERROR(_xlfn.XLOOKUP(1,(DESC_PROV[LINEA]=$B$2)*(DESC_PROV[LISTA]=$C$2),DESC_PROV[DESCUENTO]),0)),
   ((B14*(1+IFERROR(VLOOKUP($D$2,COLORES[],2,FALSE),0)))+F14)
   *(1-IFERROR(_xlfn.XLOOKUP(1,(DESC_PROV[LINEA]=$B$2)*(DESC_PROV[LISTA]=$C$2),DESC_PROV[DESCUENTO]),0))
   *(1+VLOOKUP($C$2,LISTAS[],2,FALSE))
   *(1+VLOOKUP($C$2,LISTAS[],3,FALSE))
)
/5,0)*5</f>
        <v>132115</v>
      </c>
      <c r="N14" s="65" cm="1">
        <f t="array" ref="N14">ROUND(
IF($A$2="COSTO",
   ((B14*(1+IFERROR(VLOOKUP($D$2,COLORES[],2,FALSE),0)))+G14)
   *(1-IFERROR(_xlfn.XLOOKUP(1,(DESC_PROV[LINEA]=$B$2)*(DESC_PROV[LISTA]=$C$2),DESC_PROV[DESCUENTO]),0)),
   ((B14*(1+IFERROR(VLOOKUP($D$2,COLORES[],2,FALSE),0)))+G14)
   *(1-IFERROR(_xlfn.XLOOKUP(1,(DESC_PROV[LINEA]=$B$2)*(DESC_PROV[LISTA]=$C$2),DESC_PROV[DESCUENTO]),0))
   *(1+VLOOKUP($C$2,LISTAS[],2,FALSE))
   *(1+VLOOKUP($C$2,LISTAS[],3,FALSE))
)
/5,0)*5</f>
        <v>134680</v>
      </c>
      <c r="O14" s="65" cm="1">
        <f t="array" ref="O14">ROUND(
IF($A$2="COSTO",
   ((B14*(1+IFERROR(VLOOKUP($D$2,COLORES[],2,FALSE),0)))+H14)
   *(1-IFERROR(_xlfn.XLOOKUP(1,(DESC_PROV[LINEA]=$B$2)*(DESC_PROV[LISTA]=$C$2),DESC_PROV[DESCUENTO]),0)),
   ((B14*(1+IFERROR(VLOOKUP($D$2,COLORES[],2,FALSE),0)))+H14)
   *(1-IFERROR(_xlfn.XLOOKUP(1,(DESC_PROV[LINEA]=$B$2)*(DESC_PROV[LISTA]=$C$2),DESC_PROV[DESCUENTO]),0))
   *(1+VLOOKUP($C$2,LISTAS[],2,FALSE))
   *(1+VLOOKUP($C$2,LISTAS[],3,FALSE))
)
/5,0)*5</f>
        <v>157360</v>
      </c>
      <c r="P14" s="65" cm="1">
        <f t="array" ref="P14">ROUND(
IF($A$2="COSTO",
   (C14*(1+IFERROR(VLOOKUP($D$2,COLORES[],2,FALSE),0)))
   *(1-IFERROR(_xlfn.XLOOKUP(1,(DESC_PROV[LINEA]=$B$2)*(DESC_PROV[LISTA]=$C$2),DESC_PROV[DESCUENTO]),0)),
   (C14*(1+IFERROR(VLOOKUP($D$2,COLORES[],2,FALSE),0)))
   *(1-IFERROR(_xlfn.XLOOKUP(1,(DESC_PROV[LINEA]=$B$2)*(DESC_PROV[LISTA]=$C$2),DESC_PROV[DESCUENTO]),0))
   *(1+VLOOKUP($C$2,LISTAS[],2,FALSE))
   *(1+VLOOKUP($C$2,LISTAS[],3,FALSE))
)
/5,0)*5</f>
        <v>11815</v>
      </c>
      <c r="Q14" s="65" cm="1">
        <f t="array" ref="Q14">ROUND(
IF($A$2="COSTO",
   (D14*(1+IFERROR(VLOOKUP($D$2,COLORES[],2,FALSE),0)))
   *(1-IFERROR(_xlfn.XLOOKUP(1,(DESC_PROV[LINEA]=$B$2)*(DESC_PROV[LISTA]=$C$2),DESC_PROV[DESCUENTO]),0)),
   (D14*(1+IFERROR(VLOOKUP($D$2,COLORES[],2,FALSE),0)))
   *(1-IFERROR(_xlfn.XLOOKUP(1,(DESC_PROV[LINEA]=$B$2)*(DESC_PROV[LISTA]=$C$2),DESC_PROV[DESCUENTO]),0))
   *(1+VLOOKUP($C$2,LISTAS[],2,FALSE))
   *(1+VLOOKUP($C$2,LISTAS[],4,FALSE))
)
/5,0)*5</f>
        <v>23660</v>
      </c>
      <c r="R14" s="66" cm="1">
        <f t="array" ref="R14">ROUND(
IF($A$2="COSTO",
   ((B14*(1+IFERROR(VLOOKUP($D$2,COLORES[],2,FALSE),0)))+(F14+I14+F14))
   *(1-IFERROR(_xlfn.XLOOKUP(1,(DESC_PROV[LINEA]=$B$2)*(DESC_PROV[LISTA]=$C$2),DESC_PROV[DESCUENTO]),0)),
   ((B14*(1+IFERROR(VLOOKUP($D$2,COLORES[],2,FALSE),0)))+(F14+I14+F14))
   *(1-IFERROR(_xlfn.XLOOKUP(1,(DESC_PROV[LINEA]=$B$2)*(DESC_PROV[LISTA]=$C$2),DESC_PROV[DESCUENTO]),0))
   *(1+VLOOKUP($C$2,LISTAS[],2,FALSE))
   *(1+VLOOKUP($C$2,LISTAS[],3,FALSE))
)
/5,0)*5</f>
        <v>206330</v>
      </c>
    </row>
    <row r="15" spans="1:18">
      <c r="A15" s="107" t="s">
        <v>162</v>
      </c>
      <c r="B15" s="64">
        <v>105619</v>
      </c>
      <c r="C15" s="64">
        <v>9219</v>
      </c>
      <c r="D15" s="64">
        <v>16950</v>
      </c>
      <c r="E15" s="64">
        <v>6699</v>
      </c>
      <c r="F15" s="64">
        <v>8111</v>
      </c>
      <c r="G15" s="64">
        <v>10684</v>
      </c>
      <c r="H15" s="64">
        <v>33446</v>
      </c>
      <c r="I15" s="64">
        <v>56757</v>
      </c>
      <c r="J15" s="2"/>
      <c r="K15" s="107" t="s">
        <v>162</v>
      </c>
      <c r="L15" s="65" cm="1">
        <f t="array" ref="L15">ROUND(
IF($A$2="COSTO",
   ((B15*(1+IFERROR(VLOOKUP($D$2,COLORES[],2,FALSE),0)))+E15)
   *(1-IFERROR(_xlfn.XLOOKUP(1,(DESC_PROV[LINEA]=$B$2)*(DESC_PROV[LISTA]=$C$2),DESC_PROV[DESCUENTO]),0)),
   ((B15*(1+IFERROR(VLOOKUP($D$2,COLORES[],2,FALSE),0)))+E15)
   *(1-IFERROR(_xlfn.XLOOKUP(1,(DESC_PROV[LINEA]=$B$2)*(DESC_PROV[LISTA]=$C$2),DESC_PROV[DESCUENTO]),0))
   *(1+VLOOKUP($C$2,LISTAS[],2,FALSE))
   *(1+VLOOKUP($C$2,LISTAS[],3,FALSE))
)
/5,0)*5</f>
        <v>143940</v>
      </c>
      <c r="M15" s="65" cm="1">
        <f t="array" ref="M15">ROUND(
IF($A$2="COSTO",
   ((B15*(1+IFERROR(VLOOKUP($D$2,COLORES[],2,FALSE),0)))+F15)
   *(1-IFERROR(_xlfn.XLOOKUP(1,(DESC_PROV[LINEA]=$B$2)*(DESC_PROV[LISTA]=$C$2),DESC_PROV[DESCUENTO]),0)),
   ((B15*(1+IFERROR(VLOOKUP($D$2,COLORES[],2,FALSE),0)))+F15)
   *(1-IFERROR(_xlfn.XLOOKUP(1,(DESC_PROV[LINEA]=$B$2)*(DESC_PROV[LISTA]=$C$2),DESC_PROV[DESCUENTO]),0))
   *(1+VLOOKUP($C$2,LISTAS[],2,FALSE))
   *(1+VLOOKUP($C$2,LISTAS[],3,FALSE))
)
/5,0)*5</f>
        <v>145750</v>
      </c>
      <c r="N15" s="65" cm="1">
        <f t="array" ref="N15">ROUND(
IF($A$2="COSTO",
   ((B15*(1+IFERROR(VLOOKUP($D$2,COLORES[],2,FALSE),0)))+G15)
   *(1-IFERROR(_xlfn.XLOOKUP(1,(DESC_PROV[LINEA]=$B$2)*(DESC_PROV[LISTA]=$C$2),DESC_PROV[DESCUENTO]),0)),
   ((B15*(1+IFERROR(VLOOKUP($D$2,COLORES[],2,FALSE),0)))+G15)
   *(1-IFERROR(_xlfn.XLOOKUP(1,(DESC_PROV[LINEA]=$B$2)*(DESC_PROV[LISTA]=$C$2),DESC_PROV[DESCUENTO]),0))
   *(1+VLOOKUP($C$2,LISTAS[],2,FALSE))
   *(1+VLOOKUP($C$2,LISTAS[],3,FALSE))
)
/5,0)*5</f>
        <v>149045</v>
      </c>
      <c r="O15" s="65" cm="1">
        <f t="array" ref="O15">ROUND(
IF($A$2="COSTO",
   ((B15*(1+IFERROR(VLOOKUP($D$2,COLORES[],2,FALSE),0)))+H15)
   *(1-IFERROR(_xlfn.XLOOKUP(1,(DESC_PROV[LINEA]=$B$2)*(DESC_PROV[LISTA]=$C$2),DESC_PROV[DESCUENTO]),0)),
   ((B15*(1+IFERROR(VLOOKUP($D$2,COLORES[],2,FALSE),0)))+H15)
   *(1-IFERROR(_xlfn.XLOOKUP(1,(DESC_PROV[LINEA]=$B$2)*(DESC_PROV[LISTA]=$C$2),DESC_PROV[DESCUENTO]),0))
   *(1+VLOOKUP($C$2,LISTAS[],2,FALSE))
   *(1+VLOOKUP($C$2,LISTAS[],3,FALSE))
)
/5,0)*5</f>
        <v>178215</v>
      </c>
      <c r="P15" s="65" cm="1">
        <f t="array" ref="P15">ROUND(
IF($A$2="COSTO",
   (C15*(1+IFERROR(VLOOKUP($D$2,COLORES[],2,FALSE),0)))
   *(1-IFERROR(_xlfn.XLOOKUP(1,(DESC_PROV[LINEA]=$B$2)*(DESC_PROV[LISTA]=$C$2),DESC_PROV[DESCUENTO]),0)),
   (C15*(1+IFERROR(VLOOKUP($D$2,COLORES[],2,FALSE),0)))
   *(1-IFERROR(_xlfn.XLOOKUP(1,(DESC_PROV[LINEA]=$B$2)*(DESC_PROV[LISTA]=$C$2),DESC_PROV[DESCUENTO]),0))
   *(1+VLOOKUP($C$2,LISTAS[],2,FALSE))
   *(1+VLOOKUP($C$2,LISTAS[],3,FALSE))
)
/5,0)*5</f>
        <v>11815</v>
      </c>
      <c r="Q15" s="65" cm="1">
        <f t="array" ref="Q15">ROUND(
IF($A$2="COSTO",
   (D15*(1+IFERROR(VLOOKUP($D$2,COLORES[],2,FALSE),0)))
   *(1-IFERROR(_xlfn.XLOOKUP(1,(DESC_PROV[LINEA]=$B$2)*(DESC_PROV[LISTA]=$C$2),DESC_PROV[DESCUENTO]),0)),
   (D15*(1+IFERROR(VLOOKUP($D$2,COLORES[],2,FALSE),0)))
   *(1-IFERROR(_xlfn.XLOOKUP(1,(DESC_PROV[LINEA]=$B$2)*(DESC_PROV[LISTA]=$C$2),DESC_PROV[DESCUENTO]),0))
   *(1+VLOOKUP($C$2,LISTAS[],2,FALSE))
   *(1+VLOOKUP($C$2,LISTAS[],4,FALSE))
)
/5,0)*5</f>
        <v>26735</v>
      </c>
      <c r="R15" s="66" cm="1">
        <f t="array" ref="R15">ROUND(
IF($A$2="COSTO",
   ((B15*(1+IFERROR(VLOOKUP($D$2,COLORES[],2,FALSE),0)))+(F15+I15+F15))
   *(1-IFERROR(_xlfn.XLOOKUP(1,(DESC_PROV[LINEA]=$B$2)*(DESC_PROV[LISTA]=$C$2),DESC_PROV[DESCUENTO]),0)),
   ((B15*(1+IFERROR(VLOOKUP($D$2,COLORES[],2,FALSE),0)))+(F15+I15+F15))
   *(1-IFERROR(_xlfn.XLOOKUP(1,(DESC_PROV[LINEA]=$B$2)*(DESC_PROV[LISTA]=$C$2),DESC_PROV[DESCUENTO]),0))
   *(1+VLOOKUP($C$2,LISTAS[],2,FALSE))
   *(1+VLOOKUP($C$2,LISTAS[],3,FALSE))
)
/5,0)*5</f>
        <v>228880</v>
      </c>
    </row>
    <row r="16" spans="1:18">
      <c r="A16" s="107" t="s">
        <v>271</v>
      </c>
      <c r="B16" s="64">
        <v>114369</v>
      </c>
      <c r="C16" s="64">
        <v>9219</v>
      </c>
      <c r="D16" s="64">
        <v>18900</v>
      </c>
      <c r="E16" s="64">
        <v>8185</v>
      </c>
      <c r="F16" s="64">
        <v>9917</v>
      </c>
      <c r="G16" s="64">
        <v>13057</v>
      </c>
      <c r="H16" s="64">
        <v>40876</v>
      </c>
      <c r="I16" s="64">
        <v>61916</v>
      </c>
      <c r="J16" s="2"/>
      <c r="K16" s="107" t="s">
        <v>271</v>
      </c>
      <c r="L16" s="65" cm="1">
        <f t="array" ref="L16">ROUND(
IF($A$2="COSTO",
   ((B16*(1+IFERROR(VLOOKUP($D$2,COLORES[],2,FALSE),0)))+E16)
   *(1-IFERROR(_xlfn.XLOOKUP(1,(DESC_PROV[LINEA]=$B$2)*(DESC_PROV[LISTA]=$C$2),DESC_PROV[DESCUENTO]),0)),
   ((B16*(1+IFERROR(VLOOKUP($D$2,COLORES[],2,FALSE),0)))+E16)
   *(1-IFERROR(_xlfn.XLOOKUP(1,(DESC_PROV[LINEA]=$B$2)*(DESC_PROV[LISTA]=$C$2),DESC_PROV[DESCUENTO]),0))
   *(1+VLOOKUP($C$2,LISTAS[],2,FALSE))
   *(1+VLOOKUP($C$2,LISTAS[],3,FALSE))
)
/5,0)*5</f>
        <v>157060</v>
      </c>
      <c r="M16" s="65" cm="1">
        <f t="array" ref="M16">ROUND(
IF($A$2="COSTO",
   ((B16*(1+IFERROR(VLOOKUP($D$2,COLORES[],2,FALSE),0)))+F16)
   *(1-IFERROR(_xlfn.XLOOKUP(1,(DESC_PROV[LINEA]=$B$2)*(DESC_PROV[LISTA]=$C$2),DESC_PROV[DESCUENTO]),0)),
   ((B16*(1+IFERROR(VLOOKUP($D$2,COLORES[],2,FALSE),0)))+F16)
   *(1-IFERROR(_xlfn.XLOOKUP(1,(DESC_PROV[LINEA]=$B$2)*(DESC_PROV[LISTA]=$C$2),DESC_PROV[DESCUENTO]),0))
   *(1+VLOOKUP($C$2,LISTAS[],2,FALSE))
   *(1+VLOOKUP($C$2,LISTAS[],3,FALSE))
)
/5,0)*5</f>
        <v>159275</v>
      </c>
      <c r="N16" s="65" cm="1">
        <f t="array" ref="N16">ROUND(
IF($A$2="COSTO",
   ((B16*(1+IFERROR(VLOOKUP($D$2,COLORES[],2,FALSE),0)))+G16)
   *(1-IFERROR(_xlfn.XLOOKUP(1,(DESC_PROV[LINEA]=$B$2)*(DESC_PROV[LISTA]=$C$2),DESC_PROV[DESCUENTO]),0)),
   ((B16*(1+IFERROR(VLOOKUP($D$2,COLORES[],2,FALSE),0)))+G16)
   *(1-IFERROR(_xlfn.XLOOKUP(1,(DESC_PROV[LINEA]=$B$2)*(DESC_PROV[LISTA]=$C$2),DESC_PROV[DESCUENTO]),0))
   *(1+VLOOKUP($C$2,LISTAS[],2,FALSE))
   *(1+VLOOKUP($C$2,LISTAS[],3,FALSE))
)
/5,0)*5</f>
        <v>163300</v>
      </c>
      <c r="O16" s="65" cm="1">
        <f t="array" ref="O16">ROUND(
IF($A$2="COSTO",
   ((B16*(1+IFERROR(VLOOKUP($D$2,COLORES[],2,FALSE),0)))+H16)
   *(1-IFERROR(_xlfn.XLOOKUP(1,(DESC_PROV[LINEA]=$B$2)*(DESC_PROV[LISTA]=$C$2),DESC_PROV[DESCUENTO]),0)),
   ((B16*(1+IFERROR(VLOOKUP($D$2,COLORES[],2,FALSE),0)))+H16)
   *(1-IFERROR(_xlfn.XLOOKUP(1,(DESC_PROV[LINEA]=$B$2)*(DESC_PROV[LISTA]=$C$2),DESC_PROV[DESCUENTO]),0))
   *(1+VLOOKUP($C$2,LISTAS[],2,FALSE))
   *(1+VLOOKUP($C$2,LISTAS[],3,FALSE))
)
/5,0)*5</f>
        <v>198955</v>
      </c>
      <c r="P16" s="65" cm="1">
        <f t="array" ref="P16">ROUND(
IF($A$2="COSTO",
   (C16*(1+IFERROR(VLOOKUP($D$2,COLORES[],2,FALSE),0)))
   *(1-IFERROR(_xlfn.XLOOKUP(1,(DESC_PROV[LINEA]=$B$2)*(DESC_PROV[LISTA]=$C$2),DESC_PROV[DESCUENTO]),0)),
   (C16*(1+IFERROR(VLOOKUP($D$2,COLORES[],2,FALSE),0)))
   *(1-IFERROR(_xlfn.XLOOKUP(1,(DESC_PROV[LINEA]=$B$2)*(DESC_PROV[LISTA]=$C$2),DESC_PROV[DESCUENTO]),0))
   *(1+VLOOKUP($C$2,LISTAS[],2,FALSE))
   *(1+VLOOKUP($C$2,LISTAS[],3,FALSE))
)
/5,0)*5</f>
        <v>11815</v>
      </c>
      <c r="Q16" s="65" cm="1">
        <f t="array" ref="Q16">ROUND(
IF($A$2="COSTO",
   (D16*(1+IFERROR(VLOOKUP($D$2,COLORES[],2,FALSE),0)))
   *(1-IFERROR(_xlfn.XLOOKUP(1,(DESC_PROV[LINEA]=$B$2)*(DESC_PROV[LISTA]=$C$2),DESC_PROV[DESCUENTO]),0)),
   (D16*(1+IFERROR(VLOOKUP($D$2,COLORES[],2,FALSE),0)))
   *(1-IFERROR(_xlfn.XLOOKUP(1,(DESC_PROV[LINEA]=$B$2)*(DESC_PROV[LISTA]=$C$2),DESC_PROV[DESCUENTO]),0))
   *(1+VLOOKUP($C$2,LISTAS[],2,FALSE))
   *(1+VLOOKUP($C$2,LISTAS[],4,FALSE))
)
/5,0)*5</f>
        <v>29810</v>
      </c>
      <c r="R16" s="66" cm="1">
        <f t="array" ref="R16">ROUND(
IF($A$2="COSTO",
   ((B16*(1+IFERROR(VLOOKUP($D$2,COLORES[],2,FALSE),0)))+(F16+I16+F16))
   *(1-IFERROR(_xlfn.XLOOKUP(1,(DESC_PROV[LINEA]=$B$2)*(DESC_PROV[LISTA]=$C$2),DESC_PROV[DESCUENTO]),0)),
   ((B16*(1+IFERROR(VLOOKUP($D$2,COLORES[],2,FALSE),0)))+(F16+I16+F16))
   *(1-IFERROR(_xlfn.XLOOKUP(1,(DESC_PROV[LINEA]=$B$2)*(DESC_PROV[LISTA]=$C$2),DESC_PROV[DESCUENTO]),0))
   *(1+VLOOKUP($C$2,LISTAS[],2,FALSE))
   *(1+VLOOKUP($C$2,LISTAS[],3,FALSE))
)
/5,0)*5</f>
        <v>251335</v>
      </c>
    </row>
    <row r="17" spans="1:18">
      <c r="A17" s="107" t="s">
        <v>272</v>
      </c>
      <c r="B17" s="64">
        <v>129250</v>
      </c>
      <c r="C17" s="64">
        <v>9219</v>
      </c>
      <c r="D17" s="64">
        <v>21825</v>
      </c>
      <c r="E17" s="64">
        <v>10421</v>
      </c>
      <c r="F17" s="64">
        <v>12621</v>
      </c>
      <c r="G17" s="64">
        <v>16616</v>
      </c>
      <c r="H17" s="64">
        <v>52027</v>
      </c>
      <c r="I17" s="64">
        <v>69656</v>
      </c>
      <c r="J17" s="2"/>
      <c r="K17" s="107" t="s">
        <v>272</v>
      </c>
      <c r="L17" s="65" cm="1">
        <f t="array" ref="L17">ROUND(
IF($A$2="COSTO",
   ((B17*(1+IFERROR(VLOOKUP($D$2,COLORES[],2,FALSE),0)))+E17)
   *(1-IFERROR(_xlfn.XLOOKUP(1,(DESC_PROV[LINEA]=$B$2)*(DESC_PROV[LISTA]=$C$2),DESC_PROV[DESCUENTO]),0)),
   ((B17*(1+IFERROR(VLOOKUP($D$2,COLORES[],2,FALSE),0)))+E17)
   *(1-IFERROR(_xlfn.XLOOKUP(1,(DESC_PROV[LINEA]=$B$2)*(DESC_PROV[LISTA]=$C$2),DESC_PROV[DESCUENTO]),0))
   *(1+VLOOKUP($C$2,LISTAS[],2,FALSE))
   *(1+VLOOKUP($C$2,LISTAS[],3,FALSE))
)
/5,0)*5</f>
        <v>178995</v>
      </c>
      <c r="M17" s="65" cm="1">
        <f t="array" ref="M17">ROUND(
IF($A$2="COSTO",
   ((B17*(1+IFERROR(VLOOKUP($D$2,COLORES[],2,FALSE),0)))+F17)
   *(1-IFERROR(_xlfn.XLOOKUP(1,(DESC_PROV[LINEA]=$B$2)*(DESC_PROV[LISTA]=$C$2),DESC_PROV[DESCUENTO]),0)),
   ((B17*(1+IFERROR(VLOOKUP($D$2,COLORES[],2,FALSE),0)))+F17)
   *(1-IFERROR(_xlfn.XLOOKUP(1,(DESC_PROV[LINEA]=$B$2)*(DESC_PROV[LISTA]=$C$2),DESC_PROV[DESCUENTO]),0))
   *(1+VLOOKUP($C$2,LISTAS[],2,FALSE))
   *(1+VLOOKUP($C$2,LISTAS[],3,FALSE))
)
/5,0)*5</f>
        <v>181815</v>
      </c>
      <c r="N17" s="65" cm="1">
        <f t="array" ref="N17">ROUND(
IF($A$2="COSTO",
   ((B17*(1+IFERROR(VLOOKUP($D$2,COLORES[],2,FALSE),0)))+G17)
   *(1-IFERROR(_xlfn.XLOOKUP(1,(DESC_PROV[LINEA]=$B$2)*(DESC_PROV[LISTA]=$C$2),DESC_PROV[DESCUENTO]),0)),
   ((B17*(1+IFERROR(VLOOKUP($D$2,COLORES[],2,FALSE),0)))+G17)
   *(1-IFERROR(_xlfn.XLOOKUP(1,(DESC_PROV[LINEA]=$B$2)*(DESC_PROV[LISTA]=$C$2),DESC_PROV[DESCUENTO]),0))
   *(1+VLOOKUP($C$2,LISTAS[],2,FALSE))
   *(1+VLOOKUP($C$2,LISTAS[],3,FALSE))
)
/5,0)*5</f>
        <v>186935</v>
      </c>
      <c r="O17" s="65" cm="1">
        <f t="array" ref="O17">ROUND(
IF($A$2="COSTO",
   ((B17*(1+IFERROR(VLOOKUP($D$2,COLORES[],2,FALSE),0)))+H17)
   *(1-IFERROR(_xlfn.XLOOKUP(1,(DESC_PROV[LINEA]=$B$2)*(DESC_PROV[LISTA]=$C$2),DESC_PROV[DESCUENTO]),0)),
   ((B17*(1+IFERROR(VLOOKUP($D$2,COLORES[],2,FALSE),0)))+H17)
   *(1-IFERROR(_xlfn.XLOOKUP(1,(DESC_PROV[LINEA]=$B$2)*(DESC_PROV[LISTA]=$C$2),DESC_PROV[DESCUENTO]),0))
   *(1+VLOOKUP($C$2,LISTAS[],2,FALSE))
   *(1+VLOOKUP($C$2,LISTAS[],3,FALSE))
)
/5,0)*5</f>
        <v>232315</v>
      </c>
      <c r="P17" s="65" cm="1">
        <f t="array" ref="P17">ROUND(
IF($A$2="COSTO",
   (C17*(1+IFERROR(VLOOKUP($D$2,COLORES[],2,FALSE),0)))
   *(1-IFERROR(_xlfn.XLOOKUP(1,(DESC_PROV[LINEA]=$B$2)*(DESC_PROV[LISTA]=$C$2),DESC_PROV[DESCUENTO]),0)),
   (C17*(1+IFERROR(VLOOKUP($D$2,COLORES[],2,FALSE),0)))
   *(1-IFERROR(_xlfn.XLOOKUP(1,(DESC_PROV[LINEA]=$B$2)*(DESC_PROV[LISTA]=$C$2),DESC_PROV[DESCUENTO]),0))
   *(1+VLOOKUP($C$2,LISTAS[],2,FALSE))
   *(1+VLOOKUP($C$2,LISTAS[],3,FALSE))
)
/5,0)*5</f>
        <v>11815</v>
      </c>
      <c r="Q17" s="65" cm="1">
        <f t="array" ref="Q17">ROUND(
IF($A$2="COSTO",
   (D17*(1+IFERROR(VLOOKUP($D$2,COLORES[],2,FALSE),0)))
   *(1-IFERROR(_xlfn.XLOOKUP(1,(DESC_PROV[LINEA]=$B$2)*(DESC_PROV[LISTA]=$C$2),DESC_PROV[DESCUENTO]),0)),
   (D17*(1+IFERROR(VLOOKUP($D$2,COLORES[],2,FALSE),0)))
   *(1-IFERROR(_xlfn.XLOOKUP(1,(DESC_PROV[LINEA]=$B$2)*(DESC_PROV[LISTA]=$C$2),DESC_PROV[DESCUENTO]),0))
   *(1+VLOOKUP($C$2,LISTAS[],2,FALSE))
   *(1+VLOOKUP($C$2,LISTAS[],4,FALSE))
)
/5,0)*5</f>
        <v>34425</v>
      </c>
      <c r="R17" s="66" cm="1">
        <f t="array" ref="R17">ROUND(
IF($A$2="COSTO",
   ((B17*(1+IFERROR(VLOOKUP($D$2,COLORES[],2,FALSE),0)))+(F17+I17+F17))
   *(1-IFERROR(_xlfn.XLOOKUP(1,(DESC_PROV[LINEA]=$B$2)*(DESC_PROV[LISTA]=$C$2),DESC_PROV[DESCUENTO]),0)),
   ((B17*(1+IFERROR(VLOOKUP($D$2,COLORES[],2,FALSE),0)))+(F17+I17+F17))
   *(1-IFERROR(_xlfn.XLOOKUP(1,(DESC_PROV[LINEA]=$B$2)*(DESC_PROV[LISTA]=$C$2),DESC_PROV[DESCUENTO]),0))
   *(1+VLOOKUP($C$2,LISTAS[],2,FALSE))
   *(1+VLOOKUP($C$2,LISTAS[],3,FALSE))
)
/5,0)*5</f>
        <v>287255</v>
      </c>
    </row>
    <row r="18" spans="1:18">
      <c r="A18" s="107" t="s">
        <v>273</v>
      </c>
      <c r="B18" s="64">
        <v>144138</v>
      </c>
      <c r="C18" s="64">
        <v>9219</v>
      </c>
      <c r="D18" s="64">
        <v>24750</v>
      </c>
      <c r="E18" s="64">
        <v>12653</v>
      </c>
      <c r="F18" s="64">
        <v>15325</v>
      </c>
      <c r="G18" s="64">
        <v>20181</v>
      </c>
      <c r="H18" s="64">
        <v>63172</v>
      </c>
      <c r="I18" s="64">
        <v>77396</v>
      </c>
      <c r="J18" s="2"/>
      <c r="K18" s="107" t="s">
        <v>273</v>
      </c>
      <c r="L18" s="65" cm="1">
        <f t="array" ref="L18">ROUND(
IF($A$2="COSTO",
   ((B18*(1+IFERROR(VLOOKUP($D$2,COLORES[],2,FALSE),0)))+E18)
   *(1-IFERROR(_xlfn.XLOOKUP(1,(DESC_PROV[LINEA]=$B$2)*(DESC_PROV[LISTA]=$C$2),DESC_PROV[DESCUENTO]),0)),
   ((B18*(1+IFERROR(VLOOKUP($D$2,COLORES[],2,FALSE),0)))+E18)
   *(1-IFERROR(_xlfn.XLOOKUP(1,(DESC_PROV[LINEA]=$B$2)*(DESC_PROV[LISTA]=$C$2),DESC_PROV[DESCUENTO]),0))
   *(1+VLOOKUP($C$2,LISTAS[],2,FALSE))
   *(1+VLOOKUP($C$2,LISTAS[],3,FALSE))
)
/5,0)*5</f>
        <v>200935</v>
      </c>
      <c r="M18" s="65" cm="1">
        <f t="array" ref="M18">ROUND(
IF($A$2="COSTO",
   ((B18*(1+IFERROR(VLOOKUP($D$2,COLORES[],2,FALSE),0)))+F18)
   *(1-IFERROR(_xlfn.XLOOKUP(1,(DESC_PROV[LINEA]=$B$2)*(DESC_PROV[LISTA]=$C$2),DESC_PROV[DESCUENTO]),0)),
   ((B18*(1+IFERROR(VLOOKUP($D$2,COLORES[],2,FALSE),0)))+F18)
   *(1-IFERROR(_xlfn.XLOOKUP(1,(DESC_PROV[LINEA]=$B$2)*(DESC_PROV[LISTA]=$C$2),DESC_PROV[DESCUENTO]),0))
   *(1+VLOOKUP($C$2,LISTAS[],2,FALSE))
   *(1+VLOOKUP($C$2,LISTAS[],3,FALSE))
)
/5,0)*5</f>
        <v>204360</v>
      </c>
      <c r="N18" s="65" cm="1">
        <f t="array" ref="N18">ROUND(
IF($A$2="COSTO",
   ((B18*(1+IFERROR(VLOOKUP($D$2,COLORES[],2,FALSE),0)))+G18)
   *(1-IFERROR(_xlfn.XLOOKUP(1,(DESC_PROV[LINEA]=$B$2)*(DESC_PROV[LISTA]=$C$2),DESC_PROV[DESCUENTO]),0)),
   ((B18*(1+IFERROR(VLOOKUP($D$2,COLORES[],2,FALSE),0)))+G18)
   *(1-IFERROR(_xlfn.XLOOKUP(1,(DESC_PROV[LINEA]=$B$2)*(DESC_PROV[LISTA]=$C$2),DESC_PROV[DESCUENTO]),0))
   *(1+VLOOKUP($C$2,LISTAS[],2,FALSE))
   *(1+VLOOKUP($C$2,LISTAS[],3,FALSE))
)
/5,0)*5</f>
        <v>210580</v>
      </c>
      <c r="O18" s="65" cm="1">
        <f t="array" ref="O18">ROUND(
IF($A$2="COSTO",
   ((B18*(1+IFERROR(VLOOKUP($D$2,COLORES[],2,FALSE),0)))+H18)
   *(1-IFERROR(_xlfn.XLOOKUP(1,(DESC_PROV[LINEA]=$B$2)*(DESC_PROV[LISTA]=$C$2),DESC_PROV[DESCUENTO]),0)),
   ((B18*(1+IFERROR(VLOOKUP($D$2,COLORES[],2,FALSE),0)))+H18)
   *(1-IFERROR(_xlfn.XLOOKUP(1,(DESC_PROV[LINEA]=$B$2)*(DESC_PROV[LISTA]=$C$2),DESC_PROV[DESCUENTO]),0))
   *(1+VLOOKUP($C$2,LISTAS[],2,FALSE))
   *(1+VLOOKUP($C$2,LISTAS[],3,FALSE))
)
/5,0)*5</f>
        <v>265675</v>
      </c>
      <c r="P18" s="65" cm="1">
        <f t="array" ref="P18">ROUND(
IF($A$2="COSTO",
   (C18*(1+IFERROR(VLOOKUP($D$2,COLORES[],2,FALSE),0)))
   *(1-IFERROR(_xlfn.XLOOKUP(1,(DESC_PROV[LINEA]=$B$2)*(DESC_PROV[LISTA]=$C$2),DESC_PROV[DESCUENTO]),0)),
   (C18*(1+IFERROR(VLOOKUP($D$2,COLORES[],2,FALSE),0)))
   *(1-IFERROR(_xlfn.XLOOKUP(1,(DESC_PROV[LINEA]=$B$2)*(DESC_PROV[LISTA]=$C$2),DESC_PROV[DESCUENTO]),0))
   *(1+VLOOKUP($C$2,LISTAS[],2,FALSE))
   *(1+VLOOKUP($C$2,LISTAS[],3,FALSE))
)
/5,0)*5</f>
        <v>11815</v>
      </c>
      <c r="Q18" s="65" cm="1">
        <f t="array" ref="Q18">ROUND(
IF($A$2="COSTO",
   (D18*(1+IFERROR(VLOOKUP($D$2,COLORES[],2,FALSE),0)))
   *(1-IFERROR(_xlfn.XLOOKUP(1,(DESC_PROV[LINEA]=$B$2)*(DESC_PROV[LISTA]=$C$2),DESC_PROV[DESCUENTO]),0)),
   (D18*(1+IFERROR(VLOOKUP($D$2,COLORES[],2,FALSE),0)))
   *(1-IFERROR(_xlfn.XLOOKUP(1,(DESC_PROV[LINEA]=$B$2)*(DESC_PROV[LISTA]=$C$2),DESC_PROV[DESCUENTO]),0))
   *(1+VLOOKUP($C$2,LISTAS[],2,FALSE))
   *(1+VLOOKUP($C$2,LISTAS[],4,FALSE))
)
/5,0)*5</f>
        <v>39040</v>
      </c>
      <c r="R18" s="66" cm="1">
        <f t="array" ref="R18">ROUND(
IF($A$2="COSTO",
   ((B18*(1+IFERROR(VLOOKUP($D$2,COLORES[],2,FALSE),0)))+(F18+I18+F18))
   *(1-IFERROR(_xlfn.XLOOKUP(1,(DESC_PROV[LINEA]=$B$2)*(DESC_PROV[LISTA]=$C$2),DESC_PROV[DESCUENTO]),0)),
   ((B18*(1+IFERROR(VLOOKUP($D$2,COLORES[],2,FALSE),0)))+(F18+I18+F18))
   *(1-IFERROR(_xlfn.XLOOKUP(1,(DESC_PROV[LINEA]=$B$2)*(DESC_PROV[LISTA]=$C$2),DESC_PROV[DESCUENTO]),0))
   *(1+VLOOKUP($C$2,LISTAS[],2,FALSE))
   *(1+VLOOKUP($C$2,LISTAS[],3,FALSE))
)
/5,0)*5</f>
        <v>323185</v>
      </c>
    </row>
    <row r="19" spans="1:18">
      <c r="A19" s="107" t="s">
        <v>274</v>
      </c>
      <c r="B19" s="64">
        <v>159969</v>
      </c>
      <c r="C19" s="64">
        <v>9219</v>
      </c>
      <c r="D19" s="64">
        <v>26700</v>
      </c>
      <c r="E19" s="64">
        <v>14138</v>
      </c>
      <c r="F19" s="64">
        <v>17126</v>
      </c>
      <c r="G19" s="64">
        <v>22554</v>
      </c>
      <c r="H19" s="64">
        <v>70607</v>
      </c>
      <c r="I19" s="64">
        <v>82555</v>
      </c>
      <c r="J19" s="2"/>
      <c r="K19" s="107" t="s">
        <v>274</v>
      </c>
      <c r="L19" s="65" cm="1">
        <f t="array" ref="L19">ROUND(
IF($A$2="COSTO",
   ((B19*(1+IFERROR(VLOOKUP($D$2,COLORES[],2,FALSE),0)))+E19)
   *(1-IFERROR(_xlfn.XLOOKUP(1,(DESC_PROV[LINEA]=$B$2)*(DESC_PROV[LISTA]=$C$2),DESC_PROV[DESCUENTO]),0)),
   ((B19*(1+IFERROR(VLOOKUP($D$2,COLORES[],2,FALSE),0)))+E19)
   *(1-IFERROR(_xlfn.XLOOKUP(1,(DESC_PROV[LINEA]=$B$2)*(DESC_PROV[LISTA]=$C$2),DESC_PROV[DESCUENTO]),0))
   *(1+VLOOKUP($C$2,LISTAS[],2,FALSE))
   *(1+VLOOKUP($C$2,LISTAS[],3,FALSE))
)
/5,0)*5</f>
        <v>223125</v>
      </c>
      <c r="M19" s="65" cm="1">
        <f t="array" ref="M19">ROUND(
IF($A$2="COSTO",
   ((B19*(1+IFERROR(VLOOKUP($D$2,COLORES[],2,FALSE),0)))+F19)
   *(1-IFERROR(_xlfn.XLOOKUP(1,(DESC_PROV[LINEA]=$B$2)*(DESC_PROV[LISTA]=$C$2),DESC_PROV[DESCUENTO]),0)),
   ((B19*(1+IFERROR(VLOOKUP($D$2,COLORES[],2,FALSE),0)))+F19)
   *(1-IFERROR(_xlfn.XLOOKUP(1,(DESC_PROV[LINEA]=$B$2)*(DESC_PROV[LISTA]=$C$2),DESC_PROV[DESCUENTO]),0))
   *(1+VLOOKUP($C$2,LISTAS[],2,FALSE))
   *(1+VLOOKUP($C$2,LISTAS[],3,FALSE))
)
/5,0)*5</f>
        <v>226955</v>
      </c>
      <c r="N19" s="65" cm="1">
        <f t="array" ref="N19">ROUND(
IF($A$2="COSTO",
   ((B19*(1+IFERROR(VLOOKUP($D$2,COLORES[],2,FALSE),0)))+G19)
   *(1-IFERROR(_xlfn.XLOOKUP(1,(DESC_PROV[LINEA]=$B$2)*(DESC_PROV[LISTA]=$C$2),DESC_PROV[DESCUENTO]),0)),
   ((B19*(1+IFERROR(VLOOKUP($D$2,COLORES[],2,FALSE),0)))+G19)
   *(1-IFERROR(_xlfn.XLOOKUP(1,(DESC_PROV[LINEA]=$B$2)*(DESC_PROV[LISTA]=$C$2),DESC_PROV[DESCUENTO]),0))
   *(1+VLOOKUP($C$2,LISTAS[],2,FALSE))
   *(1+VLOOKUP($C$2,LISTAS[],3,FALSE))
)
/5,0)*5</f>
        <v>233910</v>
      </c>
      <c r="O19" s="65" cm="1">
        <f t="array" ref="O19">ROUND(
IF($A$2="COSTO",
   ((B19*(1+IFERROR(VLOOKUP($D$2,COLORES[],2,FALSE),0)))+H19)
   *(1-IFERROR(_xlfn.XLOOKUP(1,(DESC_PROV[LINEA]=$B$2)*(DESC_PROV[LISTA]=$C$2),DESC_PROV[DESCUENTO]),0)),
   ((B19*(1+IFERROR(VLOOKUP($D$2,COLORES[],2,FALSE),0)))+H19)
   *(1-IFERROR(_xlfn.XLOOKUP(1,(DESC_PROV[LINEA]=$B$2)*(DESC_PROV[LISTA]=$C$2),DESC_PROV[DESCUENTO]),0))
   *(1+VLOOKUP($C$2,LISTAS[],2,FALSE))
   *(1+VLOOKUP($C$2,LISTAS[],3,FALSE))
)
/5,0)*5</f>
        <v>295490</v>
      </c>
      <c r="P19" s="65" cm="1">
        <f t="array" ref="P19">ROUND(
IF($A$2="COSTO",
   (C19*(1+IFERROR(VLOOKUP($D$2,COLORES[],2,FALSE),0)))
   *(1-IFERROR(_xlfn.XLOOKUP(1,(DESC_PROV[LINEA]=$B$2)*(DESC_PROV[LISTA]=$C$2),DESC_PROV[DESCUENTO]),0)),
   (C19*(1+IFERROR(VLOOKUP($D$2,COLORES[],2,FALSE),0)))
   *(1-IFERROR(_xlfn.XLOOKUP(1,(DESC_PROV[LINEA]=$B$2)*(DESC_PROV[LISTA]=$C$2),DESC_PROV[DESCUENTO]),0))
   *(1+VLOOKUP($C$2,LISTAS[],2,FALSE))
   *(1+VLOOKUP($C$2,LISTAS[],3,FALSE))
)
/5,0)*5</f>
        <v>11815</v>
      </c>
      <c r="Q19" s="65" cm="1">
        <f t="array" ref="Q19">ROUND(
IF($A$2="COSTO",
   (D19*(1+IFERROR(VLOOKUP($D$2,COLORES[],2,FALSE),0)))
   *(1-IFERROR(_xlfn.XLOOKUP(1,(DESC_PROV[LINEA]=$B$2)*(DESC_PROV[LISTA]=$C$2),DESC_PROV[DESCUENTO]),0)),
   (D19*(1+IFERROR(VLOOKUP($D$2,COLORES[],2,FALSE),0)))
   *(1-IFERROR(_xlfn.XLOOKUP(1,(DESC_PROV[LINEA]=$B$2)*(DESC_PROV[LISTA]=$C$2),DESC_PROV[DESCUENTO]),0))
   *(1+VLOOKUP($C$2,LISTAS[],2,FALSE))
   *(1+VLOOKUP($C$2,LISTAS[],4,FALSE))
)
/5,0)*5</f>
        <v>42115</v>
      </c>
      <c r="R19" s="66" cm="1">
        <f t="array" ref="R19">ROUND(
IF($A$2="COSTO",
   ((B19*(1+IFERROR(VLOOKUP($D$2,COLORES[],2,FALSE),0)))+(F19+I19+F19))
   *(1-IFERROR(_xlfn.XLOOKUP(1,(DESC_PROV[LINEA]=$B$2)*(DESC_PROV[LISTA]=$C$2),DESC_PROV[DESCUENTO]),0)),
   ((B19*(1+IFERROR(VLOOKUP($D$2,COLORES[],2,FALSE),0)))+(F19+I19+F19))
   *(1-IFERROR(_xlfn.XLOOKUP(1,(DESC_PROV[LINEA]=$B$2)*(DESC_PROV[LISTA]=$C$2),DESC_PROV[DESCUENTO]),0))
   *(1+VLOOKUP($C$2,LISTAS[],2,FALSE))
   *(1+VLOOKUP($C$2,LISTAS[],3,FALSE))
)
/5,0)*5</f>
        <v>354700</v>
      </c>
    </row>
    <row r="20" spans="1:18">
      <c r="A20" s="107" t="s">
        <v>175</v>
      </c>
      <c r="B20" s="64">
        <v>115844</v>
      </c>
      <c r="C20" s="64">
        <v>12293</v>
      </c>
      <c r="D20" s="64">
        <v>20600</v>
      </c>
      <c r="E20" s="64">
        <v>9377</v>
      </c>
      <c r="F20" s="64">
        <v>11356</v>
      </c>
      <c r="G20" s="64">
        <v>14957</v>
      </c>
      <c r="H20" s="64">
        <v>46826</v>
      </c>
      <c r="I20" s="64">
        <v>67076</v>
      </c>
      <c r="J20" s="2"/>
      <c r="K20" s="107" t="s">
        <v>175</v>
      </c>
      <c r="L20" s="65" cm="1">
        <f t="array" ref="L20">ROUND(
IF($A$2="COSTO",
   ((B20*(1+IFERROR(VLOOKUP($D$2,COLORES[],2,FALSE),0)))+E20)
   *(1-IFERROR(_xlfn.XLOOKUP(1,(DESC_PROV[LINEA]=$B$2)*(DESC_PROV[LISTA]=$C$2),DESC_PROV[DESCUENTO]),0)),
   ((B20*(1+IFERROR(VLOOKUP($D$2,COLORES[],2,FALSE),0)))+E20)
   *(1-IFERROR(_xlfn.XLOOKUP(1,(DESC_PROV[LINEA]=$B$2)*(DESC_PROV[LISTA]=$C$2),DESC_PROV[DESCUENTO]),0))
   *(1+VLOOKUP($C$2,LISTAS[],2,FALSE))
   *(1+VLOOKUP($C$2,LISTAS[],3,FALSE))
)
/5,0)*5</f>
        <v>160475</v>
      </c>
      <c r="M20" s="65" cm="1">
        <f t="array" ref="M20">ROUND(
IF($A$2="COSTO",
   ((B20*(1+IFERROR(VLOOKUP($D$2,COLORES[],2,FALSE),0)))+F20)
   *(1-IFERROR(_xlfn.XLOOKUP(1,(DESC_PROV[LINEA]=$B$2)*(DESC_PROV[LISTA]=$C$2),DESC_PROV[DESCUENTO]),0)),
   ((B20*(1+IFERROR(VLOOKUP($D$2,COLORES[],2,FALSE),0)))+F20)
   *(1-IFERROR(_xlfn.XLOOKUP(1,(DESC_PROV[LINEA]=$B$2)*(DESC_PROV[LISTA]=$C$2),DESC_PROV[DESCUENTO]),0))
   *(1+VLOOKUP($C$2,LISTAS[],2,FALSE))
   *(1+VLOOKUP($C$2,LISTAS[],3,FALSE))
)
/5,0)*5</f>
        <v>163010</v>
      </c>
      <c r="N20" s="65" cm="1">
        <f t="array" ref="N20">ROUND(
IF($A$2="COSTO",
   ((B20*(1+IFERROR(VLOOKUP($D$2,COLORES[],2,FALSE),0)))+G20)
   *(1-IFERROR(_xlfn.XLOOKUP(1,(DESC_PROV[LINEA]=$B$2)*(DESC_PROV[LISTA]=$C$2),DESC_PROV[DESCUENTO]),0)),
   ((B20*(1+IFERROR(VLOOKUP($D$2,COLORES[],2,FALSE),0)))+G20)
   *(1-IFERROR(_xlfn.XLOOKUP(1,(DESC_PROV[LINEA]=$B$2)*(DESC_PROV[LISTA]=$C$2),DESC_PROV[DESCUENTO]),0))
   *(1+VLOOKUP($C$2,LISTAS[],2,FALSE))
   *(1+VLOOKUP($C$2,LISTAS[],3,FALSE))
)
/5,0)*5</f>
        <v>167625</v>
      </c>
      <c r="O20" s="65" cm="1">
        <f t="array" ref="O20">ROUND(
IF($A$2="COSTO",
   ((B20*(1+IFERROR(VLOOKUP($D$2,COLORES[],2,FALSE),0)))+H20)
   *(1-IFERROR(_xlfn.XLOOKUP(1,(DESC_PROV[LINEA]=$B$2)*(DESC_PROV[LISTA]=$C$2),DESC_PROV[DESCUENTO]),0)),
   ((B20*(1+IFERROR(VLOOKUP($D$2,COLORES[],2,FALSE),0)))+H20)
   *(1-IFERROR(_xlfn.XLOOKUP(1,(DESC_PROV[LINEA]=$B$2)*(DESC_PROV[LISTA]=$C$2),DESC_PROV[DESCUENTO]),0))
   *(1+VLOOKUP($C$2,LISTAS[],2,FALSE))
   *(1+VLOOKUP($C$2,LISTAS[],3,FALSE))
)
/5,0)*5</f>
        <v>208470</v>
      </c>
      <c r="P20" s="65" cm="1">
        <f t="array" ref="P20">ROUND(
IF($A$2="COSTO",
   (C20*(1+IFERROR(VLOOKUP($D$2,COLORES[],2,FALSE),0)))
   *(1-IFERROR(_xlfn.XLOOKUP(1,(DESC_PROV[LINEA]=$B$2)*(DESC_PROV[LISTA]=$C$2),DESC_PROV[DESCUENTO]),0)),
   (C20*(1+IFERROR(VLOOKUP($D$2,COLORES[],2,FALSE),0)))
   *(1-IFERROR(_xlfn.XLOOKUP(1,(DESC_PROV[LINEA]=$B$2)*(DESC_PROV[LISTA]=$C$2),DESC_PROV[DESCUENTO]),0))
   *(1+VLOOKUP($C$2,LISTAS[],2,FALSE))
   *(1+VLOOKUP($C$2,LISTAS[],3,FALSE))
)
/5,0)*5</f>
        <v>15755</v>
      </c>
      <c r="Q20" s="65" cm="1">
        <f t="array" ref="Q20">ROUND(
IF($A$2="COSTO",
   (D20*(1+IFERROR(VLOOKUP($D$2,COLORES[],2,FALSE),0)))
   *(1-IFERROR(_xlfn.XLOOKUP(1,(DESC_PROV[LINEA]=$B$2)*(DESC_PROV[LISTA]=$C$2),DESC_PROV[DESCUENTO]),0)),
   (D20*(1+IFERROR(VLOOKUP($D$2,COLORES[],2,FALSE),0)))
   *(1-IFERROR(_xlfn.XLOOKUP(1,(DESC_PROV[LINEA]=$B$2)*(DESC_PROV[LISTA]=$C$2),DESC_PROV[DESCUENTO]),0))
   *(1+VLOOKUP($C$2,LISTAS[],2,FALSE))
   *(1+VLOOKUP($C$2,LISTAS[],4,FALSE))
)
/5,0)*5</f>
        <v>32490</v>
      </c>
      <c r="R20" s="66" cm="1">
        <f t="array" ref="R20">ROUND(
IF($A$2="COSTO",
   ((B20*(1+IFERROR(VLOOKUP($D$2,COLORES[],2,FALSE),0)))+(F20+I20+F20))
   *(1-IFERROR(_xlfn.XLOOKUP(1,(DESC_PROV[LINEA]=$B$2)*(DESC_PROV[LISTA]=$C$2),DESC_PROV[DESCUENTO]),0)),
   ((B20*(1+IFERROR(VLOOKUP($D$2,COLORES[],2,FALSE),0)))+(F20+I20+F20))
   *(1-IFERROR(_xlfn.XLOOKUP(1,(DESC_PROV[LINEA]=$B$2)*(DESC_PROV[LISTA]=$C$2),DESC_PROV[DESCUENTO]),0))
   *(1+VLOOKUP($C$2,LISTAS[],2,FALSE))
   *(1+VLOOKUP($C$2,LISTAS[],3,FALSE))
)
/5,0)*5</f>
        <v>263525</v>
      </c>
    </row>
    <row r="21" spans="1:18">
      <c r="A21" s="107" t="s">
        <v>275</v>
      </c>
      <c r="B21" s="64">
        <v>124588</v>
      </c>
      <c r="C21" s="64">
        <v>12293</v>
      </c>
      <c r="D21" s="64">
        <v>22800</v>
      </c>
      <c r="E21" s="64">
        <v>11461</v>
      </c>
      <c r="F21" s="64">
        <v>13881</v>
      </c>
      <c r="G21" s="64">
        <v>18281</v>
      </c>
      <c r="H21" s="64">
        <v>57228</v>
      </c>
      <c r="I21" s="64">
        <v>72236</v>
      </c>
      <c r="J21" s="2"/>
      <c r="K21" s="107" t="s">
        <v>275</v>
      </c>
      <c r="L21" s="65" cm="1">
        <f t="array" ref="L21">ROUND(
IF($A$2="COSTO",
   ((B21*(1+IFERROR(VLOOKUP($D$2,COLORES[],2,FALSE),0)))+E21)
   *(1-IFERROR(_xlfn.XLOOKUP(1,(DESC_PROV[LINEA]=$B$2)*(DESC_PROV[LISTA]=$C$2),DESC_PROV[DESCUENTO]),0)),
   ((B21*(1+IFERROR(VLOOKUP($D$2,COLORES[],2,FALSE),0)))+E21)
   *(1-IFERROR(_xlfn.XLOOKUP(1,(DESC_PROV[LINEA]=$B$2)*(DESC_PROV[LISTA]=$C$2),DESC_PROV[DESCUENTO]),0))
   *(1+VLOOKUP($C$2,LISTAS[],2,FALSE))
   *(1+VLOOKUP($C$2,LISTAS[],3,FALSE))
)
/5,0)*5</f>
        <v>174350</v>
      </c>
      <c r="M21" s="65" cm="1">
        <f t="array" ref="M21">ROUND(
IF($A$2="COSTO",
   ((B21*(1+IFERROR(VLOOKUP($D$2,COLORES[],2,FALSE),0)))+F21)
   *(1-IFERROR(_xlfn.XLOOKUP(1,(DESC_PROV[LINEA]=$B$2)*(DESC_PROV[LISTA]=$C$2),DESC_PROV[DESCUENTO]),0)),
   ((B21*(1+IFERROR(VLOOKUP($D$2,COLORES[],2,FALSE),0)))+F21)
   *(1-IFERROR(_xlfn.XLOOKUP(1,(DESC_PROV[LINEA]=$B$2)*(DESC_PROV[LISTA]=$C$2),DESC_PROV[DESCUENTO]),0))
   *(1+VLOOKUP($C$2,LISTAS[],2,FALSE))
   *(1+VLOOKUP($C$2,LISTAS[],3,FALSE))
)
/5,0)*5</f>
        <v>177455</v>
      </c>
      <c r="N21" s="65" cm="1">
        <f t="array" ref="N21">ROUND(
IF($A$2="COSTO",
   ((B21*(1+IFERROR(VLOOKUP($D$2,COLORES[],2,FALSE),0)))+G21)
   *(1-IFERROR(_xlfn.XLOOKUP(1,(DESC_PROV[LINEA]=$B$2)*(DESC_PROV[LISTA]=$C$2),DESC_PROV[DESCUENTO]),0)),
   ((B21*(1+IFERROR(VLOOKUP($D$2,COLORES[],2,FALSE),0)))+G21)
   *(1-IFERROR(_xlfn.XLOOKUP(1,(DESC_PROV[LINEA]=$B$2)*(DESC_PROV[LISTA]=$C$2),DESC_PROV[DESCUENTO]),0))
   *(1+VLOOKUP($C$2,LISTAS[],2,FALSE))
   *(1+VLOOKUP($C$2,LISTAS[],3,FALSE))
)
/5,0)*5</f>
        <v>183090</v>
      </c>
      <c r="O21" s="65" cm="1">
        <f t="array" ref="O21">ROUND(
IF($A$2="COSTO",
   ((B21*(1+IFERROR(VLOOKUP($D$2,COLORES[],2,FALSE),0)))+H21)
   *(1-IFERROR(_xlfn.XLOOKUP(1,(DESC_PROV[LINEA]=$B$2)*(DESC_PROV[LISTA]=$C$2),DESC_PROV[DESCUENTO]),0)),
   ((B21*(1+IFERROR(VLOOKUP($D$2,COLORES[],2,FALSE),0)))+H21)
   *(1-IFERROR(_xlfn.XLOOKUP(1,(DESC_PROV[LINEA]=$B$2)*(DESC_PROV[LISTA]=$C$2),DESC_PROV[DESCUENTO]),0))
   *(1+VLOOKUP($C$2,LISTAS[],2,FALSE))
   *(1+VLOOKUP($C$2,LISTAS[],3,FALSE))
)
/5,0)*5</f>
        <v>233005</v>
      </c>
      <c r="P21" s="65" cm="1">
        <f t="array" ref="P21">ROUND(
IF($A$2="COSTO",
   (C21*(1+IFERROR(VLOOKUP($D$2,COLORES[],2,FALSE),0)))
   *(1-IFERROR(_xlfn.XLOOKUP(1,(DESC_PROV[LINEA]=$B$2)*(DESC_PROV[LISTA]=$C$2),DESC_PROV[DESCUENTO]),0)),
   (C21*(1+IFERROR(VLOOKUP($D$2,COLORES[],2,FALSE),0)))
   *(1-IFERROR(_xlfn.XLOOKUP(1,(DESC_PROV[LINEA]=$B$2)*(DESC_PROV[LISTA]=$C$2),DESC_PROV[DESCUENTO]),0))
   *(1+VLOOKUP($C$2,LISTAS[],2,FALSE))
   *(1+VLOOKUP($C$2,LISTAS[],3,FALSE))
)
/5,0)*5</f>
        <v>15755</v>
      </c>
      <c r="Q21" s="65" cm="1">
        <f t="array" ref="Q21">ROUND(
IF($A$2="COSTO",
   (D21*(1+IFERROR(VLOOKUP($D$2,COLORES[],2,FALSE),0)))
   *(1-IFERROR(_xlfn.XLOOKUP(1,(DESC_PROV[LINEA]=$B$2)*(DESC_PROV[LISTA]=$C$2),DESC_PROV[DESCUENTO]),0)),
   (D21*(1+IFERROR(VLOOKUP($D$2,COLORES[],2,FALSE),0)))
   *(1-IFERROR(_xlfn.XLOOKUP(1,(DESC_PROV[LINEA]=$B$2)*(DESC_PROV[LISTA]=$C$2),DESC_PROV[DESCUENTO]),0))
   *(1+VLOOKUP($C$2,LISTAS[],2,FALSE))
   *(1+VLOOKUP($C$2,LISTAS[],4,FALSE))
)
/5,0)*5</f>
        <v>35960</v>
      </c>
      <c r="R21" s="66" cm="1">
        <f t="array" ref="R21">ROUND(
IF($A$2="COSTO",
   ((B21*(1+IFERROR(VLOOKUP($D$2,COLORES[],2,FALSE),0)))+(F21+I21+F21))
   *(1-IFERROR(_xlfn.XLOOKUP(1,(DESC_PROV[LINEA]=$B$2)*(DESC_PROV[LISTA]=$C$2),DESC_PROV[DESCUENTO]),0)),
   ((B21*(1+IFERROR(VLOOKUP($D$2,COLORES[],2,FALSE),0)))+(F21+I21+F21))
   *(1-IFERROR(_xlfn.XLOOKUP(1,(DESC_PROV[LINEA]=$B$2)*(DESC_PROV[LISTA]=$C$2),DESC_PROV[DESCUENTO]),0))
   *(1+VLOOKUP($C$2,LISTAS[],2,FALSE))
   *(1+VLOOKUP($C$2,LISTAS[],3,FALSE))
)
/5,0)*5</f>
        <v>287815</v>
      </c>
    </row>
    <row r="22" spans="1:18">
      <c r="A22" s="107" t="s">
        <v>276</v>
      </c>
      <c r="B22" s="64">
        <v>139475</v>
      </c>
      <c r="C22" s="64">
        <v>12293</v>
      </c>
      <c r="D22" s="64">
        <v>26100</v>
      </c>
      <c r="E22" s="64">
        <v>14585</v>
      </c>
      <c r="F22" s="64">
        <v>17666</v>
      </c>
      <c r="G22" s="64">
        <v>23268</v>
      </c>
      <c r="H22" s="64">
        <v>72836</v>
      </c>
      <c r="I22" s="64">
        <v>79975</v>
      </c>
      <c r="J22" s="2"/>
      <c r="K22" s="107" t="s">
        <v>276</v>
      </c>
      <c r="L22" s="65" cm="1">
        <f t="array" ref="L22">ROUND(
IF($A$2="COSTO",
   ((B22*(1+IFERROR(VLOOKUP($D$2,COLORES[],2,FALSE),0)))+E22)
   *(1-IFERROR(_xlfn.XLOOKUP(1,(DESC_PROV[LINEA]=$B$2)*(DESC_PROV[LISTA]=$C$2),DESC_PROV[DESCUENTO]),0)),
   ((B22*(1+IFERROR(VLOOKUP($D$2,COLORES[],2,FALSE),0)))+E22)
   *(1-IFERROR(_xlfn.XLOOKUP(1,(DESC_PROV[LINEA]=$B$2)*(DESC_PROV[LISTA]=$C$2),DESC_PROV[DESCUENTO]),0))
   *(1+VLOOKUP($C$2,LISTAS[],2,FALSE))
   *(1+VLOOKUP($C$2,LISTAS[],3,FALSE))
)
/5,0)*5</f>
        <v>197435</v>
      </c>
      <c r="M22" s="65" cm="1">
        <f t="array" ref="M22">ROUND(
IF($A$2="COSTO",
   ((B22*(1+IFERROR(VLOOKUP($D$2,COLORES[],2,FALSE),0)))+F22)
   *(1-IFERROR(_xlfn.XLOOKUP(1,(DESC_PROV[LINEA]=$B$2)*(DESC_PROV[LISTA]=$C$2),DESC_PROV[DESCUENTO]),0)),
   ((B22*(1+IFERROR(VLOOKUP($D$2,COLORES[],2,FALSE),0)))+F22)
   *(1-IFERROR(_xlfn.XLOOKUP(1,(DESC_PROV[LINEA]=$B$2)*(DESC_PROV[LISTA]=$C$2),DESC_PROV[DESCUENTO]),0))
   *(1+VLOOKUP($C$2,LISTAS[],2,FALSE))
   *(1+VLOOKUP($C$2,LISTAS[],3,FALSE))
)
/5,0)*5</f>
        <v>201380</v>
      </c>
      <c r="N22" s="65" cm="1">
        <f t="array" ref="N22">ROUND(
IF($A$2="COSTO",
   ((B22*(1+IFERROR(VLOOKUP($D$2,COLORES[],2,FALSE),0)))+G22)
   *(1-IFERROR(_xlfn.XLOOKUP(1,(DESC_PROV[LINEA]=$B$2)*(DESC_PROV[LISTA]=$C$2),DESC_PROV[DESCUENTO]),0)),
   ((B22*(1+IFERROR(VLOOKUP($D$2,COLORES[],2,FALSE),0)))+G22)
   *(1-IFERROR(_xlfn.XLOOKUP(1,(DESC_PROV[LINEA]=$B$2)*(DESC_PROV[LISTA]=$C$2),DESC_PROV[DESCUENTO]),0))
   *(1+VLOOKUP($C$2,LISTAS[],2,FALSE))
   *(1+VLOOKUP($C$2,LISTAS[],3,FALSE))
)
/5,0)*5</f>
        <v>208560</v>
      </c>
      <c r="O22" s="65" cm="1">
        <f t="array" ref="O22">ROUND(
IF($A$2="COSTO",
   ((B22*(1+IFERROR(VLOOKUP($D$2,COLORES[],2,FALSE),0)))+H22)
   *(1-IFERROR(_xlfn.XLOOKUP(1,(DESC_PROV[LINEA]=$B$2)*(DESC_PROV[LISTA]=$C$2),DESC_PROV[DESCUENTO]),0)),
   ((B22*(1+IFERROR(VLOOKUP($D$2,COLORES[],2,FALSE),0)))+H22)
   *(1-IFERROR(_xlfn.XLOOKUP(1,(DESC_PROV[LINEA]=$B$2)*(DESC_PROV[LISTA]=$C$2),DESC_PROV[DESCUENTO]),0))
   *(1+VLOOKUP($C$2,LISTAS[],2,FALSE))
   *(1+VLOOKUP($C$2,LISTAS[],3,FALSE))
)
/5,0)*5</f>
        <v>272085</v>
      </c>
      <c r="P22" s="65" cm="1">
        <f t="array" ref="P22">ROUND(
IF($A$2="COSTO",
   (C22*(1+IFERROR(VLOOKUP($D$2,COLORES[],2,FALSE),0)))
   *(1-IFERROR(_xlfn.XLOOKUP(1,(DESC_PROV[LINEA]=$B$2)*(DESC_PROV[LISTA]=$C$2),DESC_PROV[DESCUENTO]),0)),
   (C22*(1+IFERROR(VLOOKUP($D$2,COLORES[],2,FALSE),0)))
   *(1-IFERROR(_xlfn.XLOOKUP(1,(DESC_PROV[LINEA]=$B$2)*(DESC_PROV[LISTA]=$C$2),DESC_PROV[DESCUENTO]),0))
   *(1+VLOOKUP($C$2,LISTAS[],2,FALSE))
   *(1+VLOOKUP($C$2,LISTAS[],3,FALSE))
)
/5,0)*5</f>
        <v>15755</v>
      </c>
      <c r="Q22" s="65" cm="1">
        <f t="array" ref="Q22">ROUND(
IF($A$2="COSTO",
   (D22*(1+IFERROR(VLOOKUP($D$2,COLORES[],2,FALSE),0)))
   *(1-IFERROR(_xlfn.XLOOKUP(1,(DESC_PROV[LINEA]=$B$2)*(DESC_PROV[LISTA]=$C$2),DESC_PROV[DESCUENTO]),0)),
   (D22*(1+IFERROR(VLOOKUP($D$2,COLORES[],2,FALSE),0)))
   *(1-IFERROR(_xlfn.XLOOKUP(1,(DESC_PROV[LINEA]=$B$2)*(DESC_PROV[LISTA]=$C$2),DESC_PROV[DESCUENTO]),0))
   *(1+VLOOKUP($C$2,LISTAS[],2,FALSE))
   *(1+VLOOKUP($C$2,LISTAS[],4,FALSE))
)
/5,0)*5</f>
        <v>41165</v>
      </c>
      <c r="R22" s="66" cm="1">
        <f t="array" ref="R22">ROUND(
IF($A$2="COSTO",
   ((B22*(1+IFERROR(VLOOKUP($D$2,COLORES[],2,FALSE),0)))+(F22+I22+F22))
   *(1-IFERROR(_xlfn.XLOOKUP(1,(DESC_PROV[LINEA]=$B$2)*(DESC_PROV[LISTA]=$C$2),DESC_PROV[DESCUENTO]),0)),
   ((B22*(1+IFERROR(VLOOKUP($D$2,COLORES[],2,FALSE),0)))+(F22+I22+F22))
   *(1-IFERROR(_xlfn.XLOOKUP(1,(DESC_PROV[LINEA]=$B$2)*(DESC_PROV[LISTA]=$C$2),DESC_PROV[DESCUENTO]),0))
   *(1+VLOOKUP($C$2,LISTAS[],2,FALSE))
   *(1+VLOOKUP($C$2,LISTAS[],3,FALSE))
)
/5,0)*5</f>
        <v>326515</v>
      </c>
    </row>
    <row r="23" spans="1:18">
      <c r="A23" s="107" t="s">
        <v>277</v>
      </c>
      <c r="B23" s="64">
        <v>154356</v>
      </c>
      <c r="C23" s="64">
        <v>12293</v>
      </c>
      <c r="D23" s="64">
        <v>29400</v>
      </c>
      <c r="E23" s="64">
        <v>17714</v>
      </c>
      <c r="F23" s="64">
        <v>21452</v>
      </c>
      <c r="G23" s="64">
        <v>28256</v>
      </c>
      <c r="H23" s="64">
        <v>88445</v>
      </c>
      <c r="I23" s="64">
        <v>87715</v>
      </c>
      <c r="J23" s="2"/>
      <c r="K23" s="107" t="s">
        <v>277</v>
      </c>
      <c r="L23" s="65" cm="1">
        <f t="array" ref="L23">ROUND(
IF($A$2="COSTO",
   ((B23*(1+IFERROR(VLOOKUP($D$2,COLORES[],2,FALSE),0)))+E23)
   *(1-IFERROR(_xlfn.XLOOKUP(1,(DESC_PROV[LINEA]=$B$2)*(DESC_PROV[LISTA]=$C$2),DESC_PROV[DESCUENTO]),0)),
   ((B23*(1+IFERROR(VLOOKUP($D$2,COLORES[],2,FALSE),0)))+E23)
   *(1-IFERROR(_xlfn.XLOOKUP(1,(DESC_PROV[LINEA]=$B$2)*(DESC_PROV[LISTA]=$C$2),DESC_PROV[DESCUENTO]),0))
   *(1+VLOOKUP($C$2,LISTAS[],2,FALSE))
   *(1+VLOOKUP($C$2,LISTAS[],3,FALSE))
)
/5,0)*5</f>
        <v>220515</v>
      </c>
      <c r="M23" s="65" cm="1">
        <f t="array" ref="M23">ROUND(
IF($A$2="COSTO",
   ((B23*(1+IFERROR(VLOOKUP($D$2,COLORES[],2,FALSE),0)))+F23)
   *(1-IFERROR(_xlfn.XLOOKUP(1,(DESC_PROV[LINEA]=$B$2)*(DESC_PROV[LISTA]=$C$2),DESC_PROV[DESCUENTO]),0)),
   ((B23*(1+IFERROR(VLOOKUP($D$2,COLORES[],2,FALSE),0)))+F23)
   *(1-IFERROR(_xlfn.XLOOKUP(1,(DESC_PROV[LINEA]=$B$2)*(DESC_PROV[LISTA]=$C$2),DESC_PROV[DESCUENTO]),0))
   *(1+VLOOKUP($C$2,LISTAS[],2,FALSE))
   *(1+VLOOKUP($C$2,LISTAS[],3,FALSE))
)
/5,0)*5</f>
        <v>225305</v>
      </c>
      <c r="N23" s="65" cm="1">
        <f t="array" ref="N23">ROUND(
IF($A$2="COSTO",
   ((B23*(1+IFERROR(VLOOKUP($D$2,COLORES[],2,FALSE),0)))+G23)
   *(1-IFERROR(_xlfn.XLOOKUP(1,(DESC_PROV[LINEA]=$B$2)*(DESC_PROV[LISTA]=$C$2),DESC_PROV[DESCUENTO]),0)),
   ((B23*(1+IFERROR(VLOOKUP($D$2,COLORES[],2,FALSE),0)))+G23)
   *(1-IFERROR(_xlfn.XLOOKUP(1,(DESC_PROV[LINEA]=$B$2)*(DESC_PROV[LISTA]=$C$2),DESC_PROV[DESCUENTO]),0))
   *(1+VLOOKUP($C$2,LISTAS[],2,FALSE))
   *(1+VLOOKUP($C$2,LISTAS[],3,FALSE))
)
/5,0)*5</f>
        <v>234025</v>
      </c>
      <c r="O23" s="65" cm="1">
        <f t="array" ref="O23">ROUND(
IF($A$2="COSTO",
   ((B23*(1+IFERROR(VLOOKUP($D$2,COLORES[],2,FALSE),0)))+H23)
   *(1-IFERROR(_xlfn.XLOOKUP(1,(DESC_PROV[LINEA]=$B$2)*(DESC_PROV[LISTA]=$C$2),DESC_PROV[DESCUENTO]),0)),
   ((B23*(1+IFERROR(VLOOKUP($D$2,COLORES[],2,FALSE),0)))+H23)
   *(1-IFERROR(_xlfn.XLOOKUP(1,(DESC_PROV[LINEA]=$B$2)*(DESC_PROV[LISTA]=$C$2),DESC_PROV[DESCUENTO]),0))
   *(1+VLOOKUP($C$2,LISTAS[],2,FALSE))
   *(1+VLOOKUP($C$2,LISTAS[],3,FALSE))
)
/5,0)*5</f>
        <v>311160</v>
      </c>
      <c r="P23" s="65" cm="1">
        <f t="array" ref="P23">ROUND(
IF($A$2="COSTO",
   (C23*(1+IFERROR(VLOOKUP($D$2,COLORES[],2,FALSE),0)))
   *(1-IFERROR(_xlfn.XLOOKUP(1,(DESC_PROV[LINEA]=$B$2)*(DESC_PROV[LISTA]=$C$2),DESC_PROV[DESCUENTO]),0)),
   (C23*(1+IFERROR(VLOOKUP($D$2,COLORES[],2,FALSE),0)))
   *(1-IFERROR(_xlfn.XLOOKUP(1,(DESC_PROV[LINEA]=$B$2)*(DESC_PROV[LISTA]=$C$2),DESC_PROV[DESCUENTO]),0))
   *(1+VLOOKUP($C$2,LISTAS[],2,FALSE))
   *(1+VLOOKUP($C$2,LISTAS[],3,FALSE))
)
/5,0)*5</f>
        <v>15755</v>
      </c>
      <c r="Q23" s="65" cm="1">
        <f t="array" ref="Q23">ROUND(
IF($A$2="COSTO",
   (D23*(1+IFERROR(VLOOKUP($D$2,COLORES[],2,FALSE),0)))
   *(1-IFERROR(_xlfn.XLOOKUP(1,(DESC_PROV[LINEA]=$B$2)*(DESC_PROV[LISTA]=$C$2),DESC_PROV[DESCUENTO]),0)),
   (D23*(1+IFERROR(VLOOKUP($D$2,COLORES[],2,FALSE),0)))
   *(1-IFERROR(_xlfn.XLOOKUP(1,(DESC_PROV[LINEA]=$B$2)*(DESC_PROV[LISTA]=$C$2),DESC_PROV[DESCUENTO]),0))
   *(1+VLOOKUP($C$2,LISTAS[],2,FALSE))
   *(1+VLOOKUP($C$2,LISTAS[],4,FALSE))
)
/5,0)*5</f>
        <v>46370</v>
      </c>
      <c r="R23" s="66" cm="1">
        <f t="array" ref="R23">ROUND(
IF($A$2="COSTO",
   ((B23*(1+IFERROR(VLOOKUP($D$2,COLORES[],2,FALSE),0)))+(F23+I23+F23))
   *(1-IFERROR(_xlfn.XLOOKUP(1,(DESC_PROV[LINEA]=$B$2)*(DESC_PROV[LISTA]=$C$2),DESC_PROV[DESCUENTO]),0)),
   ((B23*(1+IFERROR(VLOOKUP($D$2,COLORES[],2,FALSE),0)))+(F23+I23+F23))
   *(1-IFERROR(_xlfn.XLOOKUP(1,(DESC_PROV[LINEA]=$B$2)*(DESC_PROV[LISTA]=$C$2),DESC_PROV[DESCUENTO]),0))
   *(1+VLOOKUP($C$2,LISTAS[],2,FALSE))
   *(1+VLOOKUP($C$2,LISTAS[],3,FALSE))
)
/5,0)*5</f>
        <v>365205</v>
      </c>
    </row>
    <row r="24" spans="1:18">
      <c r="A24" s="107" t="s">
        <v>278</v>
      </c>
      <c r="B24" s="64">
        <v>170325</v>
      </c>
      <c r="C24" s="64">
        <v>12293</v>
      </c>
      <c r="D24" s="64">
        <v>31600</v>
      </c>
      <c r="E24" s="64">
        <v>19793</v>
      </c>
      <c r="F24" s="64">
        <v>23977</v>
      </c>
      <c r="G24" s="64">
        <v>31574</v>
      </c>
      <c r="H24" s="64">
        <v>98847</v>
      </c>
      <c r="I24" s="64">
        <v>92875</v>
      </c>
      <c r="J24" s="2"/>
      <c r="K24" s="107" t="s">
        <v>278</v>
      </c>
      <c r="L24" s="65" cm="1">
        <f t="array" ref="L24">ROUND(
IF($A$2="COSTO",
   ((B24*(1+IFERROR(VLOOKUP($D$2,COLORES[],2,FALSE),0)))+E24)
   *(1-IFERROR(_xlfn.XLOOKUP(1,(DESC_PROV[LINEA]=$B$2)*(DESC_PROV[LISTA]=$C$2),DESC_PROV[DESCUENTO]),0)),
   ((B24*(1+IFERROR(VLOOKUP($D$2,COLORES[],2,FALSE),0)))+E24)
   *(1-IFERROR(_xlfn.XLOOKUP(1,(DESC_PROV[LINEA]=$B$2)*(DESC_PROV[LISTA]=$C$2),DESC_PROV[DESCUENTO]),0))
   *(1+VLOOKUP($C$2,LISTAS[],2,FALSE))
   *(1+VLOOKUP($C$2,LISTAS[],3,FALSE))
)
/5,0)*5</f>
        <v>243645</v>
      </c>
      <c r="M24" s="65" cm="1">
        <f t="array" ref="M24">ROUND(
IF($A$2="COSTO",
   ((B24*(1+IFERROR(VLOOKUP($D$2,COLORES[],2,FALSE),0)))+F24)
   *(1-IFERROR(_xlfn.XLOOKUP(1,(DESC_PROV[LINEA]=$B$2)*(DESC_PROV[LISTA]=$C$2),DESC_PROV[DESCUENTO]),0)),
   ((B24*(1+IFERROR(VLOOKUP($D$2,COLORES[],2,FALSE),0)))+F24)
   *(1-IFERROR(_xlfn.XLOOKUP(1,(DESC_PROV[LINEA]=$B$2)*(DESC_PROV[LISTA]=$C$2),DESC_PROV[DESCUENTO]),0))
   *(1+VLOOKUP($C$2,LISTAS[],2,FALSE))
   *(1+VLOOKUP($C$2,LISTAS[],3,FALSE))
)
/5,0)*5</f>
        <v>249005</v>
      </c>
      <c r="N24" s="65" cm="1">
        <f t="array" ref="N24">ROUND(
IF($A$2="COSTO",
   ((B24*(1+IFERROR(VLOOKUP($D$2,COLORES[],2,FALSE),0)))+G24)
   *(1-IFERROR(_xlfn.XLOOKUP(1,(DESC_PROV[LINEA]=$B$2)*(DESC_PROV[LISTA]=$C$2),DESC_PROV[DESCUENTO]),0)),
   ((B24*(1+IFERROR(VLOOKUP($D$2,COLORES[],2,FALSE),0)))+G24)
   *(1-IFERROR(_xlfn.XLOOKUP(1,(DESC_PROV[LINEA]=$B$2)*(DESC_PROV[LISTA]=$C$2),DESC_PROV[DESCUENTO]),0))
   *(1+VLOOKUP($C$2,LISTAS[],2,FALSE))
   *(1+VLOOKUP($C$2,LISTAS[],3,FALSE))
)
/5,0)*5</f>
        <v>258740</v>
      </c>
      <c r="O24" s="65" cm="1">
        <f t="array" ref="O24">ROUND(
IF($A$2="COSTO",
   ((B24*(1+IFERROR(VLOOKUP($D$2,COLORES[],2,FALSE),0)))+H24)
   *(1-IFERROR(_xlfn.XLOOKUP(1,(DESC_PROV[LINEA]=$B$2)*(DESC_PROV[LISTA]=$C$2),DESC_PROV[DESCUENTO]),0)),
   ((B24*(1+IFERROR(VLOOKUP($D$2,COLORES[],2,FALSE),0)))+H24)
   *(1-IFERROR(_xlfn.XLOOKUP(1,(DESC_PROV[LINEA]=$B$2)*(DESC_PROV[LISTA]=$C$2),DESC_PROV[DESCUENTO]),0))
   *(1+VLOOKUP($C$2,LISTAS[],2,FALSE))
   *(1+VLOOKUP($C$2,LISTAS[],3,FALSE))
)
/5,0)*5</f>
        <v>344955</v>
      </c>
      <c r="P24" s="65" cm="1">
        <f t="array" ref="P24">ROUND(
IF($A$2="COSTO",
   (C24*(1+IFERROR(VLOOKUP($D$2,COLORES[],2,FALSE),0)))
   *(1-IFERROR(_xlfn.XLOOKUP(1,(DESC_PROV[LINEA]=$B$2)*(DESC_PROV[LISTA]=$C$2),DESC_PROV[DESCUENTO]),0)),
   (C24*(1+IFERROR(VLOOKUP($D$2,COLORES[],2,FALSE),0)))
   *(1-IFERROR(_xlfn.XLOOKUP(1,(DESC_PROV[LINEA]=$B$2)*(DESC_PROV[LISTA]=$C$2),DESC_PROV[DESCUENTO]),0))
   *(1+VLOOKUP($C$2,LISTAS[],2,FALSE))
   *(1+VLOOKUP($C$2,LISTAS[],3,FALSE))
)
/5,0)*5</f>
        <v>15755</v>
      </c>
      <c r="Q24" s="65" cm="1">
        <f t="array" ref="Q24">ROUND(
IF($A$2="COSTO",
   (D24*(1+IFERROR(VLOOKUP($D$2,COLORES[],2,FALSE),0)))
   *(1-IFERROR(_xlfn.XLOOKUP(1,(DESC_PROV[LINEA]=$B$2)*(DESC_PROV[LISTA]=$C$2),DESC_PROV[DESCUENTO]),0)),
   (D24*(1+IFERROR(VLOOKUP($D$2,COLORES[],2,FALSE),0)))
   *(1-IFERROR(_xlfn.XLOOKUP(1,(DESC_PROV[LINEA]=$B$2)*(DESC_PROV[LISTA]=$C$2),DESC_PROV[DESCUENTO]),0))
   *(1+VLOOKUP($C$2,LISTAS[],2,FALSE))
   *(1+VLOOKUP($C$2,LISTAS[],4,FALSE))
)
/5,0)*5</f>
        <v>49840</v>
      </c>
      <c r="R24" s="66" cm="1">
        <f t="array" ref="R24">ROUND(
IF($A$2="COSTO",
   ((B24*(1+IFERROR(VLOOKUP($D$2,COLORES[],2,FALSE),0)))+(F24+I24+F24))
   *(1-IFERROR(_xlfn.XLOOKUP(1,(DESC_PROV[LINEA]=$B$2)*(DESC_PROV[LISTA]=$C$2),DESC_PROV[DESCUENTO]),0)),
   ((B24*(1+IFERROR(VLOOKUP($D$2,COLORES[],2,FALSE),0)))+(F24+I24+F24))
   *(1-IFERROR(_xlfn.XLOOKUP(1,(DESC_PROV[LINEA]=$B$2)*(DESC_PROV[LISTA]=$C$2),DESC_PROV[DESCUENTO]),0))
   *(1+VLOOKUP($C$2,LISTAS[],2,FALSE))
   *(1+VLOOKUP($C$2,LISTAS[],3,FALSE))
)
/5,0)*5</f>
        <v>398755</v>
      </c>
    </row>
    <row r="25" spans="1:18">
      <c r="A25" s="107" t="s">
        <v>15</v>
      </c>
      <c r="B25" s="64">
        <v>124919</v>
      </c>
      <c r="C25" s="64">
        <v>15365</v>
      </c>
      <c r="D25" s="64">
        <v>24250</v>
      </c>
      <c r="E25" s="64">
        <v>12054</v>
      </c>
      <c r="F25" s="64">
        <v>14606</v>
      </c>
      <c r="G25" s="64">
        <v>19231</v>
      </c>
      <c r="H25" s="64">
        <v>60206</v>
      </c>
      <c r="I25" s="64">
        <v>77396</v>
      </c>
      <c r="J25" s="2"/>
      <c r="K25" s="107" t="s">
        <v>15</v>
      </c>
      <c r="L25" s="65" cm="1">
        <f t="array" ref="L25">ROUND(
IF($A$2="COSTO",
   ((B25*(1+IFERROR(VLOOKUP($D$2,COLORES[],2,FALSE),0)))+E25)
   *(1-IFERROR(_xlfn.XLOOKUP(1,(DESC_PROV[LINEA]=$B$2)*(DESC_PROV[LISTA]=$C$2),DESC_PROV[DESCUENTO]),0)),
   ((B25*(1+IFERROR(VLOOKUP($D$2,COLORES[],2,FALSE),0)))+E25)
   *(1-IFERROR(_xlfn.XLOOKUP(1,(DESC_PROV[LINEA]=$B$2)*(DESC_PROV[LISTA]=$C$2),DESC_PROV[DESCUENTO]),0))
   *(1+VLOOKUP($C$2,LISTAS[],2,FALSE))
   *(1+VLOOKUP($C$2,LISTAS[],3,FALSE))
)
/5,0)*5</f>
        <v>175535</v>
      </c>
      <c r="M25" s="65" cm="1">
        <f t="array" ref="M25">ROUND(
IF($A$2="COSTO",
   ((B25*(1+IFERROR(VLOOKUP($D$2,COLORES[],2,FALSE),0)))+F25)
   *(1-IFERROR(_xlfn.XLOOKUP(1,(DESC_PROV[LINEA]=$B$2)*(DESC_PROV[LISTA]=$C$2),DESC_PROV[DESCUENTO]),0)),
   ((B25*(1+IFERROR(VLOOKUP($D$2,COLORES[],2,FALSE),0)))+F25)
   *(1-IFERROR(_xlfn.XLOOKUP(1,(DESC_PROV[LINEA]=$B$2)*(DESC_PROV[LISTA]=$C$2),DESC_PROV[DESCUENTO]),0))
   *(1+VLOOKUP($C$2,LISTAS[],2,FALSE))
   *(1+VLOOKUP($C$2,LISTAS[],3,FALSE))
)
/5,0)*5</f>
        <v>178805</v>
      </c>
      <c r="N25" s="65" cm="1">
        <f t="array" ref="N25">ROUND(
IF($A$2="COSTO",
   ((B25*(1+IFERROR(VLOOKUP($D$2,COLORES[],2,FALSE),0)))+G25)
   *(1-IFERROR(_xlfn.XLOOKUP(1,(DESC_PROV[LINEA]=$B$2)*(DESC_PROV[LISTA]=$C$2),DESC_PROV[DESCUENTO]),0)),
   ((B25*(1+IFERROR(VLOOKUP($D$2,COLORES[],2,FALSE),0)))+G25)
   *(1-IFERROR(_xlfn.XLOOKUP(1,(DESC_PROV[LINEA]=$B$2)*(DESC_PROV[LISTA]=$C$2),DESC_PROV[DESCUENTO]),0))
   *(1+VLOOKUP($C$2,LISTAS[],2,FALSE))
   *(1+VLOOKUP($C$2,LISTAS[],3,FALSE))
)
/5,0)*5</f>
        <v>184735</v>
      </c>
      <c r="O25" s="65" cm="1">
        <f t="array" ref="O25">ROUND(
IF($A$2="COSTO",
   ((B25*(1+IFERROR(VLOOKUP($D$2,COLORES[],2,FALSE),0)))+H25)
   *(1-IFERROR(_xlfn.XLOOKUP(1,(DESC_PROV[LINEA]=$B$2)*(DESC_PROV[LISTA]=$C$2),DESC_PROV[DESCUENTO]),0)),
   ((B25*(1+IFERROR(VLOOKUP($D$2,COLORES[],2,FALSE),0)))+H25)
   *(1-IFERROR(_xlfn.XLOOKUP(1,(DESC_PROV[LINEA]=$B$2)*(DESC_PROV[LISTA]=$C$2),DESC_PROV[DESCUENTO]),0))
   *(1+VLOOKUP($C$2,LISTAS[],2,FALSE))
   *(1+VLOOKUP($C$2,LISTAS[],3,FALSE))
)
/5,0)*5</f>
        <v>237245</v>
      </c>
      <c r="P25" s="65" cm="1">
        <f t="array" ref="P25">ROUND(
IF($A$2="COSTO",
   (C25*(1+IFERROR(VLOOKUP($D$2,COLORES[],2,FALSE),0)))
   *(1-IFERROR(_xlfn.XLOOKUP(1,(DESC_PROV[LINEA]=$B$2)*(DESC_PROV[LISTA]=$C$2),DESC_PROV[DESCUENTO]),0)),
   (C25*(1+IFERROR(VLOOKUP($D$2,COLORES[],2,FALSE),0)))
   *(1-IFERROR(_xlfn.XLOOKUP(1,(DESC_PROV[LINEA]=$B$2)*(DESC_PROV[LISTA]=$C$2),DESC_PROV[DESCUENTO]),0))
   *(1+VLOOKUP($C$2,LISTAS[],2,FALSE))
   *(1+VLOOKUP($C$2,LISTAS[],3,FALSE))
)
/5,0)*5</f>
        <v>19690</v>
      </c>
      <c r="Q25" s="65" cm="1">
        <f t="array" ref="Q25">ROUND(
IF($A$2="COSTO",
   (D25*(1+IFERROR(VLOOKUP($D$2,COLORES[],2,FALSE),0)))
   *(1-IFERROR(_xlfn.XLOOKUP(1,(DESC_PROV[LINEA]=$B$2)*(DESC_PROV[LISTA]=$C$2),DESC_PROV[DESCUENTO]),0)),
   (D25*(1+IFERROR(VLOOKUP($D$2,COLORES[],2,FALSE),0)))
   *(1-IFERROR(_xlfn.XLOOKUP(1,(DESC_PROV[LINEA]=$B$2)*(DESC_PROV[LISTA]=$C$2),DESC_PROV[DESCUENTO]),0))
   *(1+VLOOKUP($C$2,LISTAS[],2,FALSE))
   *(1+VLOOKUP($C$2,LISTAS[],4,FALSE))
)
/5,0)*5</f>
        <v>38250</v>
      </c>
      <c r="R25" s="66" cm="1">
        <f t="array" ref="R25">ROUND(
IF($A$2="COSTO",
   ((B25*(1+IFERROR(VLOOKUP($D$2,COLORES[],2,FALSE),0)))+(F25+I25+F25))
   *(1-IFERROR(_xlfn.XLOOKUP(1,(DESC_PROV[LINEA]=$B$2)*(DESC_PROV[LISTA]=$C$2),DESC_PROV[DESCUENTO]),0)),
   ((B25*(1+IFERROR(VLOOKUP($D$2,COLORES[],2,FALSE),0)))+(F25+I25+F25))
   *(1-IFERROR(_xlfn.XLOOKUP(1,(DESC_PROV[LINEA]=$B$2)*(DESC_PROV[LISTA]=$C$2),DESC_PROV[DESCUENTO]),0))
   *(1+VLOOKUP($C$2,LISTAS[],2,FALSE))
   *(1+VLOOKUP($C$2,LISTAS[],3,FALSE))
)
/5,0)*5</f>
        <v>296710</v>
      </c>
    </row>
    <row r="26" spans="1:18">
      <c r="A26" s="107" t="s">
        <v>102</v>
      </c>
      <c r="B26" s="64">
        <v>132888</v>
      </c>
      <c r="C26" s="64">
        <v>15365</v>
      </c>
      <c r="D26" s="64">
        <v>26700</v>
      </c>
      <c r="E26" s="64">
        <v>14737</v>
      </c>
      <c r="F26" s="64">
        <v>17850</v>
      </c>
      <c r="G26" s="64">
        <v>23504</v>
      </c>
      <c r="H26" s="64">
        <v>73579</v>
      </c>
      <c r="I26" s="64">
        <v>82555</v>
      </c>
      <c r="J26" s="2"/>
      <c r="K26" s="107" t="s">
        <v>102</v>
      </c>
      <c r="L26" s="65" cm="1">
        <f t="array" ref="L26">ROUND(
IF($A$2="COSTO",
   ((B26*(1+IFERROR(VLOOKUP($D$2,COLORES[],2,FALSE),0)))+E26)
   *(1-IFERROR(_xlfn.XLOOKUP(1,(DESC_PROV[LINEA]=$B$2)*(DESC_PROV[LISTA]=$C$2),DESC_PROV[DESCUENTO]),0)),
   ((B26*(1+IFERROR(VLOOKUP($D$2,COLORES[],2,FALSE),0)))+E26)
   *(1-IFERROR(_xlfn.XLOOKUP(1,(DESC_PROV[LINEA]=$B$2)*(DESC_PROV[LISTA]=$C$2),DESC_PROV[DESCUENTO]),0))
   *(1+VLOOKUP($C$2,LISTAS[],2,FALSE))
   *(1+VLOOKUP($C$2,LISTAS[],3,FALSE))
)
/5,0)*5</f>
        <v>189185</v>
      </c>
      <c r="M26" s="65" cm="1">
        <f t="array" ref="M26">ROUND(
IF($A$2="COSTO",
   ((B26*(1+IFERROR(VLOOKUP($D$2,COLORES[],2,FALSE),0)))+F26)
   *(1-IFERROR(_xlfn.XLOOKUP(1,(DESC_PROV[LINEA]=$B$2)*(DESC_PROV[LISTA]=$C$2),DESC_PROV[DESCUENTO]),0)),
   ((B26*(1+IFERROR(VLOOKUP($D$2,COLORES[],2,FALSE),0)))+F26)
   *(1-IFERROR(_xlfn.XLOOKUP(1,(DESC_PROV[LINEA]=$B$2)*(DESC_PROV[LISTA]=$C$2),DESC_PROV[DESCUENTO]),0))
   *(1+VLOOKUP($C$2,LISTAS[],2,FALSE))
   *(1+VLOOKUP($C$2,LISTAS[],3,FALSE))
)
/5,0)*5</f>
        <v>193175</v>
      </c>
      <c r="N26" s="65" cm="1">
        <f t="array" ref="N26">ROUND(
IF($A$2="COSTO",
   ((B26*(1+IFERROR(VLOOKUP($D$2,COLORES[],2,FALSE),0)))+G26)
   *(1-IFERROR(_xlfn.XLOOKUP(1,(DESC_PROV[LINEA]=$B$2)*(DESC_PROV[LISTA]=$C$2),DESC_PROV[DESCUENTO]),0)),
   ((B26*(1+IFERROR(VLOOKUP($D$2,COLORES[],2,FALSE),0)))+G26)
   *(1-IFERROR(_xlfn.XLOOKUP(1,(DESC_PROV[LINEA]=$B$2)*(DESC_PROV[LISTA]=$C$2),DESC_PROV[DESCUENTO]),0))
   *(1+VLOOKUP($C$2,LISTAS[],2,FALSE))
   *(1+VLOOKUP($C$2,LISTAS[],3,FALSE))
)
/5,0)*5</f>
        <v>200425</v>
      </c>
      <c r="O26" s="65" cm="1">
        <f t="array" ref="O26">ROUND(
IF($A$2="COSTO",
   ((B26*(1+IFERROR(VLOOKUP($D$2,COLORES[],2,FALSE),0)))+H26)
   *(1-IFERROR(_xlfn.XLOOKUP(1,(DESC_PROV[LINEA]=$B$2)*(DESC_PROV[LISTA]=$C$2),DESC_PROV[DESCUENTO]),0)),
   ((B26*(1+IFERROR(VLOOKUP($D$2,COLORES[],2,FALSE),0)))+H26)
   *(1-IFERROR(_xlfn.XLOOKUP(1,(DESC_PROV[LINEA]=$B$2)*(DESC_PROV[LISTA]=$C$2),DESC_PROV[DESCUENTO]),0))
   *(1+VLOOKUP($C$2,LISTAS[],2,FALSE))
   *(1+VLOOKUP($C$2,LISTAS[],3,FALSE))
)
/5,0)*5</f>
        <v>264595</v>
      </c>
      <c r="P26" s="65" cm="1">
        <f t="array" ref="P26">ROUND(
IF($A$2="COSTO",
   (C26*(1+IFERROR(VLOOKUP($D$2,COLORES[],2,FALSE),0)))
   *(1-IFERROR(_xlfn.XLOOKUP(1,(DESC_PROV[LINEA]=$B$2)*(DESC_PROV[LISTA]=$C$2),DESC_PROV[DESCUENTO]),0)),
   (C26*(1+IFERROR(VLOOKUP($D$2,COLORES[],2,FALSE),0)))
   *(1-IFERROR(_xlfn.XLOOKUP(1,(DESC_PROV[LINEA]=$B$2)*(DESC_PROV[LISTA]=$C$2),DESC_PROV[DESCUENTO]),0))
   *(1+VLOOKUP($C$2,LISTAS[],2,FALSE))
   *(1+VLOOKUP($C$2,LISTAS[],3,FALSE))
)
/5,0)*5</f>
        <v>19690</v>
      </c>
      <c r="Q26" s="65" cm="1">
        <f t="array" ref="Q26">ROUND(
IF($A$2="COSTO",
   (D26*(1+IFERROR(VLOOKUP($D$2,COLORES[],2,FALSE),0)))
   *(1-IFERROR(_xlfn.XLOOKUP(1,(DESC_PROV[LINEA]=$B$2)*(DESC_PROV[LISTA]=$C$2),DESC_PROV[DESCUENTO]),0)),
   (D26*(1+IFERROR(VLOOKUP($D$2,COLORES[],2,FALSE),0)))
   *(1-IFERROR(_xlfn.XLOOKUP(1,(DESC_PROV[LINEA]=$B$2)*(DESC_PROV[LISTA]=$C$2),DESC_PROV[DESCUENTO]),0))
   *(1+VLOOKUP($C$2,LISTAS[],2,FALSE))
   *(1+VLOOKUP($C$2,LISTAS[],4,FALSE))
)
/5,0)*5</f>
        <v>42115</v>
      </c>
      <c r="R26" s="66" cm="1">
        <f t="array" ref="R26">ROUND(
IF($A$2="COSTO",
   ((B26*(1+IFERROR(VLOOKUP($D$2,COLORES[],2,FALSE),0)))+(F26+I26+F26))
   *(1-IFERROR(_xlfn.XLOOKUP(1,(DESC_PROV[LINEA]=$B$2)*(DESC_PROV[LISTA]=$C$2),DESC_PROV[DESCUENTO]),0)),
   ((B26*(1+IFERROR(VLOOKUP($D$2,COLORES[],2,FALSE),0)))+(F26+I26+F26))
   *(1-IFERROR(_xlfn.XLOOKUP(1,(DESC_PROV[LINEA]=$B$2)*(DESC_PROV[LISTA]=$C$2),DESC_PROV[DESCUENTO]),0))
   *(1+VLOOKUP($C$2,LISTAS[],2,FALSE))
   *(1+VLOOKUP($C$2,LISTAS[],3,FALSE))
)
/5,0)*5</f>
        <v>321850</v>
      </c>
    </row>
    <row r="27" spans="1:18">
      <c r="A27" s="107" t="s">
        <v>16</v>
      </c>
      <c r="B27" s="64">
        <v>147769</v>
      </c>
      <c r="C27" s="64">
        <v>15365</v>
      </c>
      <c r="D27" s="64">
        <v>30375</v>
      </c>
      <c r="E27" s="64">
        <v>18753</v>
      </c>
      <c r="F27" s="64">
        <v>22717</v>
      </c>
      <c r="G27" s="64">
        <v>29915</v>
      </c>
      <c r="H27" s="64">
        <v>93646</v>
      </c>
      <c r="I27" s="64">
        <v>90295</v>
      </c>
      <c r="J27" s="2"/>
      <c r="K27" s="107" t="s">
        <v>16</v>
      </c>
      <c r="L27" s="65" cm="1">
        <f t="array" ref="L27">ROUND(
IF($A$2="COSTO",
   ((B27*(1+IFERROR(VLOOKUP($D$2,COLORES[],2,FALSE),0)))+E27)
   *(1-IFERROR(_xlfn.XLOOKUP(1,(DESC_PROV[LINEA]=$B$2)*(DESC_PROV[LISTA]=$C$2),DESC_PROV[DESCUENTO]),0)),
   ((B27*(1+IFERROR(VLOOKUP($D$2,COLORES[],2,FALSE),0)))+E27)
   *(1-IFERROR(_xlfn.XLOOKUP(1,(DESC_PROV[LINEA]=$B$2)*(DESC_PROV[LISTA]=$C$2),DESC_PROV[DESCUENTO]),0))
   *(1+VLOOKUP($C$2,LISTAS[],2,FALSE))
   *(1+VLOOKUP($C$2,LISTAS[],3,FALSE))
)
/5,0)*5</f>
        <v>213405</v>
      </c>
      <c r="M27" s="65" cm="1">
        <f t="array" ref="M27">ROUND(
IF($A$2="COSTO",
   ((B27*(1+IFERROR(VLOOKUP($D$2,COLORES[],2,FALSE),0)))+F27)
   *(1-IFERROR(_xlfn.XLOOKUP(1,(DESC_PROV[LINEA]=$B$2)*(DESC_PROV[LISTA]=$C$2),DESC_PROV[DESCUENTO]),0)),
   ((B27*(1+IFERROR(VLOOKUP($D$2,COLORES[],2,FALSE),0)))+F27)
   *(1-IFERROR(_xlfn.XLOOKUP(1,(DESC_PROV[LINEA]=$B$2)*(DESC_PROV[LISTA]=$C$2),DESC_PROV[DESCUENTO]),0))
   *(1+VLOOKUP($C$2,LISTAS[],2,FALSE))
   *(1+VLOOKUP($C$2,LISTAS[],3,FALSE))
)
/5,0)*5</f>
        <v>218485</v>
      </c>
      <c r="N27" s="65" cm="1">
        <f t="array" ref="N27">ROUND(
IF($A$2="COSTO",
   ((B27*(1+IFERROR(VLOOKUP($D$2,COLORES[],2,FALSE),0)))+G27)
   *(1-IFERROR(_xlfn.XLOOKUP(1,(DESC_PROV[LINEA]=$B$2)*(DESC_PROV[LISTA]=$C$2),DESC_PROV[DESCUENTO]),0)),
   ((B27*(1+IFERROR(VLOOKUP($D$2,COLORES[],2,FALSE),0)))+G27)
   *(1-IFERROR(_xlfn.XLOOKUP(1,(DESC_PROV[LINEA]=$B$2)*(DESC_PROV[LISTA]=$C$2),DESC_PROV[DESCUENTO]),0))
   *(1+VLOOKUP($C$2,LISTAS[],2,FALSE))
   *(1+VLOOKUP($C$2,LISTAS[],3,FALSE))
)
/5,0)*5</f>
        <v>227710</v>
      </c>
      <c r="O27" s="65" cm="1">
        <f t="array" ref="O27">ROUND(
IF($A$2="COSTO",
   ((B27*(1+IFERROR(VLOOKUP($D$2,COLORES[],2,FALSE),0)))+H27)
   *(1-IFERROR(_xlfn.XLOOKUP(1,(DESC_PROV[LINEA]=$B$2)*(DESC_PROV[LISTA]=$C$2),DESC_PROV[DESCUENTO]),0)),
   ((B27*(1+IFERROR(VLOOKUP($D$2,COLORES[],2,FALSE),0)))+H27)
   *(1-IFERROR(_xlfn.XLOOKUP(1,(DESC_PROV[LINEA]=$B$2)*(DESC_PROV[LISTA]=$C$2),DESC_PROV[DESCUENTO]),0))
   *(1+VLOOKUP($C$2,LISTAS[],2,FALSE))
   *(1+VLOOKUP($C$2,LISTAS[],3,FALSE))
)
/5,0)*5</f>
        <v>309385</v>
      </c>
      <c r="P27" s="65" cm="1">
        <f t="array" ref="P27">ROUND(
IF($A$2="COSTO",
   (C27*(1+IFERROR(VLOOKUP($D$2,COLORES[],2,FALSE),0)))
   *(1-IFERROR(_xlfn.XLOOKUP(1,(DESC_PROV[LINEA]=$B$2)*(DESC_PROV[LISTA]=$C$2),DESC_PROV[DESCUENTO]),0)),
   (C27*(1+IFERROR(VLOOKUP($D$2,COLORES[],2,FALSE),0)))
   *(1-IFERROR(_xlfn.XLOOKUP(1,(DESC_PROV[LINEA]=$B$2)*(DESC_PROV[LISTA]=$C$2),DESC_PROV[DESCUENTO]),0))
   *(1+VLOOKUP($C$2,LISTAS[],2,FALSE))
   *(1+VLOOKUP($C$2,LISTAS[],3,FALSE))
)
/5,0)*5</f>
        <v>19690</v>
      </c>
      <c r="Q27" s="65" cm="1">
        <f t="array" ref="Q27">ROUND(
IF($A$2="COSTO",
   (D27*(1+IFERROR(VLOOKUP($D$2,COLORES[],2,FALSE),0)))
   *(1-IFERROR(_xlfn.XLOOKUP(1,(DESC_PROV[LINEA]=$B$2)*(DESC_PROV[LISTA]=$C$2),DESC_PROV[DESCUENTO]),0)),
   (D27*(1+IFERROR(VLOOKUP($D$2,COLORES[],2,FALSE),0)))
   *(1-IFERROR(_xlfn.XLOOKUP(1,(DESC_PROV[LINEA]=$B$2)*(DESC_PROV[LISTA]=$C$2),DESC_PROV[DESCUENTO]),0))
   *(1+VLOOKUP($C$2,LISTAS[],2,FALSE))
   *(1+VLOOKUP($C$2,LISTAS[],4,FALSE))
)
/5,0)*5</f>
        <v>47910</v>
      </c>
      <c r="R27" s="66" cm="1">
        <f t="array" ref="R27">ROUND(
IF($A$2="COSTO",
   ((B27*(1+IFERROR(VLOOKUP($D$2,COLORES[],2,FALSE),0)))+(F27+I27+F27))
   *(1-IFERROR(_xlfn.XLOOKUP(1,(DESC_PROV[LINEA]=$B$2)*(DESC_PROV[LISTA]=$C$2),DESC_PROV[DESCUENTO]),0)),
   ((B27*(1+IFERROR(VLOOKUP($D$2,COLORES[],2,FALSE),0)))+(F27+I27+F27))
   *(1-IFERROR(_xlfn.XLOOKUP(1,(DESC_PROV[LINEA]=$B$2)*(DESC_PROV[LISTA]=$C$2),DESC_PROV[DESCUENTO]),0))
   *(1+VLOOKUP($C$2,LISTAS[],2,FALSE))
   *(1+VLOOKUP($C$2,LISTAS[],3,FALSE))
)
/5,0)*5</f>
        <v>363315</v>
      </c>
    </row>
    <row r="28" spans="1:18">
      <c r="A28" s="107" t="s">
        <v>103</v>
      </c>
      <c r="B28" s="64">
        <v>162644</v>
      </c>
      <c r="C28" s="64">
        <v>15365</v>
      </c>
      <c r="D28" s="64">
        <v>34050</v>
      </c>
      <c r="E28" s="64">
        <v>22769</v>
      </c>
      <c r="F28" s="64">
        <v>27584</v>
      </c>
      <c r="G28" s="64">
        <v>34188</v>
      </c>
      <c r="H28" s="64">
        <v>113712</v>
      </c>
      <c r="I28" s="64">
        <v>98034</v>
      </c>
      <c r="J28" s="2"/>
      <c r="K28" s="107" t="s">
        <v>103</v>
      </c>
      <c r="L28" s="65" cm="1">
        <f t="array" ref="L28">ROUND(
IF($A$2="COSTO",
   ((B28*(1+IFERROR(VLOOKUP($D$2,COLORES[],2,FALSE),0)))+E28)
   *(1-IFERROR(_xlfn.XLOOKUP(1,(DESC_PROV[LINEA]=$B$2)*(DESC_PROV[LISTA]=$C$2),DESC_PROV[DESCUENTO]),0)),
   ((B28*(1+IFERROR(VLOOKUP($D$2,COLORES[],2,FALSE),0)))+E28)
   *(1-IFERROR(_xlfn.XLOOKUP(1,(DESC_PROV[LINEA]=$B$2)*(DESC_PROV[LISTA]=$C$2),DESC_PROV[DESCUENTO]),0))
   *(1+VLOOKUP($C$2,LISTAS[],2,FALSE))
   *(1+VLOOKUP($C$2,LISTAS[],3,FALSE))
)
/5,0)*5</f>
        <v>237615</v>
      </c>
      <c r="M28" s="65" cm="1">
        <f t="array" ref="M28">ROUND(
IF($A$2="COSTO",
   ((B28*(1+IFERROR(VLOOKUP($D$2,COLORES[],2,FALSE),0)))+F28)
   *(1-IFERROR(_xlfn.XLOOKUP(1,(DESC_PROV[LINEA]=$B$2)*(DESC_PROV[LISTA]=$C$2),DESC_PROV[DESCUENTO]),0)),
   ((B28*(1+IFERROR(VLOOKUP($D$2,COLORES[],2,FALSE),0)))+F28)
   *(1-IFERROR(_xlfn.XLOOKUP(1,(DESC_PROV[LINEA]=$B$2)*(DESC_PROV[LISTA]=$C$2),DESC_PROV[DESCUENTO]),0))
   *(1+VLOOKUP($C$2,LISTAS[],2,FALSE))
   *(1+VLOOKUP($C$2,LISTAS[],3,FALSE))
)
/5,0)*5</f>
        <v>243785</v>
      </c>
      <c r="N28" s="65" cm="1">
        <f t="array" ref="N28">ROUND(
IF($A$2="COSTO",
   ((B28*(1+IFERROR(VLOOKUP($D$2,COLORES[],2,FALSE),0)))+G28)
   *(1-IFERROR(_xlfn.XLOOKUP(1,(DESC_PROV[LINEA]=$B$2)*(DESC_PROV[LISTA]=$C$2),DESC_PROV[DESCUENTO]),0)),
   ((B28*(1+IFERROR(VLOOKUP($D$2,COLORES[],2,FALSE),0)))+G28)
   *(1-IFERROR(_xlfn.XLOOKUP(1,(DESC_PROV[LINEA]=$B$2)*(DESC_PROV[LISTA]=$C$2),DESC_PROV[DESCUENTO]),0))
   *(1+VLOOKUP($C$2,LISTAS[],2,FALSE))
   *(1+VLOOKUP($C$2,LISTAS[],3,FALSE))
)
/5,0)*5</f>
        <v>252250</v>
      </c>
      <c r="O28" s="65" cm="1">
        <f t="array" ref="O28">ROUND(
IF($A$2="COSTO",
   ((B28*(1+IFERROR(VLOOKUP($D$2,COLORES[],2,FALSE),0)))+H28)
   *(1-IFERROR(_xlfn.XLOOKUP(1,(DESC_PROV[LINEA]=$B$2)*(DESC_PROV[LISTA]=$C$2),DESC_PROV[DESCUENTO]),0)),
   ((B28*(1+IFERROR(VLOOKUP($D$2,COLORES[],2,FALSE),0)))+H28)
   *(1-IFERROR(_xlfn.XLOOKUP(1,(DESC_PROV[LINEA]=$B$2)*(DESC_PROV[LISTA]=$C$2),DESC_PROV[DESCUENTO]),0))
   *(1+VLOOKUP($C$2,LISTAS[],2,FALSE))
   *(1+VLOOKUP($C$2,LISTAS[],3,FALSE))
)
/5,0)*5</f>
        <v>354160</v>
      </c>
      <c r="P28" s="65" cm="1">
        <f t="array" ref="P28">ROUND(
IF($A$2="COSTO",
   (C28*(1+IFERROR(VLOOKUP($D$2,COLORES[],2,FALSE),0)))
   *(1-IFERROR(_xlfn.XLOOKUP(1,(DESC_PROV[LINEA]=$B$2)*(DESC_PROV[LISTA]=$C$2),DESC_PROV[DESCUENTO]),0)),
   (C28*(1+IFERROR(VLOOKUP($D$2,COLORES[],2,FALSE),0)))
   *(1-IFERROR(_xlfn.XLOOKUP(1,(DESC_PROV[LINEA]=$B$2)*(DESC_PROV[LISTA]=$C$2),DESC_PROV[DESCUENTO]),0))
   *(1+VLOOKUP($C$2,LISTAS[],2,FALSE))
   *(1+VLOOKUP($C$2,LISTAS[],3,FALSE))
)
/5,0)*5</f>
        <v>19690</v>
      </c>
      <c r="Q28" s="65" cm="1">
        <f t="array" ref="Q28">ROUND(
IF($A$2="COSTO",
   (D28*(1+IFERROR(VLOOKUP($D$2,COLORES[],2,FALSE),0)))
   *(1-IFERROR(_xlfn.XLOOKUP(1,(DESC_PROV[LINEA]=$B$2)*(DESC_PROV[LISTA]=$C$2),DESC_PROV[DESCUENTO]),0)),
   (D28*(1+IFERROR(VLOOKUP($D$2,COLORES[],2,FALSE),0)))
   *(1-IFERROR(_xlfn.XLOOKUP(1,(DESC_PROV[LINEA]=$B$2)*(DESC_PROV[LISTA]=$C$2),DESC_PROV[DESCUENTO]),0))
   *(1+VLOOKUP($C$2,LISTAS[],2,FALSE))
   *(1+VLOOKUP($C$2,LISTAS[],4,FALSE))
)
/5,0)*5</f>
        <v>53705</v>
      </c>
      <c r="R28" s="66" cm="1">
        <f t="array" ref="R28">ROUND(
IF($A$2="COSTO",
   ((B28*(1+IFERROR(VLOOKUP($D$2,COLORES[],2,FALSE),0)))+(F28+I28+F28))
   *(1-IFERROR(_xlfn.XLOOKUP(1,(DESC_PROV[LINEA]=$B$2)*(DESC_PROV[LISTA]=$C$2),DESC_PROV[DESCUENTO]),0)),
   ((B28*(1+IFERROR(VLOOKUP($D$2,COLORES[],2,FALSE),0)))+(F28+I28+F28))
   *(1-IFERROR(_xlfn.XLOOKUP(1,(DESC_PROV[LINEA]=$B$2)*(DESC_PROV[LISTA]=$C$2),DESC_PROV[DESCUENTO]),0))
   *(1+VLOOKUP($C$2,LISTAS[],2,FALSE))
   *(1+VLOOKUP($C$2,LISTAS[],3,FALSE))
)
/5,0)*5</f>
        <v>404770</v>
      </c>
    </row>
    <row r="29" spans="1:18">
      <c r="A29" s="107" t="s">
        <v>104</v>
      </c>
      <c r="B29" s="64">
        <v>177156</v>
      </c>
      <c r="C29" s="64">
        <v>15365</v>
      </c>
      <c r="D29" s="64">
        <v>36500</v>
      </c>
      <c r="E29" s="64">
        <v>25452</v>
      </c>
      <c r="F29" s="64">
        <v>30828</v>
      </c>
      <c r="G29" s="64">
        <v>39239</v>
      </c>
      <c r="H29" s="64">
        <v>127092</v>
      </c>
      <c r="I29" s="64">
        <v>103194</v>
      </c>
      <c r="J29" s="2"/>
      <c r="K29" s="107" t="s">
        <v>104</v>
      </c>
      <c r="L29" s="65" cm="1">
        <f t="array" ref="L29">ROUND(
IF($A$2="COSTO",
   ((B29*(1+IFERROR(VLOOKUP($D$2,COLORES[],2,FALSE),0)))+E29)
   *(1-IFERROR(_xlfn.XLOOKUP(1,(DESC_PROV[LINEA]=$B$2)*(DESC_PROV[LISTA]=$C$2),DESC_PROV[DESCUENTO]),0)),
   ((B29*(1+IFERROR(VLOOKUP($D$2,COLORES[],2,FALSE),0)))+E29)
   *(1-IFERROR(_xlfn.XLOOKUP(1,(DESC_PROV[LINEA]=$B$2)*(DESC_PROV[LISTA]=$C$2),DESC_PROV[DESCUENTO]),0))
   *(1+VLOOKUP($C$2,LISTAS[],2,FALSE))
   *(1+VLOOKUP($C$2,LISTAS[],3,FALSE))
)
/5,0)*5</f>
        <v>259650</v>
      </c>
      <c r="M29" s="65" cm="1">
        <f t="array" ref="M29">ROUND(
IF($A$2="COSTO",
   ((B29*(1+IFERROR(VLOOKUP($D$2,COLORES[],2,FALSE),0)))+F29)
   *(1-IFERROR(_xlfn.XLOOKUP(1,(DESC_PROV[LINEA]=$B$2)*(DESC_PROV[LISTA]=$C$2),DESC_PROV[DESCUENTO]),0)),
   ((B29*(1+IFERROR(VLOOKUP($D$2,COLORES[],2,FALSE),0)))+F29)
   *(1-IFERROR(_xlfn.XLOOKUP(1,(DESC_PROV[LINEA]=$B$2)*(DESC_PROV[LISTA]=$C$2),DESC_PROV[DESCUENTO]),0))
   *(1+VLOOKUP($C$2,LISTAS[],2,FALSE))
   *(1+VLOOKUP($C$2,LISTAS[],3,FALSE))
)
/5,0)*5</f>
        <v>266540</v>
      </c>
      <c r="N29" s="65" cm="1">
        <f t="array" ref="N29">ROUND(
IF($A$2="COSTO",
   ((B29*(1+IFERROR(VLOOKUP($D$2,COLORES[],2,FALSE),0)))+G29)
   *(1-IFERROR(_xlfn.XLOOKUP(1,(DESC_PROV[LINEA]=$B$2)*(DESC_PROV[LISTA]=$C$2),DESC_PROV[DESCUENTO]),0)),
   ((B29*(1+IFERROR(VLOOKUP($D$2,COLORES[],2,FALSE),0)))+G29)
   *(1-IFERROR(_xlfn.XLOOKUP(1,(DESC_PROV[LINEA]=$B$2)*(DESC_PROV[LISTA]=$C$2),DESC_PROV[DESCUENTO]),0))
   *(1+VLOOKUP($C$2,LISTAS[],2,FALSE))
   *(1+VLOOKUP($C$2,LISTAS[],3,FALSE))
)
/5,0)*5</f>
        <v>277320</v>
      </c>
      <c r="O29" s="65" cm="1">
        <f t="array" ref="O29">ROUND(
IF($A$2="COSTO",
   ((B29*(1+IFERROR(VLOOKUP($D$2,COLORES[],2,FALSE),0)))+H29)
   *(1-IFERROR(_xlfn.XLOOKUP(1,(DESC_PROV[LINEA]=$B$2)*(DESC_PROV[LISTA]=$C$2),DESC_PROV[DESCUENTO]),0)),
   ((B29*(1+IFERROR(VLOOKUP($D$2,COLORES[],2,FALSE),0)))+H29)
   *(1-IFERROR(_xlfn.XLOOKUP(1,(DESC_PROV[LINEA]=$B$2)*(DESC_PROV[LISTA]=$C$2),DESC_PROV[DESCUENTO]),0))
   *(1+VLOOKUP($C$2,LISTAS[],2,FALSE))
   *(1+VLOOKUP($C$2,LISTAS[],3,FALSE))
)
/5,0)*5</f>
        <v>389905</v>
      </c>
      <c r="P29" s="65" cm="1">
        <f t="array" ref="P29">ROUND(
IF($A$2="COSTO",
   (C29*(1+IFERROR(VLOOKUP($D$2,COLORES[],2,FALSE),0)))
   *(1-IFERROR(_xlfn.XLOOKUP(1,(DESC_PROV[LINEA]=$B$2)*(DESC_PROV[LISTA]=$C$2),DESC_PROV[DESCUENTO]),0)),
   (C29*(1+IFERROR(VLOOKUP($D$2,COLORES[],2,FALSE),0)))
   *(1-IFERROR(_xlfn.XLOOKUP(1,(DESC_PROV[LINEA]=$B$2)*(DESC_PROV[LISTA]=$C$2),DESC_PROV[DESCUENTO]),0))
   *(1+VLOOKUP($C$2,LISTAS[],2,FALSE))
   *(1+VLOOKUP($C$2,LISTAS[],3,FALSE))
)
/5,0)*5</f>
        <v>19690</v>
      </c>
      <c r="Q29" s="65" cm="1">
        <f t="array" ref="Q29">ROUND(
IF($A$2="COSTO",
   (D29*(1+IFERROR(VLOOKUP($D$2,COLORES[],2,FALSE),0)))
   *(1-IFERROR(_xlfn.XLOOKUP(1,(DESC_PROV[LINEA]=$B$2)*(DESC_PROV[LISTA]=$C$2),DESC_PROV[DESCUENTO]),0)),
   (D29*(1+IFERROR(VLOOKUP($D$2,COLORES[],2,FALSE),0)))
   *(1-IFERROR(_xlfn.XLOOKUP(1,(DESC_PROV[LINEA]=$B$2)*(DESC_PROV[LISTA]=$C$2),DESC_PROV[DESCUENTO]),0))
   *(1+VLOOKUP($C$2,LISTAS[],2,FALSE))
   *(1+VLOOKUP($C$2,LISTAS[],4,FALSE))
)
/5,0)*5</f>
        <v>57570</v>
      </c>
      <c r="R29" s="66" cm="1">
        <f t="array" ref="R29">ROUND(
IF($A$2="COSTO",
   ((B29*(1+IFERROR(VLOOKUP($D$2,COLORES[],2,FALSE),0)))+(F29+I29+F29))
   *(1-IFERROR(_xlfn.XLOOKUP(1,(DESC_PROV[LINEA]=$B$2)*(DESC_PROV[LISTA]=$C$2),DESC_PROV[DESCUENTO]),0)),
   ((B29*(1+IFERROR(VLOOKUP($D$2,COLORES[],2,FALSE),0)))+(F29+I29+F29))
   *(1-IFERROR(_xlfn.XLOOKUP(1,(DESC_PROV[LINEA]=$B$2)*(DESC_PROV[LISTA]=$C$2),DESC_PROV[DESCUENTO]),0))
   *(1+VLOOKUP($C$2,LISTAS[],2,FALSE))
   *(1+VLOOKUP($C$2,LISTAS[],3,FALSE))
)
/5,0)*5</f>
        <v>438295</v>
      </c>
    </row>
    <row r="30" spans="1:18">
      <c r="A30" s="107" t="s">
        <v>105</v>
      </c>
      <c r="B30" s="64">
        <v>188250</v>
      </c>
      <c r="C30" s="64">
        <v>15365</v>
      </c>
      <c r="D30" s="64">
        <v>38950</v>
      </c>
      <c r="E30" s="64">
        <v>28130</v>
      </c>
      <c r="F30" s="64">
        <v>34073</v>
      </c>
      <c r="G30" s="64">
        <v>44872</v>
      </c>
      <c r="H30" s="64">
        <v>140472</v>
      </c>
      <c r="I30" s="64">
        <v>108354</v>
      </c>
      <c r="J30" s="2"/>
      <c r="K30" s="107" t="s">
        <v>105</v>
      </c>
      <c r="L30" s="65" cm="1">
        <f t="array" ref="L30">ROUND(
IF($A$2="COSTO",
   ((B30*(1+IFERROR(VLOOKUP($D$2,COLORES[],2,FALSE),0)))+E30)
   *(1-IFERROR(_xlfn.XLOOKUP(1,(DESC_PROV[LINEA]=$B$2)*(DESC_PROV[LISTA]=$C$2),DESC_PROV[DESCUENTO]),0)),
   ((B30*(1+IFERROR(VLOOKUP($D$2,COLORES[],2,FALSE),0)))+E30)
   *(1-IFERROR(_xlfn.XLOOKUP(1,(DESC_PROV[LINEA]=$B$2)*(DESC_PROV[LISTA]=$C$2),DESC_PROV[DESCUENTO]),0))
   *(1+VLOOKUP($C$2,LISTAS[],2,FALSE))
   *(1+VLOOKUP($C$2,LISTAS[],3,FALSE))
)
/5,0)*5</f>
        <v>277300</v>
      </c>
      <c r="M30" s="65" cm="1">
        <f t="array" ref="M30">ROUND(
IF($A$2="COSTO",
   ((B30*(1+IFERROR(VLOOKUP($D$2,COLORES[],2,FALSE),0)))+F30)
   *(1-IFERROR(_xlfn.XLOOKUP(1,(DESC_PROV[LINEA]=$B$2)*(DESC_PROV[LISTA]=$C$2),DESC_PROV[DESCUENTO]),0)),
   ((B30*(1+IFERROR(VLOOKUP($D$2,COLORES[],2,FALSE),0)))+F30)
   *(1-IFERROR(_xlfn.XLOOKUP(1,(DESC_PROV[LINEA]=$B$2)*(DESC_PROV[LISTA]=$C$2),DESC_PROV[DESCUENTO]),0))
   *(1+VLOOKUP($C$2,LISTAS[],2,FALSE))
   *(1+VLOOKUP($C$2,LISTAS[],3,FALSE))
)
/5,0)*5</f>
        <v>284915</v>
      </c>
      <c r="N30" s="65" cm="1">
        <f t="array" ref="N30">ROUND(
IF($A$2="COSTO",
   ((B30*(1+IFERROR(VLOOKUP($D$2,COLORES[],2,FALSE),0)))+G30)
   *(1-IFERROR(_xlfn.XLOOKUP(1,(DESC_PROV[LINEA]=$B$2)*(DESC_PROV[LISTA]=$C$2),DESC_PROV[DESCUENTO]),0)),
   ((B30*(1+IFERROR(VLOOKUP($D$2,COLORES[],2,FALSE),0)))+G30)
   *(1-IFERROR(_xlfn.XLOOKUP(1,(DESC_PROV[LINEA]=$B$2)*(DESC_PROV[LISTA]=$C$2),DESC_PROV[DESCUENTO]),0))
   *(1+VLOOKUP($C$2,LISTAS[],2,FALSE))
   *(1+VLOOKUP($C$2,LISTAS[],3,FALSE))
)
/5,0)*5</f>
        <v>298755</v>
      </c>
      <c r="O30" s="65" cm="1">
        <f t="array" ref="O30">ROUND(
IF($A$2="COSTO",
   ((B30*(1+IFERROR(VLOOKUP($D$2,COLORES[],2,FALSE),0)))+H30)
   *(1-IFERROR(_xlfn.XLOOKUP(1,(DESC_PROV[LINEA]=$B$2)*(DESC_PROV[LISTA]=$C$2),DESC_PROV[DESCUENTO]),0)),
   ((B30*(1+IFERROR(VLOOKUP($D$2,COLORES[],2,FALSE),0)))+H30)
   *(1-IFERROR(_xlfn.XLOOKUP(1,(DESC_PROV[LINEA]=$B$2)*(DESC_PROV[LISTA]=$C$2),DESC_PROV[DESCUENTO]),0))
   *(1+VLOOKUP($C$2,LISTAS[],2,FALSE))
   *(1+VLOOKUP($C$2,LISTAS[],3,FALSE))
)
/5,0)*5</f>
        <v>421270</v>
      </c>
      <c r="P30" s="65" cm="1">
        <f t="array" ref="P30">ROUND(
IF($A$2="COSTO",
   (C30*(1+IFERROR(VLOOKUP($D$2,COLORES[],2,FALSE),0)))
   *(1-IFERROR(_xlfn.XLOOKUP(1,(DESC_PROV[LINEA]=$B$2)*(DESC_PROV[LISTA]=$C$2),DESC_PROV[DESCUENTO]),0)),
   (C30*(1+IFERROR(VLOOKUP($D$2,COLORES[],2,FALSE),0)))
   *(1-IFERROR(_xlfn.XLOOKUP(1,(DESC_PROV[LINEA]=$B$2)*(DESC_PROV[LISTA]=$C$2),DESC_PROV[DESCUENTO]),0))
   *(1+VLOOKUP($C$2,LISTAS[],2,FALSE))
   *(1+VLOOKUP($C$2,LISTAS[],3,FALSE))
)
/5,0)*5</f>
        <v>19690</v>
      </c>
      <c r="Q30" s="65" cm="1">
        <f t="array" ref="Q30">ROUND(
IF($A$2="COSTO",
   (D30*(1+IFERROR(VLOOKUP($D$2,COLORES[],2,FALSE),0)))
   *(1-IFERROR(_xlfn.XLOOKUP(1,(DESC_PROV[LINEA]=$B$2)*(DESC_PROV[LISTA]=$C$2),DESC_PROV[DESCUENTO]),0)),
   (D30*(1+IFERROR(VLOOKUP($D$2,COLORES[],2,FALSE),0)))
   *(1-IFERROR(_xlfn.XLOOKUP(1,(DESC_PROV[LINEA]=$B$2)*(DESC_PROV[LISTA]=$C$2),DESC_PROV[DESCUENTO]),0))
   *(1+VLOOKUP($C$2,LISTAS[],2,FALSE))
   *(1+VLOOKUP($C$2,LISTAS[],4,FALSE))
)
/5,0)*5</f>
        <v>61435</v>
      </c>
      <c r="R30" s="66" cm="1">
        <f t="array" ref="R30">ROUND(
IF($A$2="COSTO",
   ((B30*(1+IFERROR(VLOOKUP($D$2,COLORES[],2,FALSE),0)))+(F30+I30+F30))
   *(1-IFERROR(_xlfn.XLOOKUP(1,(DESC_PROV[LINEA]=$B$2)*(DESC_PROV[LISTA]=$C$2),DESC_PROV[DESCUENTO]),0)),
   ((B30*(1+IFERROR(VLOOKUP($D$2,COLORES[],2,FALSE),0)))+(F30+I30+F30))
   *(1-IFERROR(_xlfn.XLOOKUP(1,(DESC_PROV[LINEA]=$B$2)*(DESC_PROV[LISTA]=$C$2),DESC_PROV[DESCUENTO]),0))
   *(1+VLOOKUP($C$2,LISTAS[],2,FALSE))
   *(1+VLOOKUP($C$2,LISTAS[],3,FALSE))
)
/5,0)*5</f>
        <v>467440</v>
      </c>
    </row>
    <row r="31" spans="1:18">
      <c r="A31" s="107" t="s">
        <v>106</v>
      </c>
      <c r="B31" s="64">
        <v>199994</v>
      </c>
      <c r="C31" s="64">
        <v>15365</v>
      </c>
      <c r="D31" s="64">
        <v>41400</v>
      </c>
      <c r="E31" s="64">
        <v>30807</v>
      </c>
      <c r="F31" s="64">
        <v>37317</v>
      </c>
      <c r="G31" s="64">
        <v>49145</v>
      </c>
      <c r="H31" s="64">
        <v>153846</v>
      </c>
      <c r="I31" s="64">
        <v>113513</v>
      </c>
      <c r="J31" s="2"/>
      <c r="K31" s="107" t="s">
        <v>106</v>
      </c>
      <c r="L31" s="65" cm="1">
        <f t="array" ref="L31">ROUND(
IF($A$2="COSTO",
   ((B31*(1+IFERROR(VLOOKUP($D$2,COLORES[],2,FALSE),0)))+E31)
   *(1-IFERROR(_xlfn.XLOOKUP(1,(DESC_PROV[LINEA]=$B$2)*(DESC_PROV[LISTA]=$C$2),DESC_PROV[DESCUENTO]),0)),
   ((B31*(1+IFERROR(VLOOKUP($D$2,COLORES[],2,FALSE),0)))+E31)
   *(1-IFERROR(_xlfn.XLOOKUP(1,(DESC_PROV[LINEA]=$B$2)*(DESC_PROV[LISTA]=$C$2),DESC_PROV[DESCUENTO]),0))
   *(1+VLOOKUP($C$2,LISTAS[],2,FALSE))
   *(1+VLOOKUP($C$2,LISTAS[],3,FALSE))
)
/5,0)*5</f>
        <v>295780</v>
      </c>
      <c r="M31" s="65" cm="1">
        <f t="array" ref="M31">ROUND(
IF($A$2="COSTO",
   ((B31*(1+IFERROR(VLOOKUP($D$2,COLORES[],2,FALSE),0)))+F31)
   *(1-IFERROR(_xlfn.XLOOKUP(1,(DESC_PROV[LINEA]=$B$2)*(DESC_PROV[LISTA]=$C$2),DESC_PROV[DESCUENTO]),0)),
   ((B31*(1+IFERROR(VLOOKUP($D$2,COLORES[],2,FALSE),0)))+F31)
   *(1-IFERROR(_xlfn.XLOOKUP(1,(DESC_PROV[LINEA]=$B$2)*(DESC_PROV[LISTA]=$C$2),DESC_PROV[DESCUENTO]),0))
   *(1+VLOOKUP($C$2,LISTAS[],2,FALSE))
   *(1+VLOOKUP($C$2,LISTAS[],3,FALSE))
)
/5,0)*5</f>
        <v>304125</v>
      </c>
      <c r="N31" s="65" cm="1">
        <f t="array" ref="N31">ROUND(
IF($A$2="COSTO",
   ((B31*(1+IFERROR(VLOOKUP($D$2,COLORES[],2,FALSE),0)))+G31)
   *(1-IFERROR(_xlfn.XLOOKUP(1,(DESC_PROV[LINEA]=$B$2)*(DESC_PROV[LISTA]=$C$2),DESC_PROV[DESCUENTO]),0)),
   ((B31*(1+IFERROR(VLOOKUP($D$2,COLORES[],2,FALSE),0)))+G31)
   *(1-IFERROR(_xlfn.XLOOKUP(1,(DESC_PROV[LINEA]=$B$2)*(DESC_PROV[LISTA]=$C$2),DESC_PROV[DESCUENTO]),0))
   *(1+VLOOKUP($C$2,LISTAS[],2,FALSE))
   *(1+VLOOKUP($C$2,LISTAS[],3,FALSE))
)
/5,0)*5</f>
        <v>319280</v>
      </c>
      <c r="O31" s="65" cm="1">
        <f t="array" ref="O31">ROUND(
IF($A$2="COSTO",
   ((B31*(1+IFERROR(VLOOKUP($D$2,COLORES[],2,FALSE),0)))+H31)
   *(1-IFERROR(_xlfn.XLOOKUP(1,(DESC_PROV[LINEA]=$B$2)*(DESC_PROV[LISTA]=$C$2),DESC_PROV[DESCUENTO]),0)),
   ((B31*(1+IFERROR(VLOOKUP($D$2,COLORES[],2,FALSE),0)))+H31)
   *(1-IFERROR(_xlfn.XLOOKUP(1,(DESC_PROV[LINEA]=$B$2)*(DESC_PROV[LISTA]=$C$2),DESC_PROV[DESCUENTO]),0))
   *(1+VLOOKUP($C$2,LISTAS[],2,FALSE))
   *(1+VLOOKUP($C$2,LISTAS[],3,FALSE))
)
/5,0)*5</f>
        <v>453460</v>
      </c>
      <c r="P31" s="65" cm="1">
        <f t="array" ref="P31">ROUND(
IF($A$2="COSTO",
   (C31*(1+IFERROR(VLOOKUP($D$2,COLORES[],2,FALSE),0)))
   *(1-IFERROR(_xlfn.XLOOKUP(1,(DESC_PROV[LINEA]=$B$2)*(DESC_PROV[LISTA]=$C$2),DESC_PROV[DESCUENTO]),0)),
   (C31*(1+IFERROR(VLOOKUP($D$2,COLORES[],2,FALSE),0)))
   *(1-IFERROR(_xlfn.XLOOKUP(1,(DESC_PROV[LINEA]=$B$2)*(DESC_PROV[LISTA]=$C$2),DESC_PROV[DESCUENTO]),0))
   *(1+VLOOKUP($C$2,LISTAS[],2,FALSE))
   *(1+VLOOKUP($C$2,LISTAS[],3,FALSE))
)
/5,0)*5</f>
        <v>19690</v>
      </c>
      <c r="Q31" s="65" cm="1">
        <f t="array" ref="Q31">ROUND(
IF($A$2="COSTO",
   (D31*(1+IFERROR(VLOOKUP($D$2,COLORES[],2,FALSE),0)))
   *(1-IFERROR(_xlfn.XLOOKUP(1,(DESC_PROV[LINEA]=$B$2)*(DESC_PROV[LISTA]=$C$2),DESC_PROV[DESCUENTO]),0)),
   (D31*(1+IFERROR(VLOOKUP($D$2,COLORES[],2,FALSE),0)))
   *(1-IFERROR(_xlfn.XLOOKUP(1,(DESC_PROV[LINEA]=$B$2)*(DESC_PROV[LISTA]=$C$2),DESC_PROV[DESCUENTO]),0))
   *(1+VLOOKUP($C$2,LISTAS[],2,FALSE))
   *(1+VLOOKUP($C$2,LISTAS[],4,FALSE))
)
/5,0)*5</f>
        <v>65300</v>
      </c>
      <c r="R31" s="66" cm="1">
        <f t="array" ref="R31">ROUND(
IF($A$2="COSTO",
   ((B31*(1+IFERROR(VLOOKUP($D$2,COLORES[],2,FALSE),0)))+(F31+I31+F31))
   *(1-IFERROR(_xlfn.XLOOKUP(1,(DESC_PROV[LINEA]=$B$2)*(DESC_PROV[LISTA]=$C$2),DESC_PROV[DESCUENTO]),0)),
   ((B31*(1+IFERROR(VLOOKUP($D$2,COLORES[],2,FALSE),0)))+(F31+I31+F31))
   *(1-IFERROR(_xlfn.XLOOKUP(1,(DESC_PROV[LINEA]=$B$2)*(DESC_PROV[LISTA]=$C$2),DESC_PROV[DESCUENTO]),0))
   *(1+VLOOKUP($C$2,LISTAS[],2,FALSE))
   *(1+VLOOKUP($C$2,LISTAS[],3,FALSE))
)
/5,0)*5</f>
        <v>497420</v>
      </c>
    </row>
    <row r="32" spans="1:18">
      <c r="A32" s="107" t="s">
        <v>58</v>
      </c>
      <c r="B32" s="64">
        <v>127825</v>
      </c>
      <c r="C32" s="64">
        <v>16901</v>
      </c>
      <c r="D32" s="64">
        <v>26075</v>
      </c>
      <c r="E32" s="64">
        <v>13398</v>
      </c>
      <c r="F32" s="64">
        <v>16228</v>
      </c>
      <c r="G32" s="64">
        <v>21368</v>
      </c>
      <c r="H32" s="64">
        <v>66893</v>
      </c>
      <c r="I32" s="64">
        <v>82555</v>
      </c>
      <c r="J32" s="2"/>
      <c r="K32" s="107" t="s">
        <v>58</v>
      </c>
      <c r="L32" s="65" cm="1">
        <f t="array" ref="L32">ROUND(
IF($A$2="COSTO",
   ((B32*(1+IFERROR(VLOOKUP($D$2,COLORES[],2,FALSE),0)))+E32)
   *(1-IFERROR(_xlfn.XLOOKUP(1,(DESC_PROV[LINEA]=$B$2)*(DESC_PROV[LISTA]=$C$2),DESC_PROV[DESCUENTO]),0)),
   ((B32*(1+IFERROR(VLOOKUP($D$2,COLORES[],2,FALSE),0)))+E32)
   *(1-IFERROR(_xlfn.XLOOKUP(1,(DESC_PROV[LINEA]=$B$2)*(DESC_PROV[LISTA]=$C$2),DESC_PROV[DESCUENTO]),0))
   *(1+VLOOKUP($C$2,LISTAS[],2,FALSE))
   *(1+VLOOKUP($C$2,LISTAS[],3,FALSE))
)
/5,0)*5</f>
        <v>180985</v>
      </c>
      <c r="M32" s="65" cm="1">
        <f t="array" ref="M32">ROUND(
IF($A$2="COSTO",
   ((B32*(1+IFERROR(VLOOKUP($D$2,COLORES[],2,FALSE),0)))+F32)
   *(1-IFERROR(_xlfn.XLOOKUP(1,(DESC_PROV[LINEA]=$B$2)*(DESC_PROV[LISTA]=$C$2),DESC_PROV[DESCUENTO]),0)),
   ((B32*(1+IFERROR(VLOOKUP($D$2,COLORES[],2,FALSE),0)))+F32)
   *(1-IFERROR(_xlfn.XLOOKUP(1,(DESC_PROV[LINEA]=$B$2)*(DESC_PROV[LISTA]=$C$2),DESC_PROV[DESCUENTO]),0))
   *(1+VLOOKUP($C$2,LISTAS[],2,FALSE))
   *(1+VLOOKUP($C$2,LISTAS[],3,FALSE))
)
/5,0)*5</f>
        <v>184610</v>
      </c>
      <c r="N32" s="65" cm="1">
        <f t="array" ref="N32">ROUND(
IF($A$2="COSTO",
   ((B32*(1+IFERROR(VLOOKUP($D$2,COLORES[],2,FALSE),0)))+G32)
   *(1-IFERROR(_xlfn.XLOOKUP(1,(DESC_PROV[LINEA]=$B$2)*(DESC_PROV[LISTA]=$C$2),DESC_PROV[DESCUENTO]),0)),
   ((B32*(1+IFERROR(VLOOKUP($D$2,COLORES[],2,FALSE),0)))+G32)
   *(1-IFERROR(_xlfn.XLOOKUP(1,(DESC_PROV[LINEA]=$B$2)*(DESC_PROV[LISTA]=$C$2),DESC_PROV[DESCUENTO]),0))
   *(1+VLOOKUP($C$2,LISTAS[],2,FALSE))
   *(1+VLOOKUP($C$2,LISTAS[],3,FALSE))
)
/5,0)*5</f>
        <v>191195</v>
      </c>
      <c r="O32" s="65" cm="1">
        <f t="array" ref="O32">ROUND(
IF($A$2="COSTO",
   ((B32*(1+IFERROR(VLOOKUP($D$2,COLORES[],2,FALSE),0)))+H32)
   *(1-IFERROR(_xlfn.XLOOKUP(1,(DESC_PROV[LINEA]=$B$2)*(DESC_PROV[LISTA]=$C$2),DESC_PROV[DESCUENTO]),0)),
   ((B32*(1+IFERROR(VLOOKUP($D$2,COLORES[],2,FALSE),0)))+H32)
   *(1-IFERROR(_xlfn.XLOOKUP(1,(DESC_PROV[LINEA]=$B$2)*(DESC_PROV[LISTA]=$C$2),DESC_PROV[DESCUENTO]),0))
   *(1+VLOOKUP($C$2,LISTAS[],2,FALSE))
   *(1+VLOOKUP($C$2,LISTAS[],3,FALSE))
)
/5,0)*5</f>
        <v>249540</v>
      </c>
      <c r="P32" s="65" cm="1">
        <f t="array" ref="P32">ROUND(
IF($A$2="COSTO",
   (C32*(1+IFERROR(VLOOKUP($D$2,COLORES[],2,FALSE),0)))
   *(1-IFERROR(_xlfn.XLOOKUP(1,(DESC_PROV[LINEA]=$B$2)*(DESC_PROV[LISTA]=$C$2),DESC_PROV[DESCUENTO]),0)),
   (C32*(1+IFERROR(VLOOKUP($D$2,COLORES[],2,FALSE),0)))
   *(1-IFERROR(_xlfn.XLOOKUP(1,(DESC_PROV[LINEA]=$B$2)*(DESC_PROV[LISTA]=$C$2),DESC_PROV[DESCUENTO]),0))
   *(1+VLOOKUP($C$2,LISTAS[],2,FALSE))
   *(1+VLOOKUP($C$2,LISTAS[],3,FALSE))
)
/5,0)*5</f>
        <v>21660</v>
      </c>
      <c r="Q32" s="65" cm="1">
        <f t="array" ref="Q32">ROUND(
IF($A$2="COSTO",
   (D32*(1+IFERROR(VLOOKUP($D$2,COLORES[],2,FALSE),0)))
   *(1-IFERROR(_xlfn.XLOOKUP(1,(DESC_PROV[LINEA]=$B$2)*(DESC_PROV[LISTA]=$C$2),DESC_PROV[DESCUENTO]),0)),
   (D32*(1+IFERROR(VLOOKUP($D$2,COLORES[],2,FALSE),0)))
   *(1-IFERROR(_xlfn.XLOOKUP(1,(DESC_PROV[LINEA]=$B$2)*(DESC_PROV[LISTA]=$C$2),DESC_PROV[DESCUENTO]),0))
   *(1+VLOOKUP($C$2,LISTAS[],2,FALSE))
   *(1+VLOOKUP($C$2,LISTAS[],4,FALSE))
)
/5,0)*5</f>
        <v>41130</v>
      </c>
      <c r="R32" s="66" cm="1">
        <f t="array" ref="R32">ROUND(
IF($A$2="COSTO",
   ((B32*(1+IFERROR(VLOOKUP($D$2,COLORES[],2,FALSE),0)))+(F32+I32+F32))
   *(1-IFERROR(_xlfn.XLOOKUP(1,(DESC_PROV[LINEA]=$B$2)*(DESC_PROV[LISTA]=$C$2),DESC_PROV[DESCUENTO]),0)),
   ((B32*(1+IFERROR(VLOOKUP($D$2,COLORES[],2,FALSE),0)))+(F32+I32+F32))
   *(1-IFERROR(_xlfn.XLOOKUP(1,(DESC_PROV[LINEA]=$B$2)*(DESC_PROV[LISTA]=$C$2),DESC_PROV[DESCUENTO]),0))
   *(1+VLOOKUP($C$2,LISTAS[],2,FALSE))
   *(1+VLOOKUP($C$2,LISTAS[],3,FALSE))
)
/5,0)*5</f>
        <v>311205</v>
      </c>
    </row>
    <row r="33" spans="1:18">
      <c r="A33" s="107" t="s">
        <v>59</v>
      </c>
      <c r="B33" s="64">
        <v>137575</v>
      </c>
      <c r="C33" s="64">
        <v>16901</v>
      </c>
      <c r="D33" s="64">
        <v>28650</v>
      </c>
      <c r="E33" s="64">
        <v>16370</v>
      </c>
      <c r="F33" s="64">
        <v>19829</v>
      </c>
      <c r="G33" s="64">
        <v>26114</v>
      </c>
      <c r="H33" s="64">
        <v>81752</v>
      </c>
      <c r="I33" s="64">
        <v>87715</v>
      </c>
      <c r="J33" s="2"/>
      <c r="K33" s="107" t="s">
        <v>59</v>
      </c>
      <c r="L33" s="65" cm="1">
        <f t="array" ref="L33">ROUND(
IF($A$2="COSTO",
   ((B33*(1+IFERROR(VLOOKUP($D$2,COLORES[],2,FALSE),0)))+E33)
   *(1-IFERROR(_xlfn.XLOOKUP(1,(DESC_PROV[LINEA]=$B$2)*(DESC_PROV[LISTA]=$C$2),DESC_PROV[DESCUENTO]),0)),
   ((B33*(1+IFERROR(VLOOKUP($D$2,COLORES[],2,FALSE),0)))+E33)
   *(1-IFERROR(_xlfn.XLOOKUP(1,(DESC_PROV[LINEA]=$B$2)*(DESC_PROV[LISTA]=$C$2),DESC_PROV[DESCUENTO]),0))
   *(1+VLOOKUP($C$2,LISTAS[],2,FALSE))
   *(1+VLOOKUP($C$2,LISTAS[],3,FALSE))
)
/5,0)*5</f>
        <v>197285</v>
      </c>
      <c r="M33" s="65" cm="1">
        <f t="array" ref="M33">ROUND(
IF($A$2="COSTO",
   ((B33*(1+IFERROR(VLOOKUP($D$2,COLORES[],2,FALSE),0)))+F33)
   *(1-IFERROR(_xlfn.XLOOKUP(1,(DESC_PROV[LINEA]=$B$2)*(DESC_PROV[LISTA]=$C$2),DESC_PROV[DESCUENTO]),0)),
   ((B33*(1+IFERROR(VLOOKUP($D$2,COLORES[],2,FALSE),0)))+F33)
   *(1-IFERROR(_xlfn.XLOOKUP(1,(DESC_PROV[LINEA]=$B$2)*(DESC_PROV[LISTA]=$C$2),DESC_PROV[DESCUENTO]),0))
   *(1+VLOOKUP($C$2,LISTAS[],2,FALSE))
   *(1+VLOOKUP($C$2,LISTAS[],3,FALSE))
)
/5,0)*5</f>
        <v>201720</v>
      </c>
      <c r="N33" s="65" cm="1">
        <f t="array" ref="N33">ROUND(
IF($A$2="COSTO",
   ((B33*(1+IFERROR(VLOOKUP($D$2,COLORES[],2,FALSE),0)))+G33)
   *(1-IFERROR(_xlfn.XLOOKUP(1,(DESC_PROV[LINEA]=$B$2)*(DESC_PROV[LISTA]=$C$2),DESC_PROV[DESCUENTO]),0)),
   ((B33*(1+IFERROR(VLOOKUP($D$2,COLORES[],2,FALSE),0)))+G33)
   *(1-IFERROR(_xlfn.XLOOKUP(1,(DESC_PROV[LINEA]=$B$2)*(DESC_PROV[LISTA]=$C$2),DESC_PROV[DESCUENTO]),0))
   *(1+VLOOKUP($C$2,LISTAS[],2,FALSE))
   *(1+VLOOKUP($C$2,LISTAS[],3,FALSE))
)
/5,0)*5</f>
        <v>209775</v>
      </c>
      <c r="O33" s="65" cm="1">
        <f t="array" ref="O33">ROUND(
IF($A$2="COSTO",
   ((B33*(1+IFERROR(VLOOKUP($D$2,COLORES[],2,FALSE),0)))+H33)
   *(1-IFERROR(_xlfn.XLOOKUP(1,(DESC_PROV[LINEA]=$B$2)*(DESC_PROV[LISTA]=$C$2),DESC_PROV[DESCUENTO]),0)),
   ((B33*(1+IFERROR(VLOOKUP($D$2,COLORES[],2,FALSE),0)))+H33)
   *(1-IFERROR(_xlfn.XLOOKUP(1,(DESC_PROV[LINEA]=$B$2)*(DESC_PROV[LISTA]=$C$2),DESC_PROV[DESCUENTO]),0))
   *(1+VLOOKUP($C$2,LISTAS[],2,FALSE))
   *(1+VLOOKUP($C$2,LISTAS[],3,FALSE))
)
/5,0)*5</f>
        <v>281075</v>
      </c>
      <c r="P33" s="65" cm="1">
        <f t="array" ref="P33">ROUND(
IF($A$2="COSTO",
   (C33*(1+IFERROR(VLOOKUP($D$2,COLORES[],2,FALSE),0)))
   *(1-IFERROR(_xlfn.XLOOKUP(1,(DESC_PROV[LINEA]=$B$2)*(DESC_PROV[LISTA]=$C$2),DESC_PROV[DESCUENTO]),0)),
   (C33*(1+IFERROR(VLOOKUP($D$2,COLORES[],2,FALSE),0)))
   *(1-IFERROR(_xlfn.XLOOKUP(1,(DESC_PROV[LINEA]=$B$2)*(DESC_PROV[LISTA]=$C$2),DESC_PROV[DESCUENTO]),0))
   *(1+VLOOKUP($C$2,LISTAS[],2,FALSE))
   *(1+VLOOKUP($C$2,LISTAS[],3,FALSE))
)
/5,0)*5</f>
        <v>21660</v>
      </c>
      <c r="Q33" s="65" cm="1">
        <f t="array" ref="Q33">ROUND(
IF($A$2="COSTO",
   (D33*(1+IFERROR(VLOOKUP($D$2,COLORES[],2,FALSE),0)))
   *(1-IFERROR(_xlfn.XLOOKUP(1,(DESC_PROV[LINEA]=$B$2)*(DESC_PROV[LISTA]=$C$2),DESC_PROV[DESCUENTO]),0)),
   (D33*(1+IFERROR(VLOOKUP($D$2,COLORES[],2,FALSE),0)))
   *(1-IFERROR(_xlfn.XLOOKUP(1,(DESC_PROV[LINEA]=$B$2)*(DESC_PROV[LISTA]=$C$2),DESC_PROV[DESCUENTO]),0))
   *(1+VLOOKUP($C$2,LISTAS[],2,FALSE))
   *(1+VLOOKUP($C$2,LISTAS[],4,FALSE))
)
/5,0)*5</f>
        <v>45190</v>
      </c>
      <c r="R33" s="66" cm="1">
        <f t="array" ref="R33">ROUND(
IF($A$2="COSTO",
   ((B33*(1+IFERROR(VLOOKUP($D$2,COLORES[],2,FALSE),0)))+(F33+I33+F33))
   *(1-IFERROR(_xlfn.XLOOKUP(1,(DESC_PROV[LINEA]=$B$2)*(DESC_PROV[LISTA]=$C$2),DESC_PROV[DESCUENTO]),0)),
   ((B33*(1+IFERROR(VLOOKUP($D$2,COLORES[],2,FALSE),0)))+(F33+I33+F33))
   *(1-IFERROR(_xlfn.XLOOKUP(1,(DESC_PROV[LINEA]=$B$2)*(DESC_PROV[LISTA]=$C$2),DESC_PROV[DESCUENTO]),0))
   *(1+VLOOKUP($C$2,LISTAS[],2,FALSE))
   *(1+VLOOKUP($C$2,LISTAS[],3,FALSE))
)
/5,0)*5</f>
        <v>339540</v>
      </c>
    </row>
    <row r="34" spans="1:18">
      <c r="A34" s="107" t="s">
        <v>60</v>
      </c>
      <c r="B34" s="64">
        <v>155000</v>
      </c>
      <c r="C34" s="64">
        <v>16901</v>
      </c>
      <c r="D34" s="64">
        <v>32513</v>
      </c>
      <c r="E34" s="64">
        <v>20837</v>
      </c>
      <c r="F34" s="64">
        <v>25242</v>
      </c>
      <c r="G34" s="64">
        <v>33238</v>
      </c>
      <c r="H34" s="64">
        <v>104054</v>
      </c>
      <c r="I34" s="64">
        <v>95454</v>
      </c>
      <c r="J34" s="2"/>
      <c r="K34" s="107" t="s">
        <v>60</v>
      </c>
      <c r="L34" s="65" cm="1">
        <f t="array" ref="L34">ROUND(
IF($A$2="COSTO",
   ((B34*(1+IFERROR(VLOOKUP($D$2,COLORES[],2,FALSE),0)))+E34)
   *(1-IFERROR(_xlfn.XLOOKUP(1,(DESC_PROV[LINEA]=$B$2)*(DESC_PROV[LISTA]=$C$2),DESC_PROV[DESCUENTO]),0)),
   ((B34*(1+IFERROR(VLOOKUP($D$2,COLORES[],2,FALSE),0)))+E34)
   *(1-IFERROR(_xlfn.XLOOKUP(1,(DESC_PROV[LINEA]=$B$2)*(DESC_PROV[LISTA]=$C$2),DESC_PROV[DESCUENTO]),0))
   *(1+VLOOKUP($C$2,LISTAS[],2,FALSE))
   *(1+VLOOKUP($C$2,LISTAS[],3,FALSE))
)
/5,0)*5</f>
        <v>225340</v>
      </c>
      <c r="M34" s="65" cm="1">
        <f t="array" ref="M34">ROUND(
IF($A$2="COSTO",
   ((B34*(1+IFERROR(VLOOKUP($D$2,COLORES[],2,FALSE),0)))+F34)
   *(1-IFERROR(_xlfn.XLOOKUP(1,(DESC_PROV[LINEA]=$B$2)*(DESC_PROV[LISTA]=$C$2),DESC_PROV[DESCUENTO]),0)),
   ((B34*(1+IFERROR(VLOOKUP($D$2,COLORES[],2,FALSE),0)))+F34)
   *(1-IFERROR(_xlfn.XLOOKUP(1,(DESC_PROV[LINEA]=$B$2)*(DESC_PROV[LISTA]=$C$2),DESC_PROV[DESCUENTO]),0))
   *(1+VLOOKUP($C$2,LISTAS[],2,FALSE))
   *(1+VLOOKUP($C$2,LISTAS[],3,FALSE))
)
/5,0)*5</f>
        <v>230985</v>
      </c>
      <c r="N34" s="65" cm="1">
        <f t="array" ref="N34">ROUND(
IF($A$2="COSTO",
   ((B34*(1+IFERROR(VLOOKUP($D$2,COLORES[],2,FALSE),0)))+G34)
   *(1-IFERROR(_xlfn.XLOOKUP(1,(DESC_PROV[LINEA]=$B$2)*(DESC_PROV[LISTA]=$C$2),DESC_PROV[DESCUENTO]),0)),
   ((B34*(1+IFERROR(VLOOKUP($D$2,COLORES[],2,FALSE),0)))+G34)
   *(1-IFERROR(_xlfn.XLOOKUP(1,(DESC_PROV[LINEA]=$B$2)*(DESC_PROV[LISTA]=$C$2),DESC_PROV[DESCUENTO]),0))
   *(1+VLOOKUP($C$2,LISTAS[],2,FALSE))
   *(1+VLOOKUP($C$2,LISTAS[],3,FALSE))
)
/5,0)*5</f>
        <v>241235</v>
      </c>
      <c r="O34" s="65" cm="1">
        <f t="array" ref="O34">ROUND(
IF($A$2="COSTO",
   ((B34*(1+IFERROR(VLOOKUP($D$2,COLORES[],2,FALSE),0)))+H34)
   *(1-IFERROR(_xlfn.XLOOKUP(1,(DESC_PROV[LINEA]=$B$2)*(DESC_PROV[LISTA]=$C$2),DESC_PROV[DESCUENTO]),0)),
   ((B34*(1+IFERROR(VLOOKUP($D$2,COLORES[],2,FALSE),0)))+H34)
   *(1-IFERROR(_xlfn.XLOOKUP(1,(DESC_PROV[LINEA]=$B$2)*(DESC_PROV[LISTA]=$C$2),DESC_PROV[DESCUENTO]),0))
   *(1+VLOOKUP($C$2,LISTAS[],2,FALSE))
   *(1+VLOOKUP($C$2,LISTAS[],3,FALSE))
)
/5,0)*5</f>
        <v>331990</v>
      </c>
      <c r="P34" s="65" cm="1">
        <f t="array" ref="P34">ROUND(
IF($A$2="COSTO",
   (C34*(1+IFERROR(VLOOKUP($D$2,COLORES[],2,FALSE),0)))
   *(1-IFERROR(_xlfn.XLOOKUP(1,(DESC_PROV[LINEA]=$B$2)*(DESC_PROV[LISTA]=$C$2),DESC_PROV[DESCUENTO]),0)),
   (C34*(1+IFERROR(VLOOKUP($D$2,COLORES[],2,FALSE),0)))
   *(1-IFERROR(_xlfn.XLOOKUP(1,(DESC_PROV[LINEA]=$B$2)*(DESC_PROV[LISTA]=$C$2),DESC_PROV[DESCUENTO]),0))
   *(1+VLOOKUP($C$2,LISTAS[],2,FALSE))
   *(1+VLOOKUP($C$2,LISTAS[],3,FALSE))
)
/5,0)*5</f>
        <v>21660</v>
      </c>
      <c r="Q34" s="65" cm="1">
        <f t="array" ref="Q34">ROUND(
IF($A$2="COSTO",
   (D34*(1+IFERROR(VLOOKUP($D$2,COLORES[],2,FALSE),0)))
   *(1-IFERROR(_xlfn.XLOOKUP(1,(DESC_PROV[LINEA]=$B$2)*(DESC_PROV[LISTA]=$C$2),DESC_PROV[DESCUENTO]),0)),
   (D34*(1+IFERROR(VLOOKUP($D$2,COLORES[],2,FALSE),0)))
   *(1-IFERROR(_xlfn.XLOOKUP(1,(DESC_PROV[LINEA]=$B$2)*(DESC_PROV[LISTA]=$C$2),DESC_PROV[DESCUENTO]),0))
   *(1+VLOOKUP($C$2,LISTAS[],2,FALSE))
   *(1+VLOOKUP($C$2,LISTAS[],4,FALSE))
)
/5,0)*5</f>
        <v>51280</v>
      </c>
      <c r="R34" s="66" cm="1">
        <f t="array" ref="R34">ROUND(
IF($A$2="COSTO",
   ((B34*(1+IFERROR(VLOOKUP($D$2,COLORES[],2,FALSE),0)))+(F34+I34+F34))
   *(1-IFERROR(_xlfn.XLOOKUP(1,(DESC_PROV[LINEA]=$B$2)*(DESC_PROV[LISTA]=$C$2),DESC_PROV[DESCUENTO]),0)),
   ((B34*(1+IFERROR(VLOOKUP($D$2,COLORES[],2,FALSE),0)))+(F34+I34+F34))
   *(1-IFERROR(_xlfn.XLOOKUP(1,(DESC_PROV[LINEA]=$B$2)*(DESC_PROV[LISTA]=$C$2),DESC_PROV[DESCUENTO]),0))
   *(1+VLOOKUP($C$2,LISTAS[],2,FALSE))
   *(1+VLOOKUP($C$2,LISTAS[],3,FALSE))
)
/5,0)*5</f>
        <v>385665</v>
      </c>
    </row>
    <row r="35" spans="1:18">
      <c r="A35" s="107" t="s">
        <v>61</v>
      </c>
      <c r="B35" s="64">
        <v>166338</v>
      </c>
      <c r="C35" s="64">
        <v>16901</v>
      </c>
      <c r="D35" s="64">
        <v>36375</v>
      </c>
      <c r="E35" s="64">
        <v>25305</v>
      </c>
      <c r="F35" s="64">
        <v>30650</v>
      </c>
      <c r="G35" s="64">
        <v>40357</v>
      </c>
      <c r="H35" s="64">
        <v>126343</v>
      </c>
      <c r="I35" s="64">
        <v>103194</v>
      </c>
      <c r="J35" s="2"/>
      <c r="K35" s="107" t="s">
        <v>61</v>
      </c>
      <c r="L35" s="65" cm="1">
        <f t="array" ref="L35">ROUND(
IF($A$2="COSTO",
   ((B35*(1+IFERROR(VLOOKUP($D$2,COLORES[],2,FALSE),0)))+E35)
   *(1-IFERROR(_xlfn.XLOOKUP(1,(DESC_PROV[LINEA]=$B$2)*(DESC_PROV[LISTA]=$C$2),DESC_PROV[DESCUENTO]),0)),
   ((B35*(1+IFERROR(VLOOKUP($D$2,COLORES[],2,FALSE),0)))+E35)
   *(1-IFERROR(_xlfn.XLOOKUP(1,(DESC_PROV[LINEA]=$B$2)*(DESC_PROV[LISTA]=$C$2),DESC_PROV[DESCUENTO]),0))
   *(1+VLOOKUP($C$2,LISTAS[],2,FALSE))
   *(1+VLOOKUP($C$2,LISTAS[],3,FALSE))
)
/5,0)*5</f>
        <v>245600</v>
      </c>
      <c r="M35" s="65" cm="1">
        <f t="array" ref="M35">ROUND(
IF($A$2="COSTO",
   ((B35*(1+IFERROR(VLOOKUP($D$2,COLORES[],2,FALSE),0)))+F35)
   *(1-IFERROR(_xlfn.XLOOKUP(1,(DESC_PROV[LINEA]=$B$2)*(DESC_PROV[LISTA]=$C$2),DESC_PROV[DESCUENTO]),0)),
   ((B35*(1+IFERROR(VLOOKUP($D$2,COLORES[],2,FALSE),0)))+F35)
   *(1-IFERROR(_xlfn.XLOOKUP(1,(DESC_PROV[LINEA]=$B$2)*(DESC_PROV[LISTA]=$C$2),DESC_PROV[DESCUENTO]),0))
   *(1+VLOOKUP($C$2,LISTAS[],2,FALSE))
   *(1+VLOOKUP($C$2,LISTAS[],3,FALSE))
)
/5,0)*5</f>
        <v>252450</v>
      </c>
      <c r="N35" s="65" cm="1">
        <f t="array" ref="N35">ROUND(
IF($A$2="COSTO",
   ((B35*(1+IFERROR(VLOOKUP($D$2,COLORES[],2,FALSE),0)))+G35)
   *(1-IFERROR(_xlfn.XLOOKUP(1,(DESC_PROV[LINEA]=$B$2)*(DESC_PROV[LISTA]=$C$2),DESC_PROV[DESCUENTO]),0)),
   ((B35*(1+IFERROR(VLOOKUP($D$2,COLORES[],2,FALSE),0)))+G35)
   *(1-IFERROR(_xlfn.XLOOKUP(1,(DESC_PROV[LINEA]=$B$2)*(DESC_PROV[LISTA]=$C$2),DESC_PROV[DESCUENTO]),0))
   *(1+VLOOKUP($C$2,LISTAS[],2,FALSE))
   *(1+VLOOKUP($C$2,LISTAS[],3,FALSE))
)
/5,0)*5</f>
        <v>264890</v>
      </c>
      <c r="O35" s="65" cm="1">
        <f t="array" ref="O35">ROUND(
IF($A$2="COSTO",
   ((B35*(1+IFERROR(VLOOKUP($D$2,COLORES[],2,FALSE),0)))+H35)
   *(1-IFERROR(_xlfn.XLOOKUP(1,(DESC_PROV[LINEA]=$B$2)*(DESC_PROV[LISTA]=$C$2),DESC_PROV[DESCUENTO]),0)),
   ((B35*(1+IFERROR(VLOOKUP($D$2,COLORES[],2,FALSE),0)))+H35)
   *(1-IFERROR(_xlfn.XLOOKUP(1,(DESC_PROV[LINEA]=$B$2)*(DESC_PROV[LISTA]=$C$2),DESC_PROV[DESCUENTO]),0))
   *(1+VLOOKUP($C$2,LISTAS[],2,FALSE))
   *(1+VLOOKUP($C$2,LISTAS[],3,FALSE))
)
/5,0)*5</f>
        <v>375080</v>
      </c>
      <c r="P35" s="65" cm="1">
        <f t="array" ref="P35">ROUND(
IF($A$2="COSTO",
   (C35*(1+IFERROR(VLOOKUP($D$2,COLORES[],2,FALSE),0)))
   *(1-IFERROR(_xlfn.XLOOKUP(1,(DESC_PROV[LINEA]=$B$2)*(DESC_PROV[LISTA]=$C$2),DESC_PROV[DESCUENTO]),0)),
   (C35*(1+IFERROR(VLOOKUP($D$2,COLORES[],2,FALSE),0)))
   *(1-IFERROR(_xlfn.XLOOKUP(1,(DESC_PROV[LINEA]=$B$2)*(DESC_PROV[LISTA]=$C$2),DESC_PROV[DESCUENTO]),0))
   *(1+VLOOKUP($C$2,LISTAS[],2,FALSE))
   *(1+VLOOKUP($C$2,LISTAS[],3,FALSE))
)
/5,0)*5</f>
        <v>21660</v>
      </c>
      <c r="Q35" s="65" cm="1">
        <f t="array" ref="Q35">ROUND(
IF($A$2="COSTO",
   (D35*(1+IFERROR(VLOOKUP($D$2,COLORES[],2,FALSE),0)))
   *(1-IFERROR(_xlfn.XLOOKUP(1,(DESC_PROV[LINEA]=$B$2)*(DESC_PROV[LISTA]=$C$2),DESC_PROV[DESCUENTO]),0)),
   (D35*(1+IFERROR(VLOOKUP($D$2,COLORES[],2,FALSE),0)))
   *(1-IFERROR(_xlfn.XLOOKUP(1,(DESC_PROV[LINEA]=$B$2)*(DESC_PROV[LISTA]=$C$2),DESC_PROV[DESCUENTO]),0))
   *(1+VLOOKUP($C$2,LISTAS[],2,FALSE))
   *(1+VLOOKUP($C$2,LISTAS[],4,FALSE))
)
/5,0)*5</f>
        <v>57375</v>
      </c>
      <c r="R35" s="66" cm="1">
        <f t="array" ref="R35">ROUND(
IF($A$2="COSTO",
   ((B35*(1+IFERROR(VLOOKUP($D$2,COLORES[],2,FALSE),0)))+(F35+I35+F35))
   *(1-IFERROR(_xlfn.XLOOKUP(1,(DESC_PROV[LINEA]=$B$2)*(DESC_PROV[LISTA]=$C$2),DESC_PROV[DESCUENTO]),0)),
   ((B35*(1+IFERROR(VLOOKUP($D$2,COLORES[],2,FALSE),0)))+(F35+I35+F35))
   *(1-IFERROR(_xlfn.XLOOKUP(1,(DESC_PROV[LINEA]=$B$2)*(DESC_PROV[LISTA]=$C$2),DESC_PROV[DESCUENTO]),0))
   *(1+VLOOKUP($C$2,LISTAS[],2,FALSE))
   *(1+VLOOKUP($C$2,LISTAS[],3,FALSE))
)
/5,0)*5</f>
        <v>423975</v>
      </c>
    </row>
    <row r="36" spans="1:18">
      <c r="A36" s="107" t="s">
        <v>63</v>
      </c>
      <c r="B36" s="64">
        <v>197481</v>
      </c>
      <c r="C36" s="64">
        <v>16901</v>
      </c>
      <c r="D36" s="64">
        <v>41525</v>
      </c>
      <c r="E36" s="64">
        <v>31253</v>
      </c>
      <c r="F36" s="64">
        <v>37858</v>
      </c>
      <c r="G36" s="64">
        <v>49854</v>
      </c>
      <c r="H36" s="64">
        <v>156075</v>
      </c>
      <c r="I36" s="64">
        <v>113513</v>
      </c>
      <c r="J36" s="2"/>
      <c r="K36" s="107" t="s">
        <v>63</v>
      </c>
      <c r="L36" s="65" cm="1">
        <f t="array" ref="L36">ROUND(
IF($A$2="COSTO",
   ((B36*(1+IFERROR(VLOOKUP($D$2,COLORES[],2,FALSE),0)))+E36)
   *(1-IFERROR(_xlfn.XLOOKUP(1,(DESC_PROV[LINEA]=$B$2)*(DESC_PROV[LISTA]=$C$2),DESC_PROV[DESCUENTO]),0)),
   ((B36*(1+IFERROR(VLOOKUP($D$2,COLORES[],2,FALSE),0)))+E36)
   *(1-IFERROR(_xlfn.XLOOKUP(1,(DESC_PROV[LINEA]=$B$2)*(DESC_PROV[LISTA]=$C$2),DESC_PROV[DESCUENTO]),0))
   *(1+VLOOKUP($C$2,LISTAS[],2,FALSE))
   *(1+VLOOKUP($C$2,LISTAS[],3,FALSE))
)
/5,0)*5</f>
        <v>293130</v>
      </c>
      <c r="M36" s="65" cm="1">
        <f t="array" ref="M36">ROUND(
IF($A$2="COSTO",
   ((B36*(1+IFERROR(VLOOKUP($D$2,COLORES[],2,FALSE),0)))+F36)
   *(1-IFERROR(_xlfn.XLOOKUP(1,(DESC_PROV[LINEA]=$B$2)*(DESC_PROV[LISTA]=$C$2),DESC_PROV[DESCUENTO]),0)),
   ((B36*(1+IFERROR(VLOOKUP($D$2,COLORES[],2,FALSE),0)))+F36)
   *(1-IFERROR(_xlfn.XLOOKUP(1,(DESC_PROV[LINEA]=$B$2)*(DESC_PROV[LISTA]=$C$2),DESC_PROV[DESCUENTO]),0))
   *(1+VLOOKUP($C$2,LISTAS[],2,FALSE))
   *(1+VLOOKUP($C$2,LISTAS[],3,FALSE))
)
/5,0)*5</f>
        <v>301595</v>
      </c>
      <c r="N36" s="65" cm="1">
        <f t="array" ref="N36">ROUND(
IF($A$2="COSTO",
   ((B36*(1+IFERROR(VLOOKUP($D$2,COLORES[],2,FALSE),0)))+G36)
   *(1-IFERROR(_xlfn.XLOOKUP(1,(DESC_PROV[LINEA]=$B$2)*(DESC_PROV[LISTA]=$C$2),DESC_PROV[DESCUENTO]),0)),
   ((B36*(1+IFERROR(VLOOKUP($D$2,COLORES[],2,FALSE),0)))+G36)
   *(1-IFERROR(_xlfn.XLOOKUP(1,(DESC_PROV[LINEA]=$B$2)*(DESC_PROV[LISTA]=$C$2),DESC_PROV[DESCUENTO]),0))
   *(1+VLOOKUP($C$2,LISTAS[],2,FALSE))
   *(1+VLOOKUP($C$2,LISTAS[],3,FALSE))
)
/5,0)*5</f>
        <v>316970</v>
      </c>
      <c r="O36" s="65" cm="1">
        <f t="array" ref="O36">ROUND(
IF($A$2="COSTO",
   ((B36*(1+IFERROR(VLOOKUP($D$2,COLORES[],2,FALSE),0)))+H36)
   *(1-IFERROR(_xlfn.XLOOKUP(1,(DESC_PROV[LINEA]=$B$2)*(DESC_PROV[LISTA]=$C$2),DESC_PROV[DESCUENTO]),0)),
   ((B36*(1+IFERROR(VLOOKUP($D$2,COLORES[],2,FALSE),0)))+H36)
   *(1-IFERROR(_xlfn.XLOOKUP(1,(DESC_PROV[LINEA]=$B$2)*(DESC_PROV[LISTA]=$C$2),DESC_PROV[DESCUENTO]),0))
   *(1+VLOOKUP($C$2,LISTAS[],2,FALSE))
   *(1+VLOOKUP($C$2,LISTAS[],3,FALSE))
)
/5,0)*5</f>
        <v>453095</v>
      </c>
      <c r="P36" s="65" cm="1">
        <f t="array" ref="P36">ROUND(
IF($A$2="COSTO",
   (C36*(1+IFERROR(VLOOKUP($D$2,COLORES[],2,FALSE),0)))
   *(1-IFERROR(_xlfn.XLOOKUP(1,(DESC_PROV[LINEA]=$B$2)*(DESC_PROV[LISTA]=$C$2),DESC_PROV[DESCUENTO]),0)),
   (C36*(1+IFERROR(VLOOKUP($D$2,COLORES[],2,FALSE),0)))
   *(1-IFERROR(_xlfn.XLOOKUP(1,(DESC_PROV[LINEA]=$B$2)*(DESC_PROV[LISTA]=$C$2),DESC_PROV[DESCUENTO]),0))
   *(1+VLOOKUP($C$2,LISTAS[],2,FALSE))
   *(1+VLOOKUP($C$2,LISTAS[],3,FALSE))
)
/5,0)*5</f>
        <v>21660</v>
      </c>
      <c r="Q36" s="65" cm="1">
        <f t="array" ref="Q36">ROUND(
IF($A$2="COSTO",
   (D36*(1+IFERROR(VLOOKUP($D$2,COLORES[],2,FALSE),0)))
   *(1-IFERROR(_xlfn.XLOOKUP(1,(DESC_PROV[LINEA]=$B$2)*(DESC_PROV[LISTA]=$C$2),DESC_PROV[DESCUENTO]),0)),
   (D36*(1+IFERROR(VLOOKUP($D$2,COLORES[],2,FALSE),0)))
   *(1-IFERROR(_xlfn.XLOOKUP(1,(DESC_PROV[LINEA]=$B$2)*(DESC_PROV[LISTA]=$C$2),DESC_PROV[DESCUENTO]),0))
   *(1+VLOOKUP($C$2,LISTAS[],2,FALSE))
   *(1+VLOOKUP($C$2,LISTAS[],4,FALSE))
)
/5,0)*5</f>
        <v>65495</v>
      </c>
      <c r="R36" s="66" cm="1">
        <f t="array" ref="R36">ROUND(
IF($A$2="COSTO",
   ((B36*(1+IFERROR(VLOOKUP($D$2,COLORES[],2,FALSE),0)))+(F36+I36+F36))
   *(1-IFERROR(_xlfn.XLOOKUP(1,(DESC_PROV[LINEA]=$B$2)*(DESC_PROV[LISTA]=$C$2),DESC_PROV[DESCUENTO]),0)),
   ((B36*(1+IFERROR(VLOOKUP($D$2,COLORES[],2,FALSE),0)))+(F36+I36+F36))
   *(1-IFERROR(_xlfn.XLOOKUP(1,(DESC_PROV[LINEA]=$B$2)*(DESC_PROV[LISTA]=$C$2),DESC_PROV[DESCUENTO]),0))
   *(1+VLOOKUP($C$2,LISTAS[],2,FALSE))
   *(1+VLOOKUP($C$2,LISTAS[],3,FALSE))
)
/5,0)*5</f>
        <v>495585</v>
      </c>
    </row>
    <row r="37" spans="1:18">
      <c r="A37" s="107" t="s">
        <v>64</v>
      </c>
      <c r="B37" s="64">
        <v>212169</v>
      </c>
      <c r="C37" s="64">
        <v>16901</v>
      </c>
      <c r="D37" s="64">
        <v>44100</v>
      </c>
      <c r="E37" s="64">
        <v>34230</v>
      </c>
      <c r="F37" s="64">
        <v>41465</v>
      </c>
      <c r="G37" s="64">
        <v>54605</v>
      </c>
      <c r="H37" s="64">
        <v>170940</v>
      </c>
      <c r="I37" s="64">
        <v>118673</v>
      </c>
      <c r="J37" s="2"/>
      <c r="K37" s="107" t="s">
        <v>64</v>
      </c>
      <c r="L37" s="65" cm="1">
        <f t="array" ref="L37">ROUND(
IF($A$2="COSTO",
   ((B37*(1+IFERROR(VLOOKUP($D$2,COLORES[],2,FALSE),0)))+E37)
   *(1-IFERROR(_xlfn.XLOOKUP(1,(DESC_PROV[LINEA]=$B$2)*(DESC_PROV[LISTA]=$C$2),DESC_PROV[DESCUENTO]),0)),
   ((B37*(1+IFERROR(VLOOKUP($D$2,COLORES[],2,FALSE),0)))+E37)
   *(1-IFERROR(_xlfn.XLOOKUP(1,(DESC_PROV[LINEA]=$B$2)*(DESC_PROV[LISTA]=$C$2),DESC_PROV[DESCUENTO]),0))
   *(1+VLOOKUP($C$2,LISTAS[],2,FALSE))
   *(1+VLOOKUP($C$2,LISTAS[],3,FALSE))
)
/5,0)*5</f>
        <v>315770</v>
      </c>
      <c r="M37" s="65" cm="1">
        <f t="array" ref="M37">ROUND(
IF($A$2="COSTO",
   ((B37*(1+IFERROR(VLOOKUP($D$2,COLORES[],2,FALSE),0)))+F37)
   *(1-IFERROR(_xlfn.XLOOKUP(1,(DESC_PROV[LINEA]=$B$2)*(DESC_PROV[LISTA]=$C$2),DESC_PROV[DESCUENTO]),0)),
   ((B37*(1+IFERROR(VLOOKUP($D$2,COLORES[],2,FALSE),0)))+F37)
   *(1-IFERROR(_xlfn.XLOOKUP(1,(DESC_PROV[LINEA]=$B$2)*(DESC_PROV[LISTA]=$C$2),DESC_PROV[DESCUENTO]),0))
   *(1+VLOOKUP($C$2,LISTAS[],2,FALSE))
   *(1+VLOOKUP($C$2,LISTAS[],3,FALSE))
)
/5,0)*5</f>
        <v>325040</v>
      </c>
      <c r="N37" s="65" cm="1">
        <f t="array" ref="N37">ROUND(
IF($A$2="COSTO",
   ((B37*(1+IFERROR(VLOOKUP($D$2,COLORES[],2,FALSE),0)))+G37)
   *(1-IFERROR(_xlfn.XLOOKUP(1,(DESC_PROV[LINEA]=$B$2)*(DESC_PROV[LISTA]=$C$2),DESC_PROV[DESCUENTO]),0)),
   ((B37*(1+IFERROR(VLOOKUP($D$2,COLORES[],2,FALSE),0)))+G37)
   *(1-IFERROR(_xlfn.XLOOKUP(1,(DESC_PROV[LINEA]=$B$2)*(DESC_PROV[LISTA]=$C$2),DESC_PROV[DESCUENTO]),0))
   *(1+VLOOKUP($C$2,LISTAS[],2,FALSE))
   *(1+VLOOKUP($C$2,LISTAS[],3,FALSE))
)
/5,0)*5</f>
        <v>341880</v>
      </c>
      <c r="O37" s="65" cm="1">
        <f t="array" ref="O37">ROUND(
IF($A$2="COSTO",
   ((B37*(1+IFERROR(VLOOKUP($D$2,COLORES[],2,FALSE),0)))+H37)
   *(1-IFERROR(_xlfn.XLOOKUP(1,(DESC_PROV[LINEA]=$B$2)*(DESC_PROV[LISTA]=$C$2),DESC_PROV[DESCUENTO]),0)),
   ((B37*(1+IFERROR(VLOOKUP($D$2,COLORES[],2,FALSE),0)))+H37)
   *(1-IFERROR(_xlfn.XLOOKUP(1,(DESC_PROV[LINEA]=$B$2)*(DESC_PROV[LISTA]=$C$2),DESC_PROV[DESCUENTO]),0))
   *(1+VLOOKUP($C$2,LISTAS[],2,FALSE))
   *(1+VLOOKUP($C$2,LISTAS[],3,FALSE))
)
/5,0)*5</f>
        <v>490970</v>
      </c>
      <c r="P37" s="65" cm="1">
        <f t="array" ref="P37">ROUND(
IF($A$2="COSTO",
   (C37*(1+IFERROR(VLOOKUP($D$2,COLORES[],2,FALSE),0)))
   *(1-IFERROR(_xlfn.XLOOKUP(1,(DESC_PROV[LINEA]=$B$2)*(DESC_PROV[LISTA]=$C$2),DESC_PROV[DESCUENTO]),0)),
   (C37*(1+IFERROR(VLOOKUP($D$2,COLORES[],2,FALSE),0)))
   *(1-IFERROR(_xlfn.XLOOKUP(1,(DESC_PROV[LINEA]=$B$2)*(DESC_PROV[LISTA]=$C$2),DESC_PROV[DESCUENTO]),0))
   *(1+VLOOKUP($C$2,LISTAS[],2,FALSE))
   *(1+VLOOKUP($C$2,LISTAS[],3,FALSE))
)
/5,0)*5</f>
        <v>21660</v>
      </c>
      <c r="Q37" s="65" cm="1">
        <f t="array" ref="Q37">ROUND(
IF($A$2="COSTO",
   (D37*(1+IFERROR(VLOOKUP($D$2,COLORES[],2,FALSE),0)))
   *(1-IFERROR(_xlfn.XLOOKUP(1,(DESC_PROV[LINEA]=$B$2)*(DESC_PROV[LISTA]=$C$2),DESC_PROV[DESCUENTO]),0)),
   (D37*(1+IFERROR(VLOOKUP($D$2,COLORES[],2,FALSE),0)))
   *(1-IFERROR(_xlfn.XLOOKUP(1,(DESC_PROV[LINEA]=$B$2)*(DESC_PROV[LISTA]=$C$2),DESC_PROV[DESCUENTO]),0))
   *(1+VLOOKUP($C$2,LISTAS[],2,FALSE))
   *(1+VLOOKUP($C$2,LISTAS[],4,FALSE))
)
/5,0)*5</f>
        <v>69560</v>
      </c>
      <c r="R37" s="66" cm="1">
        <f t="array" ref="R37">ROUND(
IF($A$2="COSTO",
   ((B37*(1+IFERROR(VLOOKUP($D$2,COLORES[],2,FALSE),0)))+(F37+I37+F37))
   *(1-IFERROR(_xlfn.XLOOKUP(1,(DESC_PROV[LINEA]=$B$2)*(DESC_PROV[LISTA]=$C$2),DESC_PROV[DESCUENTO]),0)),
   ((B37*(1+IFERROR(VLOOKUP($D$2,COLORES[],2,FALSE),0)))+(F37+I37+F37))
   *(1-IFERROR(_xlfn.XLOOKUP(1,(DESC_PROV[LINEA]=$B$2)*(DESC_PROV[LISTA]=$C$2),DESC_PROV[DESCUENTO]),0))
   *(1+VLOOKUP($C$2,LISTAS[],2,FALSE))
   *(1+VLOOKUP($C$2,LISTAS[],3,FALSE))
)
/5,0)*5</f>
        <v>530265</v>
      </c>
    </row>
    <row r="38" spans="1:18">
      <c r="A38" s="107" t="s">
        <v>107</v>
      </c>
      <c r="B38" s="64">
        <v>135138</v>
      </c>
      <c r="C38" s="64">
        <v>18438</v>
      </c>
      <c r="D38" s="64">
        <v>27900</v>
      </c>
      <c r="E38" s="64">
        <v>14737</v>
      </c>
      <c r="F38" s="64">
        <v>17850</v>
      </c>
      <c r="G38" s="64">
        <v>23504</v>
      </c>
      <c r="H38" s="64">
        <v>73579</v>
      </c>
      <c r="I38" s="64">
        <v>87715</v>
      </c>
      <c r="J38" s="2"/>
      <c r="K38" s="107" t="s">
        <v>107</v>
      </c>
      <c r="L38" s="65" cm="1">
        <f t="array" ref="L38">ROUND(
IF($A$2="COSTO",
   ((B38*(1+IFERROR(VLOOKUP($D$2,COLORES[],2,FALSE),0)))+E38)
   *(1-IFERROR(_xlfn.XLOOKUP(1,(DESC_PROV[LINEA]=$B$2)*(DESC_PROV[LISTA]=$C$2),DESC_PROV[DESCUENTO]),0)),
   ((B38*(1+IFERROR(VLOOKUP($D$2,COLORES[],2,FALSE),0)))+E38)
   *(1-IFERROR(_xlfn.XLOOKUP(1,(DESC_PROV[LINEA]=$B$2)*(DESC_PROV[LISTA]=$C$2),DESC_PROV[DESCUENTO]),0))
   *(1+VLOOKUP($C$2,LISTAS[],2,FALSE))
   *(1+VLOOKUP($C$2,LISTAS[],3,FALSE))
)
/5,0)*5</f>
        <v>192070</v>
      </c>
      <c r="M38" s="65" cm="1">
        <f t="array" ref="M38">ROUND(
IF($A$2="COSTO",
   ((B38*(1+IFERROR(VLOOKUP($D$2,COLORES[],2,FALSE),0)))+F38)
   *(1-IFERROR(_xlfn.XLOOKUP(1,(DESC_PROV[LINEA]=$B$2)*(DESC_PROV[LISTA]=$C$2),DESC_PROV[DESCUENTO]),0)),
   ((B38*(1+IFERROR(VLOOKUP($D$2,COLORES[],2,FALSE),0)))+F38)
   *(1-IFERROR(_xlfn.XLOOKUP(1,(DESC_PROV[LINEA]=$B$2)*(DESC_PROV[LISTA]=$C$2),DESC_PROV[DESCUENTO]),0))
   *(1+VLOOKUP($C$2,LISTAS[],2,FALSE))
   *(1+VLOOKUP($C$2,LISTAS[],3,FALSE))
)
/5,0)*5</f>
        <v>196060</v>
      </c>
      <c r="N38" s="65" cm="1">
        <f t="array" ref="N38">ROUND(
IF($A$2="COSTO",
   ((B38*(1+IFERROR(VLOOKUP($D$2,COLORES[],2,FALSE),0)))+G38)
   *(1-IFERROR(_xlfn.XLOOKUP(1,(DESC_PROV[LINEA]=$B$2)*(DESC_PROV[LISTA]=$C$2),DESC_PROV[DESCUENTO]),0)),
   ((B38*(1+IFERROR(VLOOKUP($D$2,COLORES[],2,FALSE),0)))+G38)
   *(1-IFERROR(_xlfn.XLOOKUP(1,(DESC_PROV[LINEA]=$B$2)*(DESC_PROV[LISTA]=$C$2),DESC_PROV[DESCUENTO]),0))
   *(1+VLOOKUP($C$2,LISTAS[],2,FALSE))
   *(1+VLOOKUP($C$2,LISTAS[],3,FALSE))
)
/5,0)*5</f>
        <v>203305</v>
      </c>
      <c r="O38" s="65" cm="1">
        <f t="array" ref="O38">ROUND(
IF($A$2="COSTO",
   ((B38*(1+IFERROR(VLOOKUP($D$2,COLORES[],2,FALSE),0)))+H38)
   *(1-IFERROR(_xlfn.XLOOKUP(1,(DESC_PROV[LINEA]=$B$2)*(DESC_PROV[LISTA]=$C$2),DESC_PROV[DESCUENTO]),0)),
   ((B38*(1+IFERROR(VLOOKUP($D$2,COLORES[],2,FALSE),0)))+H38)
   *(1-IFERROR(_xlfn.XLOOKUP(1,(DESC_PROV[LINEA]=$B$2)*(DESC_PROV[LISTA]=$C$2),DESC_PROV[DESCUENTO]),0))
   *(1+VLOOKUP($C$2,LISTAS[],2,FALSE))
   *(1+VLOOKUP($C$2,LISTAS[],3,FALSE))
)
/5,0)*5</f>
        <v>267480</v>
      </c>
      <c r="P38" s="65" cm="1">
        <f t="array" ref="P38">ROUND(
IF($A$2="COSTO",
   (C38*(1+IFERROR(VLOOKUP($D$2,COLORES[],2,FALSE),0)))
   *(1-IFERROR(_xlfn.XLOOKUP(1,(DESC_PROV[LINEA]=$B$2)*(DESC_PROV[LISTA]=$C$2),DESC_PROV[DESCUENTO]),0)),
   (C38*(1+IFERROR(VLOOKUP($D$2,COLORES[],2,FALSE),0)))
   *(1-IFERROR(_xlfn.XLOOKUP(1,(DESC_PROV[LINEA]=$B$2)*(DESC_PROV[LISTA]=$C$2),DESC_PROV[DESCUENTO]),0))
   *(1+VLOOKUP($C$2,LISTAS[],2,FALSE))
   *(1+VLOOKUP($C$2,LISTAS[],3,FALSE))
)
/5,0)*5</f>
        <v>23630</v>
      </c>
      <c r="Q38" s="65" cm="1">
        <f t="array" ref="Q38">ROUND(
IF($A$2="COSTO",
   (D38*(1+IFERROR(VLOOKUP($D$2,COLORES[],2,FALSE),0)))
   *(1-IFERROR(_xlfn.XLOOKUP(1,(DESC_PROV[LINEA]=$B$2)*(DESC_PROV[LISTA]=$C$2),DESC_PROV[DESCUENTO]),0)),
   (D38*(1+IFERROR(VLOOKUP($D$2,COLORES[],2,FALSE),0)))
   *(1-IFERROR(_xlfn.XLOOKUP(1,(DESC_PROV[LINEA]=$B$2)*(DESC_PROV[LISTA]=$C$2),DESC_PROV[DESCUENTO]),0))
   *(1+VLOOKUP($C$2,LISTAS[],2,FALSE))
   *(1+VLOOKUP($C$2,LISTAS[],4,FALSE))
)
/5,0)*5</f>
        <v>44005</v>
      </c>
      <c r="R38" s="66" cm="1">
        <f t="array" ref="R38">ROUND(
IF($A$2="COSTO",
   ((B38*(1+IFERROR(VLOOKUP($D$2,COLORES[],2,FALSE),0)))+(F38+I38+F38))
   *(1-IFERROR(_xlfn.XLOOKUP(1,(DESC_PROV[LINEA]=$B$2)*(DESC_PROV[LISTA]=$C$2),DESC_PROV[DESCUENTO]),0)),
   ((B38*(1+IFERROR(VLOOKUP($D$2,COLORES[],2,FALSE),0)))+(F38+I38+F38))
   *(1-IFERROR(_xlfn.XLOOKUP(1,(DESC_PROV[LINEA]=$B$2)*(DESC_PROV[LISTA]=$C$2),DESC_PROV[DESCUENTO]),0))
   *(1+VLOOKUP($C$2,LISTAS[],2,FALSE))
   *(1+VLOOKUP($C$2,LISTAS[],3,FALSE))
)
/5,0)*5</f>
        <v>331345</v>
      </c>
    </row>
    <row r="39" spans="1:18">
      <c r="A39" s="107" t="s">
        <v>108</v>
      </c>
      <c r="B39" s="64">
        <v>143875</v>
      </c>
      <c r="C39" s="64">
        <v>18438</v>
      </c>
      <c r="D39" s="64">
        <v>30600</v>
      </c>
      <c r="E39" s="64">
        <v>18008</v>
      </c>
      <c r="F39" s="64">
        <v>21814</v>
      </c>
      <c r="G39" s="64">
        <v>26114</v>
      </c>
      <c r="H39" s="64">
        <v>89931</v>
      </c>
      <c r="I39" s="64">
        <v>92875</v>
      </c>
      <c r="J39" s="2"/>
      <c r="K39" s="107" t="s">
        <v>108</v>
      </c>
      <c r="L39" s="65" cm="1">
        <f t="array" ref="L39">ROUND(
IF($A$2="COSTO",
   ((B39*(1+IFERROR(VLOOKUP($D$2,COLORES[],2,FALSE),0)))+E39)
   *(1-IFERROR(_xlfn.XLOOKUP(1,(DESC_PROV[LINEA]=$B$2)*(DESC_PROV[LISTA]=$C$2),DESC_PROV[DESCUENTO]),0)),
   ((B39*(1+IFERROR(VLOOKUP($D$2,COLORES[],2,FALSE),0)))+E39)
   *(1-IFERROR(_xlfn.XLOOKUP(1,(DESC_PROV[LINEA]=$B$2)*(DESC_PROV[LISTA]=$C$2),DESC_PROV[DESCUENTO]),0))
   *(1+VLOOKUP($C$2,LISTAS[],2,FALSE))
   *(1+VLOOKUP($C$2,LISTAS[],3,FALSE))
)
/5,0)*5</f>
        <v>207460</v>
      </c>
      <c r="M39" s="65" cm="1">
        <f t="array" ref="M39">ROUND(
IF($A$2="COSTO",
   ((B39*(1+IFERROR(VLOOKUP($D$2,COLORES[],2,FALSE),0)))+F39)
   *(1-IFERROR(_xlfn.XLOOKUP(1,(DESC_PROV[LINEA]=$B$2)*(DESC_PROV[LISTA]=$C$2),DESC_PROV[DESCUENTO]),0)),
   ((B39*(1+IFERROR(VLOOKUP($D$2,COLORES[],2,FALSE),0)))+F39)
   *(1-IFERROR(_xlfn.XLOOKUP(1,(DESC_PROV[LINEA]=$B$2)*(DESC_PROV[LISTA]=$C$2),DESC_PROV[DESCUENTO]),0))
   *(1+VLOOKUP($C$2,LISTAS[],2,FALSE))
   *(1+VLOOKUP($C$2,LISTAS[],3,FALSE))
)
/5,0)*5</f>
        <v>212335</v>
      </c>
      <c r="N39" s="65" cm="1">
        <f t="array" ref="N39">ROUND(
IF($A$2="COSTO",
   ((B39*(1+IFERROR(VLOOKUP($D$2,COLORES[],2,FALSE),0)))+G39)
   *(1-IFERROR(_xlfn.XLOOKUP(1,(DESC_PROV[LINEA]=$B$2)*(DESC_PROV[LISTA]=$C$2),DESC_PROV[DESCUENTO]),0)),
   ((B39*(1+IFERROR(VLOOKUP($D$2,COLORES[],2,FALSE),0)))+G39)
   *(1-IFERROR(_xlfn.XLOOKUP(1,(DESC_PROV[LINEA]=$B$2)*(DESC_PROV[LISTA]=$C$2),DESC_PROV[DESCUENTO]),0))
   *(1+VLOOKUP($C$2,LISTAS[],2,FALSE))
   *(1+VLOOKUP($C$2,LISTAS[],3,FALSE))
)
/5,0)*5</f>
        <v>217850</v>
      </c>
      <c r="O39" s="65" cm="1">
        <f t="array" ref="O39">ROUND(
IF($A$2="COSTO",
   ((B39*(1+IFERROR(VLOOKUP($D$2,COLORES[],2,FALSE),0)))+H39)
   *(1-IFERROR(_xlfn.XLOOKUP(1,(DESC_PROV[LINEA]=$B$2)*(DESC_PROV[LISTA]=$C$2),DESC_PROV[DESCUENTO]),0)),
   ((B39*(1+IFERROR(VLOOKUP($D$2,COLORES[],2,FALSE),0)))+H39)
   *(1-IFERROR(_xlfn.XLOOKUP(1,(DESC_PROV[LINEA]=$B$2)*(DESC_PROV[LISTA]=$C$2),DESC_PROV[DESCUENTO]),0))
   *(1+VLOOKUP($C$2,LISTAS[],2,FALSE))
   *(1+VLOOKUP($C$2,LISTAS[],3,FALSE))
)
/5,0)*5</f>
        <v>299630</v>
      </c>
      <c r="P39" s="65" cm="1">
        <f t="array" ref="P39">ROUND(
IF($A$2="COSTO",
   (C39*(1+IFERROR(VLOOKUP($D$2,COLORES[],2,FALSE),0)))
   *(1-IFERROR(_xlfn.XLOOKUP(1,(DESC_PROV[LINEA]=$B$2)*(DESC_PROV[LISTA]=$C$2),DESC_PROV[DESCUENTO]),0)),
   (C39*(1+IFERROR(VLOOKUP($D$2,COLORES[],2,FALSE),0)))
   *(1-IFERROR(_xlfn.XLOOKUP(1,(DESC_PROV[LINEA]=$B$2)*(DESC_PROV[LISTA]=$C$2),DESC_PROV[DESCUENTO]),0))
   *(1+VLOOKUP($C$2,LISTAS[],2,FALSE))
   *(1+VLOOKUP($C$2,LISTAS[],3,FALSE))
)
/5,0)*5</f>
        <v>23630</v>
      </c>
      <c r="Q39" s="65" cm="1">
        <f t="array" ref="Q39">ROUND(
IF($A$2="COSTO",
   (D39*(1+IFERROR(VLOOKUP($D$2,COLORES[],2,FALSE),0)))
   *(1-IFERROR(_xlfn.XLOOKUP(1,(DESC_PROV[LINEA]=$B$2)*(DESC_PROV[LISTA]=$C$2),DESC_PROV[DESCUENTO]),0)),
   (D39*(1+IFERROR(VLOOKUP($D$2,COLORES[],2,FALSE),0)))
   *(1-IFERROR(_xlfn.XLOOKUP(1,(DESC_PROV[LINEA]=$B$2)*(DESC_PROV[LISTA]=$C$2),DESC_PROV[DESCUENTO]),0))
   *(1+VLOOKUP($C$2,LISTAS[],2,FALSE))
   *(1+VLOOKUP($C$2,LISTAS[],4,FALSE))
)
/5,0)*5</f>
        <v>48265</v>
      </c>
      <c r="R39" s="66" cm="1">
        <f t="array" ref="R39">ROUND(
IF($A$2="COSTO",
   ((B39*(1+IFERROR(VLOOKUP($D$2,COLORES[],2,FALSE),0)))+(F39+I39+F39))
   *(1-IFERROR(_xlfn.XLOOKUP(1,(DESC_PROV[LINEA]=$B$2)*(DESC_PROV[LISTA]=$C$2),DESC_PROV[DESCUENTO]),0)),
   ((B39*(1+IFERROR(VLOOKUP($D$2,COLORES[],2,FALSE),0)))+(F39+I39+F39))
   *(1-IFERROR(_xlfn.XLOOKUP(1,(DESC_PROV[LINEA]=$B$2)*(DESC_PROV[LISTA]=$C$2),DESC_PROV[DESCUENTO]),0))
   *(1+VLOOKUP($C$2,LISTAS[],2,FALSE))
   *(1+VLOOKUP($C$2,LISTAS[],3,FALSE))
)
/5,0)*5</f>
        <v>359315</v>
      </c>
    </row>
    <row r="40" spans="1:18">
      <c r="A40" s="107" t="s">
        <v>109</v>
      </c>
      <c r="B40" s="64">
        <v>159944</v>
      </c>
      <c r="C40" s="64">
        <v>18438</v>
      </c>
      <c r="D40" s="64">
        <v>34650</v>
      </c>
      <c r="E40" s="64">
        <v>22922</v>
      </c>
      <c r="F40" s="64">
        <v>27762</v>
      </c>
      <c r="G40" s="64">
        <v>36561</v>
      </c>
      <c r="H40" s="64">
        <v>114455</v>
      </c>
      <c r="I40" s="64">
        <v>100614</v>
      </c>
      <c r="J40" s="2"/>
      <c r="K40" s="107" t="s">
        <v>109</v>
      </c>
      <c r="L40" s="65" cm="1">
        <f t="array" ref="L40">ROUND(
IF($A$2="COSTO",
   ((B40*(1+IFERROR(VLOOKUP($D$2,COLORES[],2,FALSE),0)))+E40)
   *(1-IFERROR(_xlfn.XLOOKUP(1,(DESC_PROV[LINEA]=$B$2)*(DESC_PROV[LISTA]=$C$2),DESC_PROV[DESCUENTO]),0)),
   ((B40*(1+IFERROR(VLOOKUP($D$2,COLORES[],2,FALSE),0)))+E40)
   *(1-IFERROR(_xlfn.XLOOKUP(1,(DESC_PROV[LINEA]=$B$2)*(DESC_PROV[LISTA]=$C$2),DESC_PROV[DESCUENTO]),0))
   *(1+VLOOKUP($C$2,LISTAS[],2,FALSE))
   *(1+VLOOKUP($C$2,LISTAS[],3,FALSE))
)
/5,0)*5</f>
        <v>234350</v>
      </c>
      <c r="M40" s="65" cm="1">
        <f t="array" ref="M40">ROUND(
IF($A$2="COSTO",
   ((B40*(1+IFERROR(VLOOKUP($D$2,COLORES[],2,FALSE),0)))+F40)
   *(1-IFERROR(_xlfn.XLOOKUP(1,(DESC_PROV[LINEA]=$B$2)*(DESC_PROV[LISTA]=$C$2),DESC_PROV[DESCUENTO]),0)),
   ((B40*(1+IFERROR(VLOOKUP($D$2,COLORES[],2,FALSE),0)))+F40)
   *(1-IFERROR(_xlfn.XLOOKUP(1,(DESC_PROV[LINEA]=$B$2)*(DESC_PROV[LISTA]=$C$2),DESC_PROV[DESCUENTO]),0))
   *(1+VLOOKUP($C$2,LISTAS[],2,FALSE))
   *(1+VLOOKUP($C$2,LISTAS[],3,FALSE))
)
/5,0)*5</f>
        <v>240555</v>
      </c>
      <c r="N40" s="65" cm="1">
        <f t="array" ref="N40">ROUND(
IF($A$2="COSTO",
   ((B40*(1+IFERROR(VLOOKUP($D$2,COLORES[],2,FALSE),0)))+G40)
   *(1-IFERROR(_xlfn.XLOOKUP(1,(DESC_PROV[LINEA]=$B$2)*(DESC_PROV[LISTA]=$C$2),DESC_PROV[DESCUENTO]),0)),
   ((B40*(1+IFERROR(VLOOKUP($D$2,COLORES[],2,FALSE),0)))+G40)
   *(1-IFERROR(_xlfn.XLOOKUP(1,(DESC_PROV[LINEA]=$B$2)*(DESC_PROV[LISTA]=$C$2),DESC_PROV[DESCUENTO]),0))
   *(1+VLOOKUP($C$2,LISTAS[],2,FALSE))
   *(1+VLOOKUP($C$2,LISTAS[],3,FALSE))
)
/5,0)*5</f>
        <v>251830</v>
      </c>
      <c r="O40" s="65" cm="1">
        <f t="array" ref="O40">ROUND(
IF($A$2="COSTO",
   ((B40*(1+IFERROR(VLOOKUP($D$2,COLORES[],2,FALSE),0)))+H40)
   *(1-IFERROR(_xlfn.XLOOKUP(1,(DESC_PROV[LINEA]=$B$2)*(DESC_PROV[LISTA]=$C$2),DESC_PROV[DESCUENTO]),0)),
   ((B40*(1+IFERROR(VLOOKUP($D$2,COLORES[],2,FALSE),0)))+H40)
   *(1-IFERROR(_xlfn.XLOOKUP(1,(DESC_PROV[LINEA]=$B$2)*(DESC_PROV[LISTA]=$C$2),DESC_PROV[DESCUENTO]),0))
   *(1+VLOOKUP($C$2,LISTAS[],2,FALSE))
   *(1+VLOOKUP($C$2,LISTAS[],3,FALSE))
)
/5,0)*5</f>
        <v>351655</v>
      </c>
      <c r="P40" s="65" cm="1">
        <f t="array" ref="P40">ROUND(
IF($A$2="COSTO",
   (C40*(1+IFERROR(VLOOKUP($D$2,COLORES[],2,FALSE),0)))
   *(1-IFERROR(_xlfn.XLOOKUP(1,(DESC_PROV[LINEA]=$B$2)*(DESC_PROV[LISTA]=$C$2),DESC_PROV[DESCUENTO]),0)),
   (C40*(1+IFERROR(VLOOKUP($D$2,COLORES[],2,FALSE),0)))
   *(1-IFERROR(_xlfn.XLOOKUP(1,(DESC_PROV[LINEA]=$B$2)*(DESC_PROV[LISTA]=$C$2),DESC_PROV[DESCUENTO]),0))
   *(1+VLOOKUP($C$2,LISTAS[],2,FALSE))
   *(1+VLOOKUP($C$2,LISTAS[],3,FALSE))
)
/5,0)*5</f>
        <v>23630</v>
      </c>
      <c r="Q40" s="65" cm="1">
        <f t="array" ref="Q40">ROUND(
IF($A$2="COSTO",
   (D40*(1+IFERROR(VLOOKUP($D$2,COLORES[],2,FALSE),0)))
   *(1-IFERROR(_xlfn.XLOOKUP(1,(DESC_PROV[LINEA]=$B$2)*(DESC_PROV[LISTA]=$C$2),DESC_PROV[DESCUENTO]),0)),
   (D40*(1+IFERROR(VLOOKUP($D$2,COLORES[],2,FALSE),0)))
   *(1-IFERROR(_xlfn.XLOOKUP(1,(DESC_PROV[LINEA]=$B$2)*(DESC_PROV[LISTA]=$C$2),DESC_PROV[DESCUENTO]),0))
   *(1+VLOOKUP($C$2,LISTAS[],2,FALSE))
   *(1+VLOOKUP($C$2,LISTAS[],4,FALSE))
)
/5,0)*5</f>
        <v>54655</v>
      </c>
      <c r="R40" s="66" cm="1">
        <f t="array" ref="R40">ROUND(
IF($A$2="COSTO",
   ((B40*(1+IFERROR(VLOOKUP($D$2,COLORES[],2,FALSE),0)))+(F40+I40+F40))
   *(1-IFERROR(_xlfn.XLOOKUP(1,(DESC_PROV[LINEA]=$B$2)*(DESC_PROV[LISTA]=$C$2),DESC_PROV[DESCUENTO]),0)),
   ((B40*(1+IFERROR(VLOOKUP($D$2,COLORES[],2,FALSE),0)))+(F40+I40+F40))
   *(1-IFERROR(_xlfn.XLOOKUP(1,(DESC_PROV[LINEA]=$B$2)*(DESC_PROV[LISTA]=$C$2),DESC_PROV[DESCUENTO]),0))
   *(1+VLOOKUP($C$2,LISTAS[],2,FALSE))
   *(1+VLOOKUP($C$2,LISTAS[],3,FALSE))
)
/5,0)*5</f>
        <v>405070</v>
      </c>
    </row>
    <row r="41" spans="1:18">
      <c r="A41" s="107" t="s">
        <v>110</v>
      </c>
      <c r="B41" s="64">
        <v>173644</v>
      </c>
      <c r="C41" s="64">
        <v>18438</v>
      </c>
      <c r="D41" s="64">
        <v>38700</v>
      </c>
      <c r="E41" s="64">
        <v>27830</v>
      </c>
      <c r="F41" s="64">
        <v>33716</v>
      </c>
      <c r="G41" s="64">
        <v>44394</v>
      </c>
      <c r="H41" s="64">
        <v>138980</v>
      </c>
      <c r="I41" s="64">
        <v>108354</v>
      </c>
      <c r="J41" s="2"/>
      <c r="K41" s="107" t="s">
        <v>110</v>
      </c>
      <c r="L41" s="65" cm="1">
        <f t="array" ref="L41">ROUND(
IF($A$2="COSTO",
   ((B41*(1+IFERROR(VLOOKUP($D$2,COLORES[],2,FALSE),0)))+E41)
   *(1-IFERROR(_xlfn.XLOOKUP(1,(DESC_PROV[LINEA]=$B$2)*(DESC_PROV[LISTA]=$C$2),DESC_PROV[DESCUENTO]),0)),
   ((B41*(1+IFERROR(VLOOKUP($D$2,COLORES[],2,FALSE),0)))+E41)
   *(1-IFERROR(_xlfn.XLOOKUP(1,(DESC_PROV[LINEA]=$B$2)*(DESC_PROV[LISTA]=$C$2),DESC_PROV[DESCUENTO]),0))
   *(1+VLOOKUP($C$2,LISTAS[],2,FALSE))
   *(1+VLOOKUP($C$2,LISTAS[],3,FALSE))
)
/5,0)*5</f>
        <v>258195</v>
      </c>
      <c r="M41" s="65" cm="1">
        <f t="array" ref="M41">ROUND(
IF($A$2="COSTO",
   ((B41*(1+IFERROR(VLOOKUP($D$2,COLORES[],2,FALSE),0)))+F41)
   *(1-IFERROR(_xlfn.XLOOKUP(1,(DESC_PROV[LINEA]=$B$2)*(DESC_PROV[LISTA]=$C$2),DESC_PROV[DESCUENTO]),0)),
   ((B41*(1+IFERROR(VLOOKUP($D$2,COLORES[],2,FALSE),0)))+F41)
   *(1-IFERROR(_xlfn.XLOOKUP(1,(DESC_PROV[LINEA]=$B$2)*(DESC_PROV[LISTA]=$C$2),DESC_PROV[DESCUENTO]),0))
   *(1+VLOOKUP($C$2,LISTAS[],2,FALSE))
   *(1+VLOOKUP($C$2,LISTAS[],3,FALSE))
)
/5,0)*5</f>
        <v>265740</v>
      </c>
      <c r="N41" s="65" cm="1">
        <f t="array" ref="N41">ROUND(
IF($A$2="COSTO",
   ((B41*(1+IFERROR(VLOOKUP($D$2,COLORES[],2,FALSE),0)))+G41)
   *(1-IFERROR(_xlfn.XLOOKUP(1,(DESC_PROV[LINEA]=$B$2)*(DESC_PROV[LISTA]=$C$2),DESC_PROV[DESCUENTO]),0)),
   ((B41*(1+IFERROR(VLOOKUP($D$2,COLORES[],2,FALSE),0)))+G41)
   *(1-IFERROR(_xlfn.XLOOKUP(1,(DESC_PROV[LINEA]=$B$2)*(DESC_PROV[LISTA]=$C$2),DESC_PROV[DESCUENTO]),0))
   *(1+VLOOKUP($C$2,LISTAS[],2,FALSE))
   *(1+VLOOKUP($C$2,LISTAS[],3,FALSE))
)
/5,0)*5</f>
        <v>279425</v>
      </c>
      <c r="O41" s="65" cm="1">
        <f t="array" ref="O41">ROUND(
IF($A$2="COSTO",
   ((B41*(1+IFERROR(VLOOKUP($D$2,COLORES[],2,FALSE),0)))+H41)
   *(1-IFERROR(_xlfn.XLOOKUP(1,(DESC_PROV[LINEA]=$B$2)*(DESC_PROV[LISTA]=$C$2),DESC_PROV[DESCUENTO]),0)),
   ((B41*(1+IFERROR(VLOOKUP($D$2,COLORES[],2,FALSE),0)))+H41)
   *(1-IFERROR(_xlfn.XLOOKUP(1,(DESC_PROV[LINEA]=$B$2)*(DESC_PROV[LISTA]=$C$2),DESC_PROV[DESCUENTO]),0))
   *(1+VLOOKUP($C$2,LISTAS[],2,FALSE))
   *(1+VLOOKUP($C$2,LISTAS[],3,FALSE))
)
/5,0)*5</f>
        <v>400640</v>
      </c>
      <c r="P41" s="65" cm="1">
        <f t="array" ref="P41">ROUND(
IF($A$2="COSTO",
   (C41*(1+IFERROR(VLOOKUP($D$2,COLORES[],2,FALSE),0)))
   *(1-IFERROR(_xlfn.XLOOKUP(1,(DESC_PROV[LINEA]=$B$2)*(DESC_PROV[LISTA]=$C$2),DESC_PROV[DESCUENTO]),0)),
   (C41*(1+IFERROR(VLOOKUP($D$2,COLORES[],2,FALSE),0)))
   *(1-IFERROR(_xlfn.XLOOKUP(1,(DESC_PROV[LINEA]=$B$2)*(DESC_PROV[LISTA]=$C$2),DESC_PROV[DESCUENTO]),0))
   *(1+VLOOKUP($C$2,LISTAS[],2,FALSE))
   *(1+VLOOKUP($C$2,LISTAS[],3,FALSE))
)
/5,0)*5</f>
        <v>23630</v>
      </c>
      <c r="Q41" s="65" cm="1">
        <f t="array" ref="Q41">ROUND(
IF($A$2="COSTO",
   (D41*(1+IFERROR(VLOOKUP($D$2,COLORES[],2,FALSE),0)))
   *(1-IFERROR(_xlfn.XLOOKUP(1,(DESC_PROV[LINEA]=$B$2)*(DESC_PROV[LISTA]=$C$2),DESC_PROV[DESCUENTO]),0)),
   (D41*(1+IFERROR(VLOOKUP($D$2,COLORES[],2,FALSE),0)))
   *(1-IFERROR(_xlfn.XLOOKUP(1,(DESC_PROV[LINEA]=$B$2)*(DESC_PROV[LISTA]=$C$2),DESC_PROV[DESCUENTO]),0))
   *(1+VLOOKUP($C$2,LISTAS[],2,FALSE))
   *(1+VLOOKUP($C$2,LISTAS[],4,FALSE))
)
/5,0)*5</f>
        <v>61040</v>
      </c>
      <c r="R41" s="66" cm="1">
        <f t="array" ref="R41">ROUND(
IF($A$2="COSTO",
   ((B41*(1+IFERROR(VLOOKUP($D$2,COLORES[],2,FALSE),0)))+(F41+I41+F41))
   *(1-IFERROR(_xlfn.XLOOKUP(1,(DESC_PROV[LINEA]=$B$2)*(DESC_PROV[LISTA]=$C$2),DESC_PROV[DESCUENTO]),0)),
   ((B41*(1+IFERROR(VLOOKUP($D$2,COLORES[],2,FALSE),0)))+(F41+I41+F41))
   *(1-IFERROR(_xlfn.XLOOKUP(1,(DESC_PROV[LINEA]=$B$2)*(DESC_PROV[LISTA]=$C$2),DESC_PROV[DESCUENTO]),0))
   *(1+VLOOKUP($C$2,LISTAS[],2,FALSE))
   *(1+VLOOKUP($C$2,LISTAS[],3,FALSE))
)
/5,0)*5</f>
        <v>447810</v>
      </c>
    </row>
    <row r="42" spans="1:18">
      <c r="A42" s="107" t="s">
        <v>111</v>
      </c>
      <c r="B42" s="64">
        <v>189481</v>
      </c>
      <c r="C42" s="64">
        <v>18438</v>
      </c>
      <c r="D42" s="64">
        <v>41400</v>
      </c>
      <c r="E42" s="64">
        <v>31106</v>
      </c>
      <c r="F42" s="64">
        <v>37679</v>
      </c>
      <c r="G42" s="64">
        <v>49618</v>
      </c>
      <c r="H42" s="64">
        <v>155332</v>
      </c>
      <c r="I42" s="64">
        <v>113513</v>
      </c>
      <c r="J42" s="2"/>
      <c r="K42" s="107" t="s">
        <v>111</v>
      </c>
      <c r="L42" s="65" cm="1">
        <f t="array" ref="L42">ROUND(
IF($A$2="COSTO",
   ((B42*(1+IFERROR(VLOOKUP($D$2,COLORES[],2,FALSE),0)))+E42)
   *(1-IFERROR(_xlfn.XLOOKUP(1,(DESC_PROV[LINEA]=$B$2)*(DESC_PROV[LISTA]=$C$2),DESC_PROV[DESCUENTO]),0)),
   ((B42*(1+IFERROR(VLOOKUP($D$2,COLORES[],2,FALSE),0)))+E42)
   *(1-IFERROR(_xlfn.XLOOKUP(1,(DESC_PROV[LINEA]=$B$2)*(DESC_PROV[LISTA]=$C$2),DESC_PROV[DESCUENTO]),0))
   *(1+VLOOKUP($C$2,LISTAS[],2,FALSE))
   *(1+VLOOKUP($C$2,LISTAS[],3,FALSE))
)
/5,0)*5</f>
        <v>282690</v>
      </c>
      <c r="M42" s="65" cm="1">
        <f t="array" ref="M42">ROUND(
IF($A$2="COSTO",
   ((B42*(1+IFERROR(VLOOKUP($D$2,COLORES[],2,FALSE),0)))+F42)
   *(1-IFERROR(_xlfn.XLOOKUP(1,(DESC_PROV[LINEA]=$B$2)*(DESC_PROV[LISTA]=$C$2),DESC_PROV[DESCUENTO]),0)),
   ((B42*(1+IFERROR(VLOOKUP($D$2,COLORES[],2,FALSE),0)))+F42)
   *(1-IFERROR(_xlfn.XLOOKUP(1,(DESC_PROV[LINEA]=$B$2)*(DESC_PROV[LISTA]=$C$2),DESC_PROV[DESCUENTO]),0))
   *(1+VLOOKUP($C$2,LISTAS[],2,FALSE))
   *(1+VLOOKUP($C$2,LISTAS[],3,FALSE))
)
/5,0)*5</f>
        <v>291115</v>
      </c>
      <c r="N42" s="65" cm="1">
        <f t="array" ref="N42">ROUND(
IF($A$2="COSTO",
   ((B42*(1+IFERROR(VLOOKUP($D$2,COLORES[],2,FALSE),0)))+G42)
   *(1-IFERROR(_xlfn.XLOOKUP(1,(DESC_PROV[LINEA]=$B$2)*(DESC_PROV[LISTA]=$C$2),DESC_PROV[DESCUENTO]),0)),
   ((B42*(1+IFERROR(VLOOKUP($D$2,COLORES[],2,FALSE),0)))+G42)
   *(1-IFERROR(_xlfn.XLOOKUP(1,(DESC_PROV[LINEA]=$B$2)*(DESC_PROV[LISTA]=$C$2),DESC_PROV[DESCUENTO]),0))
   *(1+VLOOKUP($C$2,LISTAS[],2,FALSE))
   *(1+VLOOKUP($C$2,LISTAS[],3,FALSE))
)
/5,0)*5</f>
        <v>306415</v>
      </c>
      <c r="O42" s="65" cm="1">
        <f t="array" ref="O42">ROUND(
IF($A$2="COSTO",
   ((B42*(1+IFERROR(VLOOKUP($D$2,COLORES[],2,FALSE),0)))+H42)
   *(1-IFERROR(_xlfn.XLOOKUP(1,(DESC_PROV[LINEA]=$B$2)*(DESC_PROV[LISTA]=$C$2),DESC_PROV[DESCUENTO]),0)),
   ((B42*(1+IFERROR(VLOOKUP($D$2,COLORES[],2,FALSE),0)))+H42)
   *(1-IFERROR(_xlfn.XLOOKUP(1,(DESC_PROV[LINEA]=$B$2)*(DESC_PROV[LISTA]=$C$2),DESC_PROV[DESCUENTO]),0))
   *(1+VLOOKUP($C$2,LISTAS[],2,FALSE))
   *(1+VLOOKUP($C$2,LISTAS[],3,FALSE))
)
/5,0)*5</f>
        <v>441890</v>
      </c>
      <c r="P42" s="65" cm="1">
        <f t="array" ref="P42">ROUND(
IF($A$2="COSTO",
   (C42*(1+IFERROR(VLOOKUP($D$2,COLORES[],2,FALSE),0)))
   *(1-IFERROR(_xlfn.XLOOKUP(1,(DESC_PROV[LINEA]=$B$2)*(DESC_PROV[LISTA]=$C$2),DESC_PROV[DESCUENTO]),0)),
   (C42*(1+IFERROR(VLOOKUP($D$2,COLORES[],2,FALSE),0)))
   *(1-IFERROR(_xlfn.XLOOKUP(1,(DESC_PROV[LINEA]=$B$2)*(DESC_PROV[LISTA]=$C$2),DESC_PROV[DESCUENTO]),0))
   *(1+VLOOKUP($C$2,LISTAS[],2,FALSE))
   *(1+VLOOKUP($C$2,LISTAS[],3,FALSE))
)
/5,0)*5</f>
        <v>23630</v>
      </c>
      <c r="Q42" s="65" cm="1">
        <f t="array" ref="Q42">ROUND(
IF($A$2="COSTO",
   (D42*(1+IFERROR(VLOOKUP($D$2,COLORES[],2,FALSE),0)))
   *(1-IFERROR(_xlfn.XLOOKUP(1,(DESC_PROV[LINEA]=$B$2)*(DESC_PROV[LISTA]=$C$2),DESC_PROV[DESCUENTO]),0)),
   (D42*(1+IFERROR(VLOOKUP($D$2,COLORES[],2,FALSE),0)))
   *(1-IFERROR(_xlfn.XLOOKUP(1,(DESC_PROV[LINEA]=$B$2)*(DESC_PROV[LISTA]=$C$2),DESC_PROV[DESCUENTO]),0))
   *(1+VLOOKUP($C$2,LISTAS[],2,FALSE))
   *(1+VLOOKUP($C$2,LISTAS[],4,FALSE))
)
/5,0)*5</f>
        <v>65300</v>
      </c>
      <c r="R42" s="66" cm="1">
        <f t="array" ref="R42">ROUND(
IF($A$2="COSTO",
   ((B42*(1+IFERROR(VLOOKUP($D$2,COLORES[],2,FALSE),0)))+(F42+I42+F42))
   *(1-IFERROR(_xlfn.XLOOKUP(1,(DESC_PROV[LINEA]=$B$2)*(DESC_PROV[LISTA]=$C$2),DESC_PROV[DESCUENTO]),0)),
   ((B42*(1+IFERROR(VLOOKUP($D$2,COLORES[],2,FALSE),0)))+(F42+I42+F42))
   *(1-IFERROR(_xlfn.XLOOKUP(1,(DESC_PROV[LINEA]=$B$2)*(DESC_PROV[LISTA]=$C$2),DESC_PROV[DESCUENTO]),0))
   *(1+VLOOKUP($C$2,LISTAS[],2,FALSE))
   *(1+VLOOKUP($C$2,LISTAS[],3,FALSE))
)
/5,0)*5</f>
        <v>484875</v>
      </c>
    </row>
    <row r="43" spans="1:18">
      <c r="A43" s="107" t="s">
        <v>112</v>
      </c>
      <c r="B43" s="64">
        <v>205731</v>
      </c>
      <c r="C43" s="64">
        <v>18438</v>
      </c>
      <c r="D43" s="64">
        <v>44100</v>
      </c>
      <c r="E43" s="64">
        <v>34382</v>
      </c>
      <c r="F43" s="64">
        <v>41648</v>
      </c>
      <c r="G43" s="64">
        <v>54842</v>
      </c>
      <c r="H43" s="64">
        <v>171683</v>
      </c>
      <c r="I43" s="64">
        <v>118673</v>
      </c>
      <c r="J43" s="2"/>
      <c r="K43" s="107" t="s">
        <v>112</v>
      </c>
      <c r="L43" s="65" cm="1">
        <f t="array" ref="L43">ROUND(
IF($A$2="COSTO",
   ((B43*(1+IFERROR(VLOOKUP($D$2,COLORES[],2,FALSE),0)))+E43)
   *(1-IFERROR(_xlfn.XLOOKUP(1,(DESC_PROV[LINEA]=$B$2)*(DESC_PROV[LISTA]=$C$2),DESC_PROV[DESCUENTO]),0)),
   ((B43*(1+IFERROR(VLOOKUP($D$2,COLORES[],2,FALSE),0)))+E43)
   *(1-IFERROR(_xlfn.XLOOKUP(1,(DESC_PROV[LINEA]=$B$2)*(DESC_PROV[LISTA]=$C$2),DESC_PROV[DESCUENTO]),0))
   *(1+VLOOKUP($C$2,LISTAS[],2,FALSE))
   *(1+VLOOKUP($C$2,LISTAS[],3,FALSE))
)
/5,0)*5</f>
        <v>307715</v>
      </c>
      <c r="M43" s="65" cm="1">
        <f t="array" ref="M43">ROUND(
IF($A$2="COSTO",
   ((B43*(1+IFERROR(VLOOKUP($D$2,COLORES[],2,FALSE),0)))+F43)
   *(1-IFERROR(_xlfn.XLOOKUP(1,(DESC_PROV[LINEA]=$B$2)*(DESC_PROV[LISTA]=$C$2),DESC_PROV[DESCUENTO]),0)),
   ((B43*(1+IFERROR(VLOOKUP($D$2,COLORES[],2,FALSE),0)))+F43)
   *(1-IFERROR(_xlfn.XLOOKUP(1,(DESC_PROV[LINEA]=$B$2)*(DESC_PROV[LISTA]=$C$2),DESC_PROV[DESCUENTO]),0))
   *(1+VLOOKUP($C$2,LISTAS[],2,FALSE))
   *(1+VLOOKUP($C$2,LISTAS[],3,FALSE))
)
/5,0)*5</f>
        <v>317025</v>
      </c>
      <c r="N43" s="65" cm="1">
        <f t="array" ref="N43">ROUND(
IF($A$2="COSTO",
   ((B43*(1+IFERROR(VLOOKUP($D$2,COLORES[],2,FALSE),0)))+G43)
   *(1-IFERROR(_xlfn.XLOOKUP(1,(DESC_PROV[LINEA]=$B$2)*(DESC_PROV[LISTA]=$C$2),DESC_PROV[DESCUENTO]),0)),
   ((B43*(1+IFERROR(VLOOKUP($D$2,COLORES[],2,FALSE),0)))+G43)
   *(1-IFERROR(_xlfn.XLOOKUP(1,(DESC_PROV[LINEA]=$B$2)*(DESC_PROV[LISTA]=$C$2),DESC_PROV[DESCUENTO]),0))
   *(1+VLOOKUP($C$2,LISTAS[],2,FALSE))
   *(1+VLOOKUP($C$2,LISTAS[],3,FALSE))
)
/5,0)*5</f>
        <v>333935</v>
      </c>
      <c r="O43" s="65" cm="1">
        <f t="array" ref="O43">ROUND(
IF($A$2="COSTO",
   ((B43*(1+IFERROR(VLOOKUP($D$2,COLORES[],2,FALSE),0)))+H43)
   *(1-IFERROR(_xlfn.XLOOKUP(1,(DESC_PROV[LINEA]=$B$2)*(DESC_PROV[LISTA]=$C$2),DESC_PROV[DESCUENTO]),0)),
   ((B43*(1+IFERROR(VLOOKUP($D$2,COLORES[],2,FALSE),0)))+H43)
   *(1-IFERROR(_xlfn.XLOOKUP(1,(DESC_PROV[LINEA]=$B$2)*(DESC_PROV[LISTA]=$C$2),DESC_PROV[DESCUENTO]),0))
   *(1+VLOOKUP($C$2,LISTAS[],2,FALSE))
   *(1+VLOOKUP($C$2,LISTAS[],3,FALSE))
)
/5,0)*5</f>
        <v>483670</v>
      </c>
      <c r="P43" s="65" cm="1">
        <f t="array" ref="P43">ROUND(
IF($A$2="COSTO",
   (C43*(1+IFERROR(VLOOKUP($D$2,COLORES[],2,FALSE),0)))
   *(1-IFERROR(_xlfn.XLOOKUP(1,(DESC_PROV[LINEA]=$B$2)*(DESC_PROV[LISTA]=$C$2),DESC_PROV[DESCUENTO]),0)),
   (C43*(1+IFERROR(VLOOKUP($D$2,COLORES[],2,FALSE),0)))
   *(1-IFERROR(_xlfn.XLOOKUP(1,(DESC_PROV[LINEA]=$B$2)*(DESC_PROV[LISTA]=$C$2),DESC_PROV[DESCUENTO]),0))
   *(1+VLOOKUP($C$2,LISTAS[],2,FALSE))
   *(1+VLOOKUP($C$2,LISTAS[],3,FALSE))
)
/5,0)*5</f>
        <v>23630</v>
      </c>
      <c r="Q43" s="65" cm="1">
        <f t="array" ref="Q43">ROUND(
IF($A$2="COSTO",
   (D43*(1+IFERROR(VLOOKUP($D$2,COLORES[],2,FALSE),0)))
   *(1-IFERROR(_xlfn.XLOOKUP(1,(DESC_PROV[LINEA]=$B$2)*(DESC_PROV[LISTA]=$C$2),DESC_PROV[DESCUENTO]),0)),
   (D43*(1+IFERROR(VLOOKUP($D$2,COLORES[],2,FALSE),0)))
   *(1-IFERROR(_xlfn.XLOOKUP(1,(DESC_PROV[LINEA]=$B$2)*(DESC_PROV[LISTA]=$C$2),DESC_PROV[DESCUENTO]),0))
   *(1+VLOOKUP($C$2,LISTAS[],2,FALSE))
   *(1+VLOOKUP($C$2,LISTAS[],4,FALSE))
)
/5,0)*5</f>
        <v>69560</v>
      </c>
      <c r="R43" s="66" cm="1">
        <f t="array" ref="R43">ROUND(
IF($A$2="COSTO",
   ((B43*(1+IFERROR(VLOOKUP($D$2,COLORES[],2,FALSE),0)))+(F43+I43+F43))
   *(1-IFERROR(_xlfn.XLOOKUP(1,(DESC_PROV[LINEA]=$B$2)*(DESC_PROV[LISTA]=$C$2),DESC_PROV[DESCUENTO]),0)),
   ((B43*(1+IFERROR(VLOOKUP($D$2,COLORES[],2,FALSE),0)))+(F43+I43+F43))
   *(1-IFERROR(_xlfn.XLOOKUP(1,(DESC_PROV[LINEA]=$B$2)*(DESC_PROV[LISTA]=$C$2),DESC_PROV[DESCUENTO]),0))
   *(1+VLOOKUP($C$2,LISTAS[],2,FALSE))
   *(1+VLOOKUP($C$2,LISTAS[],3,FALSE))
)
/5,0)*5</f>
        <v>522485</v>
      </c>
    </row>
    <row r="44" spans="1:18">
      <c r="A44" s="107" t="s">
        <v>113</v>
      </c>
      <c r="B44" s="64">
        <v>218806</v>
      </c>
      <c r="C44" s="64">
        <v>18438</v>
      </c>
      <c r="D44" s="64">
        <v>46800</v>
      </c>
      <c r="E44" s="64">
        <v>37658</v>
      </c>
      <c r="F44" s="64">
        <v>45612</v>
      </c>
      <c r="G44" s="64">
        <v>60065</v>
      </c>
      <c r="H44" s="64">
        <v>188035</v>
      </c>
      <c r="I44" s="64">
        <v>123833</v>
      </c>
      <c r="J44" s="2"/>
      <c r="K44" s="107" t="s">
        <v>113</v>
      </c>
      <c r="L44" s="65" cm="1">
        <f t="array" ref="L44">ROUND(
IF($A$2="COSTO",
   ((B44*(1+IFERROR(VLOOKUP($D$2,COLORES[],2,FALSE),0)))+E44)
   *(1-IFERROR(_xlfn.XLOOKUP(1,(DESC_PROV[LINEA]=$B$2)*(DESC_PROV[LISTA]=$C$2),DESC_PROV[DESCUENTO]),0)),
   ((B44*(1+IFERROR(VLOOKUP($D$2,COLORES[],2,FALSE),0)))+E44)
   *(1-IFERROR(_xlfn.XLOOKUP(1,(DESC_PROV[LINEA]=$B$2)*(DESC_PROV[LISTA]=$C$2),DESC_PROV[DESCUENTO]),0))
   *(1+VLOOKUP($C$2,LISTAS[],2,FALSE))
   *(1+VLOOKUP($C$2,LISTAS[],3,FALSE))
)
/5,0)*5</f>
        <v>328670</v>
      </c>
      <c r="M44" s="65" cm="1">
        <f t="array" ref="M44">ROUND(
IF($A$2="COSTO",
   ((B44*(1+IFERROR(VLOOKUP($D$2,COLORES[],2,FALSE),0)))+F44)
   *(1-IFERROR(_xlfn.XLOOKUP(1,(DESC_PROV[LINEA]=$B$2)*(DESC_PROV[LISTA]=$C$2),DESC_PROV[DESCUENTO]),0)),
   ((B44*(1+IFERROR(VLOOKUP($D$2,COLORES[],2,FALSE),0)))+F44)
   *(1-IFERROR(_xlfn.XLOOKUP(1,(DESC_PROV[LINEA]=$B$2)*(DESC_PROV[LISTA]=$C$2),DESC_PROV[DESCUENTO]),0))
   *(1+VLOOKUP($C$2,LISTAS[],2,FALSE))
   *(1+VLOOKUP($C$2,LISTAS[],3,FALSE))
)
/5,0)*5</f>
        <v>338860</v>
      </c>
      <c r="N44" s="65" cm="1">
        <f t="array" ref="N44">ROUND(
IF($A$2="COSTO",
   ((B44*(1+IFERROR(VLOOKUP($D$2,COLORES[],2,FALSE),0)))+G44)
   *(1-IFERROR(_xlfn.XLOOKUP(1,(DESC_PROV[LINEA]=$B$2)*(DESC_PROV[LISTA]=$C$2),DESC_PROV[DESCUENTO]),0)),
   ((B44*(1+IFERROR(VLOOKUP($D$2,COLORES[],2,FALSE),0)))+G44)
   *(1-IFERROR(_xlfn.XLOOKUP(1,(DESC_PROV[LINEA]=$B$2)*(DESC_PROV[LISTA]=$C$2),DESC_PROV[DESCUENTO]),0))
   *(1+VLOOKUP($C$2,LISTAS[],2,FALSE))
   *(1+VLOOKUP($C$2,LISTAS[],3,FALSE))
)
/5,0)*5</f>
        <v>357385</v>
      </c>
      <c r="O44" s="65" cm="1">
        <f t="array" ref="O44">ROUND(
IF($A$2="COSTO",
   ((B44*(1+IFERROR(VLOOKUP($D$2,COLORES[],2,FALSE),0)))+H44)
   *(1-IFERROR(_xlfn.XLOOKUP(1,(DESC_PROV[LINEA]=$B$2)*(DESC_PROV[LISTA]=$C$2),DESC_PROV[DESCUENTO]),0)),
   ((B44*(1+IFERROR(VLOOKUP($D$2,COLORES[],2,FALSE),0)))+H44)
   *(1-IFERROR(_xlfn.XLOOKUP(1,(DESC_PROV[LINEA]=$B$2)*(DESC_PROV[LISTA]=$C$2),DESC_PROV[DESCUENTO]),0))
   *(1+VLOOKUP($C$2,LISTAS[],2,FALSE))
   *(1+VLOOKUP($C$2,LISTAS[],3,FALSE))
)
/5,0)*5</f>
        <v>521385</v>
      </c>
      <c r="P44" s="65" cm="1">
        <f t="array" ref="P44">ROUND(
IF($A$2="COSTO",
   (C44*(1+IFERROR(VLOOKUP($D$2,COLORES[],2,FALSE),0)))
   *(1-IFERROR(_xlfn.XLOOKUP(1,(DESC_PROV[LINEA]=$B$2)*(DESC_PROV[LISTA]=$C$2),DESC_PROV[DESCUENTO]),0)),
   (C44*(1+IFERROR(VLOOKUP($D$2,COLORES[],2,FALSE),0)))
   *(1-IFERROR(_xlfn.XLOOKUP(1,(DESC_PROV[LINEA]=$B$2)*(DESC_PROV[LISTA]=$C$2),DESC_PROV[DESCUENTO]),0))
   *(1+VLOOKUP($C$2,LISTAS[],2,FALSE))
   *(1+VLOOKUP($C$2,LISTAS[],3,FALSE))
)
/5,0)*5</f>
        <v>23630</v>
      </c>
      <c r="Q44" s="65" cm="1">
        <f t="array" ref="Q44">ROUND(
IF($A$2="COSTO",
   (D44*(1+IFERROR(VLOOKUP($D$2,COLORES[],2,FALSE),0)))
   *(1-IFERROR(_xlfn.XLOOKUP(1,(DESC_PROV[LINEA]=$B$2)*(DESC_PROV[LISTA]=$C$2),DESC_PROV[DESCUENTO]),0)),
   (D44*(1+IFERROR(VLOOKUP($D$2,COLORES[],2,FALSE),0)))
   *(1-IFERROR(_xlfn.XLOOKUP(1,(DESC_PROV[LINEA]=$B$2)*(DESC_PROV[LISTA]=$C$2),DESC_PROV[DESCUENTO]),0))
   *(1+VLOOKUP($C$2,LISTAS[],2,FALSE))
   *(1+VLOOKUP($C$2,LISTAS[],4,FALSE))
)
/5,0)*5</f>
        <v>73815</v>
      </c>
      <c r="R44" s="66" cm="1">
        <f t="array" ref="R44">ROUND(
IF($A$2="COSTO",
   ((B44*(1+IFERROR(VLOOKUP($D$2,COLORES[],2,FALSE),0)))+(F44+I44+F44))
   *(1-IFERROR(_xlfn.XLOOKUP(1,(DESC_PROV[LINEA]=$B$2)*(DESC_PROV[LISTA]=$C$2),DESC_PROV[DESCUENTO]),0)),
   ((B44*(1+IFERROR(VLOOKUP($D$2,COLORES[],2,FALSE),0)))+(F44+I44+F44))
   *(1-IFERROR(_xlfn.XLOOKUP(1,(DESC_PROV[LINEA]=$B$2)*(DESC_PROV[LISTA]=$C$2),DESC_PROV[DESCUENTO]),0))
   *(1+VLOOKUP($C$2,LISTAS[],2,FALSE))
   *(1+VLOOKUP($C$2,LISTAS[],3,FALSE))
)
/5,0)*5</f>
        <v>556015</v>
      </c>
    </row>
    <row r="45" spans="1:18">
      <c r="A45" s="107" t="s">
        <v>114</v>
      </c>
      <c r="B45" s="64">
        <v>145750</v>
      </c>
      <c r="C45" s="64">
        <v>23048</v>
      </c>
      <c r="D45" s="64">
        <v>33375</v>
      </c>
      <c r="E45" s="64">
        <v>18753</v>
      </c>
      <c r="F45" s="64">
        <v>22717</v>
      </c>
      <c r="G45" s="64">
        <v>29915</v>
      </c>
      <c r="H45" s="64">
        <v>93646</v>
      </c>
      <c r="I45" s="64">
        <v>103194</v>
      </c>
      <c r="J45" s="2"/>
      <c r="K45" s="107" t="s">
        <v>114</v>
      </c>
      <c r="L45" s="65" cm="1">
        <f t="array" ref="L45">ROUND(
IF($A$2="COSTO",
   ((B45*(1+IFERROR(VLOOKUP($D$2,COLORES[],2,FALSE),0)))+E45)
   *(1-IFERROR(_xlfn.XLOOKUP(1,(DESC_PROV[LINEA]=$B$2)*(DESC_PROV[LISTA]=$C$2),DESC_PROV[DESCUENTO]),0)),
   ((B45*(1+IFERROR(VLOOKUP($D$2,COLORES[],2,FALSE),0)))+E45)
   *(1-IFERROR(_xlfn.XLOOKUP(1,(DESC_PROV[LINEA]=$B$2)*(DESC_PROV[LISTA]=$C$2),DESC_PROV[DESCUENTO]),0))
   *(1+VLOOKUP($C$2,LISTAS[],2,FALSE))
   *(1+VLOOKUP($C$2,LISTAS[],3,FALSE))
)
/5,0)*5</f>
        <v>210815</v>
      </c>
      <c r="M45" s="65" cm="1">
        <f t="array" ref="M45">ROUND(
IF($A$2="COSTO",
   ((B45*(1+IFERROR(VLOOKUP($D$2,COLORES[],2,FALSE),0)))+F45)
   *(1-IFERROR(_xlfn.XLOOKUP(1,(DESC_PROV[LINEA]=$B$2)*(DESC_PROV[LISTA]=$C$2),DESC_PROV[DESCUENTO]),0)),
   ((B45*(1+IFERROR(VLOOKUP($D$2,COLORES[],2,FALSE),0)))+F45)
   *(1-IFERROR(_xlfn.XLOOKUP(1,(DESC_PROV[LINEA]=$B$2)*(DESC_PROV[LISTA]=$C$2),DESC_PROV[DESCUENTO]),0))
   *(1+VLOOKUP($C$2,LISTAS[],2,FALSE))
   *(1+VLOOKUP($C$2,LISTAS[],3,FALSE))
)
/5,0)*5</f>
        <v>215895</v>
      </c>
      <c r="N45" s="65" cm="1">
        <f t="array" ref="N45">ROUND(
IF($A$2="COSTO",
   ((B45*(1+IFERROR(VLOOKUP($D$2,COLORES[],2,FALSE),0)))+G45)
   *(1-IFERROR(_xlfn.XLOOKUP(1,(DESC_PROV[LINEA]=$B$2)*(DESC_PROV[LISTA]=$C$2),DESC_PROV[DESCUENTO]),0)),
   ((B45*(1+IFERROR(VLOOKUP($D$2,COLORES[],2,FALSE),0)))+G45)
   *(1-IFERROR(_xlfn.XLOOKUP(1,(DESC_PROV[LINEA]=$B$2)*(DESC_PROV[LISTA]=$C$2),DESC_PROV[DESCUENTO]),0))
   *(1+VLOOKUP($C$2,LISTAS[],2,FALSE))
   *(1+VLOOKUP($C$2,LISTAS[],3,FALSE))
)
/5,0)*5</f>
        <v>225120</v>
      </c>
      <c r="O45" s="65" cm="1">
        <f t="array" ref="O45">ROUND(
IF($A$2="COSTO",
   ((B45*(1+IFERROR(VLOOKUP($D$2,COLORES[],2,FALSE),0)))+H45)
   *(1-IFERROR(_xlfn.XLOOKUP(1,(DESC_PROV[LINEA]=$B$2)*(DESC_PROV[LISTA]=$C$2),DESC_PROV[DESCUENTO]),0)),
   ((B45*(1+IFERROR(VLOOKUP($D$2,COLORES[],2,FALSE),0)))+H45)
   *(1-IFERROR(_xlfn.XLOOKUP(1,(DESC_PROV[LINEA]=$B$2)*(DESC_PROV[LISTA]=$C$2),DESC_PROV[DESCUENTO]),0))
   *(1+VLOOKUP($C$2,LISTAS[],2,FALSE))
   *(1+VLOOKUP($C$2,LISTAS[],3,FALSE))
)
/5,0)*5</f>
        <v>306795</v>
      </c>
      <c r="P45" s="65" cm="1">
        <f t="array" ref="P45">ROUND(
IF($A$2="COSTO",
   (C45*(1+IFERROR(VLOOKUP($D$2,COLORES[],2,FALSE),0)))
   *(1-IFERROR(_xlfn.XLOOKUP(1,(DESC_PROV[LINEA]=$B$2)*(DESC_PROV[LISTA]=$C$2),DESC_PROV[DESCUENTO]),0)),
   (C45*(1+IFERROR(VLOOKUP($D$2,COLORES[],2,FALSE),0)))
   *(1-IFERROR(_xlfn.XLOOKUP(1,(DESC_PROV[LINEA]=$B$2)*(DESC_PROV[LISTA]=$C$2),DESC_PROV[DESCUENTO]),0))
   *(1+VLOOKUP($C$2,LISTAS[],2,FALSE))
   *(1+VLOOKUP($C$2,LISTAS[],3,FALSE))
)
/5,0)*5</f>
        <v>29535</v>
      </c>
      <c r="Q45" s="65" cm="1">
        <f t="array" ref="Q45">ROUND(
IF($A$2="COSTO",
   (D45*(1+IFERROR(VLOOKUP($D$2,COLORES[],2,FALSE),0)))
   *(1-IFERROR(_xlfn.XLOOKUP(1,(DESC_PROV[LINEA]=$B$2)*(DESC_PROV[LISTA]=$C$2),DESC_PROV[DESCUENTO]),0)),
   (D45*(1+IFERROR(VLOOKUP($D$2,COLORES[],2,FALSE),0)))
   *(1-IFERROR(_xlfn.XLOOKUP(1,(DESC_PROV[LINEA]=$B$2)*(DESC_PROV[LISTA]=$C$2),DESC_PROV[DESCUENTO]),0))
   *(1+VLOOKUP($C$2,LISTAS[],2,FALSE))
   *(1+VLOOKUP($C$2,LISTAS[],4,FALSE))
)
/5,0)*5</f>
        <v>52640</v>
      </c>
      <c r="R45" s="66" cm="1">
        <f t="array" ref="R45">ROUND(
IF($A$2="COSTO",
   ((B45*(1+IFERROR(VLOOKUP($D$2,COLORES[],2,FALSE),0)))+(F45+I45+F45))
   *(1-IFERROR(_xlfn.XLOOKUP(1,(DESC_PROV[LINEA]=$B$2)*(DESC_PROV[LISTA]=$C$2),DESC_PROV[DESCUENTO]),0)),
   ((B45*(1+IFERROR(VLOOKUP($D$2,COLORES[],2,FALSE),0)))+(F45+I45+F45))
   *(1-IFERROR(_xlfn.XLOOKUP(1,(DESC_PROV[LINEA]=$B$2)*(DESC_PROV[LISTA]=$C$2),DESC_PROV[DESCUENTO]),0))
   *(1+VLOOKUP($C$2,LISTAS[],2,FALSE))
   *(1+VLOOKUP($C$2,LISTAS[],3,FALSE))
)
/5,0)*5</f>
        <v>377255</v>
      </c>
    </row>
    <row r="46" spans="1:18">
      <c r="A46" s="107" t="s">
        <v>71</v>
      </c>
      <c r="B46" s="64">
        <v>154494</v>
      </c>
      <c r="C46" s="64">
        <v>23048</v>
      </c>
      <c r="D46" s="64">
        <v>36450</v>
      </c>
      <c r="E46" s="64">
        <v>22922</v>
      </c>
      <c r="F46" s="64">
        <v>27762</v>
      </c>
      <c r="G46" s="64">
        <v>36561</v>
      </c>
      <c r="H46" s="64">
        <v>114455</v>
      </c>
      <c r="I46" s="64">
        <v>108354</v>
      </c>
      <c r="J46" s="2"/>
      <c r="K46" s="107" t="s">
        <v>71</v>
      </c>
      <c r="L46" s="65" cm="1">
        <f t="array" ref="L46">ROUND(
IF($A$2="COSTO",
   ((B46*(1+IFERROR(VLOOKUP($D$2,COLORES[],2,FALSE),0)))+E46)
   *(1-IFERROR(_xlfn.XLOOKUP(1,(DESC_PROV[LINEA]=$B$2)*(DESC_PROV[LISTA]=$C$2),DESC_PROV[DESCUENTO]),0)),
   ((B46*(1+IFERROR(VLOOKUP($D$2,COLORES[],2,FALSE),0)))+E46)
   *(1-IFERROR(_xlfn.XLOOKUP(1,(DESC_PROV[LINEA]=$B$2)*(DESC_PROV[LISTA]=$C$2),DESC_PROV[DESCUENTO]),0))
   *(1+VLOOKUP($C$2,LISTAS[],2,FALSE))
   *(1+VLOOKUP($C$2,LISTAS[],3,FALSE))
)
/5,0)*5</f>
        <v>227365</v>
      </c>
      <c r="M46" s="65" cm="1">
        <f t="array" ref="M46">ROUND(
IF($A$2="COSTO",
   ((B46*(1+IFERROR(VLOOKUP($D$2,COLORES[],2,FALSE),0)))+F46)
   *(1-IFERROR(_xlfn.XLOOKUP(1,(DESC_PROV[LINEA]=$B$2)*(DESC_PROV[LISTA]=$C$2),DESC_PROV[DESCUENTO]),0)),
   ((B46*(1+IFERROR(VLOOKUP($D$2,COLORES[],2,FALSE),0)))+F46)
   *(1-IFERROR(_xlfn.XLOOKUP(1,(DESC_PROV[LINEA]=$B$2)*(DESC_PROV[LISTA]=$C$2),DESC_PROV[DESCUENTO]),0))
   *(1+VLOOKUP($C$2,LISTAS[],2,FALSE))
   *(1+VLOOKUP($C$2,LISTAS[],3,FALSE))
)
/5,0)*5</f>
        <v>233570</v>
      </c>
      <c r="N46" s="65" cm="1">
        <f t="array" ref="N46">ROUND(
IF($A$2="COSTO",
   ((B46*(1+IFERROR(VLOOKUP($D$2,COLORES[],2,FALSE),0)))+G46)
   *(1-IFERROR(_xlfn.XLOOKUP(1,(DESC_PROV[LINEA]=$B$2)*(DESC_PROV[LISTA]=$C$2),DESC_PROV[DESCUENTO]),0)),
   ((B46*(1+IFERROR(VLOOKUP($D$2,COLORES[],2,FALSE),0)))+G46)
   *(1-IFERROR(_xlfn.XLOOKUP(1,(DESC_PROV[LINEA]=$B$2)*(DESC_PROV[LISTA]=$C$2),DESC_PROV[DESCUENTO]),0))
   *(1+VLOOKUP($C$2,LISTAS[],2,FALSE))
   *(1+VLOOKUP($C$2,LISTAS[],3,FALSE))
)
/5,0)*5</f>
        <v>244845</v>
      </c>
      <c r="O46" s="65" cm="1">
        <f t="array" ref="O46">ROUND(
IF($A$2="COSTO",
   ((B46*(1+IFERROR(VLOOKUP($D$2,COLORES[],2,FALSE),0)))+H46)
   *(1-IFERROR(_xlfn.XLOOKUP(1,(DESC_PROV[LINEA]=$B$2)*(DESC_PROV[LISTA]=$C$2),DESC_PROV[DESCUENTO]),0)),
   ((B46*(1+IFERROR(VLOOKUP($D$2,COLORES[],2,FALSE),0)))+H46)
   *(1-IFERROR(_xlfn.XLOOKUP(1,(DESC_PROV[LINEA]=$B$2)*(DESC_PROV[LISTA]=$C$2),DESC_PROV[DESCUENTO]),0))
   *(1+VLOOKUP($C$2,LISTAS[],2,FALSE))
   *(1+VLOOKUP($C$2,LISTAS[],3,FALSE))
)
/5,0)*5</f>
        <v>344670</v>
      </c>
      <c r="P46" s="65" cm="1">
        <f t="array" ref="P46">ROUND(
IF($A$2="COSTO",
   (C46*(1+IFERROR(VLOOKUP($D$2,COLORES[],2,FALSE),0)))
   *(1-IFERROR(_xlfn.XLOOKUP(1,(DESC_PROV[LINEA]=$B$2)*(DESC_PROV[LISTA]=$C$2),DESC_PROV[DESCUENTO]),0)),
   (C46*(1+IFERROR(VLOOKUP($D$2,COLORES[],2,FALSE),0)))
   *(1-IFERROR(_xlfn.XLOOKUP(1,(DESC_PROV[LINEA]=$B$2)*(DESC_PROV[LISTA]=$C$2),DESC_PROV[DESCUENTO]),0))
   *(1+VLOOKUP($C$2,LISTAS[],2,FALSE))
   *(1+VLOOKUP($C$2,LISTAS[],3,FALSE))
)
/5,0)*5</f>
        <v>29535</v>
      </c>
      <c r="Q46" s="65" cm="1">
        <f t="array" ref="Q46">ROUND(
IF($A$2="COSTO",
   (D46*(1+IFERROR(VLOOKUP($D$2,COLORES[],2,FALSE),0)))
   *(1-IFERROR(_xlfn.XLOOKUP(1,(DESC_PROV[LINEA]=$B$2)*(DESC_PROV[LISTA]=$C$2),DESC_PROV[DESCUENTO]),0)),
   (D46*(1+IFERROR(VLOOKUP($D$2,COLORES[],2,FALSE),0)))
   *(1-IFERROR(_xlfn.XLOOKUP(1,(DESC_PROV[LINEA]=$B$2)*(DESC_PROV[LISTA]=$C$2),DESC_PROV[DESCUENTO]),0))
   *(1+VLOOKUP($C$2,LISTAS[],2,FALSE))
   *(1+VLOOKUP($C$2,LISTAS[],4,FALSE))
)
/5,0)*5</f>
        <v>57490</v>
      </c>
      <c r="R46" s="66" cm="1">
        <f t="array" ref="R46">ROUND(
IF($A$2="COSTO",
   ((B46*(1+IFERROR(VLOOKUP($D$2,COLORES[],2,FALSE),0)))+(F46+I46+F46))
   *(1-IFERROR(_xlfn.XLOOKUP(1,(DESC_PROV[LINEA]=$B$2)*(DESC_PROV[LISTA]=$C$2),DESC_PROV[DESCUENTO]),0)),
   ((B46*(1+IFERROR(VLOOKUP($D$2,COLORES[],2,FALSE),0)))+(F46+I46+F46))
   *(1-IFERROR(_xlfn.XLOOKUP(1,(DESC_PROV[LINEA]=$B$2)*(DESC_PROV[LISTA]=$C$2),DESC_PROV[DESCUENTO]),0))
   *(1+VLOOKUP($C$2,LISTAS[],2,FALSE))
   *(1+VLOOKUP($C$2,LISTAS[],3,FALSE))
)
/5,0)*5</f>
        <v>408005</v>
      </c>
    </row>
    <row r="47" spans="1:18">
      <c r="A47" s="107" t="s">
        <v>72</v>
      </c>
      <c r="B47" s="64">
        <v>171738</v>
      </c>
      <c r="C47" s="64">
        <v>23048</v>
      </c>
      <c r="D47" s="64">
        <v>41063</v>
      </c>
      <c r="E47" s="64">
        <v>29169</v>
      </c>
      <c r="F47" s="64">
        <v>35338</v>
      </c>
      <c r="G47" s="64">
        <v>46531</v>
      </c>
      <c r="H47" s="64">
        <v>145673</v>
      </c>
      <c r="I47" s="64">
        <v>116093</v>
      </c>
      <c r="J47" s="2"/>
      <c r="K47" s="107" t="s">
        <v>72</v>
      </c>
      <c r="L47" s="65" cm="1">
        <f t="array" ref="L47">ROUND(
IF($A$2="COSTO",
   ((B47*(1+IFERROR(VLOOKUP($D$2,COLORES[],2,FALSE),0)))+E47)
   *(1-IFERROR(_xlfn.XLOOKUP(1,(DESC_PROV[LINEA]=$B$2)*(DESC_PROV[LISTA]=$C$2),DESC_PROV[DESCUENTO]),0)),
   ((B47*(1+IFERROR(VLOOKUP($D$2,COLORES[],2,FALSE),0)))+E47)
   *(1-IFERROR(_xlfn.XLOOKUP(1,(DESC_PROV[LINEA]=$B$2)*(DESC_PROV[LISTA]=$C$2),DESC_PROV[DESCUENTO]),0))
   *(1+VLOOKUP($C$2,LISTAS[],2,FALSE))
   *(1+VLOOKUP($C$2,LISTAS[],3,FALSE))
)
/5,0)*5</f>
        <v>257470</v>
      </c>
      <c r="M47" s="65" cm="1">
        <f t="array" ref="M47">ROUND(
IF($A$2="COSTO",
   ((B47*(1+IFERROR(VLOOKUP($D$2,COLORES[],2,FALSE),0)))+F47)
   *(1-IFERROR(_xlfn.XLOOKUP(1,(DESC_PROV[LINEA]=$B$2)*(DESC_PROV[LISTA]=$C$2),DESC_PROV[DESCUENTO]),0)),
   ((B47*(1+IFERROR(VLOOKUP($D$2,COLORES[],2,FALSE),0)))+F47)
   *(1-IFERROR(_xlfn.XLOOKUP(1,(DESC_PROV[LINEA]=$B$2)*(DESC_PROV[LISTA]=$C$2),DESC_PROV[DESCUENTO]),0))
   *(1+VLOOKUP($C$2,LISTAS[],2,FALSE))
   *(1+VLOOKUP($C$2,LISTAS[],3,FALSE))
)
/5,0)*5</f>
        <v>265375</v>
      </c>
      <c r="N47" s="65" cm="1">
        <f t="array" ref="N47">ROUND(
IF($A$2="COSTO",
   ((B47*(1+IFERROR(VLOOKUP($D$2,COLORES[],2,FALSE),0)))+G47)
   *(1-IFERROR(_xlfn.XLOOKUP(1,(DESC_PROV[LINEA]=$B$2)*(DESC_PROV[LISTA]=$C$2),DESC_PROV[DESCUENTO]),0)),
   ((B47*(1+IFERROR(VLOOKUP($D$2,COLORES[],2,FALSE),0)))+G47)
   *(1-IFERROR(_xlfn.XLOOKUP(1,(DESC_PROV[LINEA]=$B$2)*(DESC_PROV[LISTA]=$C$2),DESC_PROV[DESCUENTO]),0))
   *(1+VLOOKUP($C$2,LISTAS[],2,FALSE))
   *(1+VLOOKUP($C$2,LISTAS[],3,FALSE))
)
/5,0)*5</f>
        <v>279720</v>
      </c>
      <c r="O47" s="65" cm="1">
        <f t="array" ref="O47">ROUND(
IF($A$2="COSTO",
   ((B47*(1+IFERROR(VLOOKUP($D$2,COLORES[],2,FALSE),0)))+H47)
   *(1-IFERROR(_xlfn.XLOOKUP(1,(DESC_PROV[LINEA]=$B$2)*(DESC_PROV[LISTA]=$C$2),DESC_PROV[DESCUENTO]),0)),
   ((B47*(1+IFERROR(VLOOKUP($D$2,COLORES[],2,FALSE),0)))+H47)
   *(1-IFERROR(_xlfn.XLOOKUP(1,(DESC_PROV[LINEA]=$B$2)*(DESC_PROV[LISTA]=$C$2),DESC_PROV[DESCUENTO]),0))
   *(1+VLOOKUP($C$2,LISTAS[],2,FALSE))
   *(1+VLOOKUP($C$2,LISTAS[],3,FALSE))
)
/5,0)*5</f>
        <v>406775</v>
      </c>
      <c r="P47" s="65" cm="1">
        <f t="array" ref="P47">ROUND(
IF($A$2="COSTO",
   (C47*(1+IFERROR(VLOOKUP($D$2,COLORES[],2,FALSE),0)))
   *(1-IFERROR(_xlfn.XLOOKUP(1,(DESC_PROV[LINEA]=$B$2)*(DESC_PROV[LISTA]=$C$2),DESC_PROV[DESCUENTO]),0)),
   (C47*(1+IFERROR(VLOOKUP($D$2,COLORES[],2,FALSE),0)))
   *(1-IFERROR(_xlfn.XLOOKUP(1,(DESC_PROV[LINEA]=$B$2)*(DESC_PROV[LISTA]=$C$2),DESC_PROV[DESCUENTO]),0))
   *(1+VLOOKUP($C$2,LISTAS[],2,FALSE))
   *(1+VLOOKUP($C$2,LISTAS[],3,FALSE))
)
/5,0)*5</f>
        <v>29535</v>
      </c>
      <c r="Q47" s="65" cm="1">
        <f t="array" ref="Q47">ROUND(
IF($A$2="COSTO",
   (D47*(1+IFERROR(VLOOKUP($D$2,COLORES[],2,FALSE),0)))
   *(1-IFERROR(_xlfn.XLOOKUP(1,(DESC_PROV[LINEA]=$B$2)*(DESC_PROV[LISTA]=$C$2),DESC_PROV[DESCUENTO]),0)),
   (D47*(1+IFERROR(VLOOKUP($D$2,COLORES[],2,FALSE),0)))
   *(1-IFERROR(_xlfn.XLOOKUP(1,(DESC_PROV[LINEA]=$B$2)*(DESC_PROV[LISTA]=$C$2),DESC_PROV[DESCUENTO]),0))
   *(1+VLOOKUP($C$2,LISTAS[],2,FALSE))
   *(1+VLOOKUP($C$2,LISTAS[],4,FALSE))
)
/5,0)*5</f>
        <v>64770</v>
      </c>
      <c r="R47" s="66" cm="1">
        <f t="array" ref="R47">ROUND(
IF($A$2="COSTO",
   ((B47*(1+IFERROR(VLOOKUP($D$2,COLORES[],2,FALSE),0)))+(F47+I47+F47))
   *(1-IFERROR(_xlfn.XLOOKUP(1,(DESC_PROV[LINEA]=$B$2)*(DESC_PROV[LISTA]=$C$2),DESC_PROV[DESCUENTO]),0)),
   ((B47*(1+IFERROR(VLOOKUP($D$2,COLORES[],2,FALSE),0)))+(F47+I47+F47))
   *(1-IFERROR(_xlfn.XLOOKUP(1,(DESC_PROV[LINEA]=$B$2)*(DESC_PROV[LISTA]=$C$2),DESC_PROV[DESCUENTO]),0))
   *(1+VLOOKUP($C$2,LISTAS[],2,FALSE))
   *(1+VLOOKUP($C$2,LISTAS[],3,FALSE))
)
/5,0)*5</f>
        <v>459440</v>
      </c>
    </row>
    <row r="48" spans="1:18">
      <c r="A48" s="107" t="s">
        <v>73</v>
      </c>
      <c r="B48" s="64">
        <v>184256</v>
      </c>
      <c r="C48" s="64">
        <v>23048</v>
      </c>
      <c r="D48" s="64">
        <v>45675</v>
      </c>
      <c r="E48" s="64">
        <v>35422</v>
      </c>
      <c r="F48" s="64">
        <v>42903</v>
      </c>
      <c r="G48" s="64">
        <v>56501</v>
      </c>
      <c r="H48" s="64">
        <v>176884</v>
      </c>
      <c r="I48" s="64">
        <v>123833</v>
      </c>
      <c r="J48" s="2"/>
      <c r="K48" s="107" t="s">
        <v>73</v>
      </c>
      <c r="L48" s="65" cm="1">
        <f t="array" ref="L48">ROUND(
IF($A$2="COSTO",
   ((B48*(1+IFERROR(VLOOKUP($D$2,COLORES[],2,FALSE),0)))+E48)
   *(1-IFERROR(_xlfn.XLOOKUP(1,(DESC_PROV[LINEA]=$B$2)*(DESC_PROV[LISTA]=$C$2),DESC_PROV[DESCUENTO]),0)),
   ((B48*(1+IFERROR(VLOOKUP($D$2,COLORES[],2,FALSE),0)))+E48)
   *(1-IFERROR(_xlfn.XLOOKUP(1,(DESC_PROV[LINEA]=$B$2)*(DESC_PROV[LISTA]=$C$2),DESC_PROV[DESCUENTO]),0))
   *(1+VLOOKUP($C$2,LISTAS[],2,FALSE))
   *(1+VLOOKUP($C$2,LISTAS[],3,FALSE))
)
/5,0)*5</f>
        <v>281525</v>
      </c>
      <c r="M48" s="65" cm="1">
        <f t="array" ref="M48">ROUND(
IF($A$2="COSTO",
   ((B48*(1+IFERROR(VLOOKUP($D$2,COLORES[],2,FALSE),0)))+F48)
   *(1-IFERROR(_xlfn.XLOOKUP(1,(DESC_PROV[LINEA]=$B$2)*(DESC_PROV[LISTA]=$C$2),DESC_PROV[DESCUENTO]),0)),
   ((B48*(1+IFERROR(VLOOKUP($D$2,COLORES[],2,FALSE),0)))+F48)
   *(1-IFERROR(_xlfn.XLOOKUP(1,(DESC_PROV[LINEA]=$B$2)*(DESC_PROV[LISTA]=$C$2),DESC_PROV[DESCUENTO]),0))
   *(1+VLOOKUP($C$2,LISTAS[],2,FALSE))
   *(1+VLOOKUP($C$2,LISTAS[],3,FALSE))
)
/5,0)*5</f>
        <v>291115</v>
      </c>
      <c r="N48" s="65" cm="1">
        <f t="array" ref="N48">ROUND(
IF($A$2="COSTO",
   ((B48*(1+IFERROR(VLOOKUP($D$2,COLORES[],2,FALSE),0)))+G48)
   *(1-IFERROR(_xlfn.XLOOKUP(1,(DESC_PROV[LINEA]=$B$2)*(DESC_PROV[LISTA]=$C$2),DESC_PROV[DESCUENTO]),0)),
   ((B48*(1+IFERROR(VLOOKUP($D$2,COLORES[],2,FALSE),0)))+G48)
   *(1-IFERROR(_xlfn.XLOOKUP(1,(DESC_PROV[LINEA]=$B$2)*(DESC_PROV[LISTA]=$C$2),DESC_PROV[DESCUENTO]),0))
   *(1+VLOOKUP($C$2,LISTAS[],2,FALSE))
   *(1+VLOOKUP($C$2,LISTAS[],3,FALSE))
)
/5,0)*5</f>
        <v>308540</v>
      </c>
      <c r="O48" s="65" cm="1">
        <f t="array" ref="O48">ROUND(
IF($A$2="COSTO",
   ((B48*(1+IFERROR(VLOOKUP($D$2,COLORES[],2,FALSE),0)))+H48)
   *(1-IFERROR(_xlfn.XLOOKUP(1,(DESC_PROV[LINEA]=$B$2)*(DESC_PROV[LISTA]=$C$2),DESC_PROV[DESCUENTO]),0)),
   ((B48*(1+IFERROR(VLOOKUP($D$2,COLORES[],2,FALSE),0)))+H48)
   *(1-IFERROR(_xlfn.XLOOKUP(1,(DESC_PROV[LINEA]=$B$2)*(DESC_PROV[LISTA]=$C$2),DESC_PROV[DESCUENTO]),0))
   *(1+VLOOKUP($C$2,LISTAS[],2,FALSE))
   *(1+VLOOKUP($C$2,LISTAS[],3,FALSE))
)
/5,0)*5</f>
        <v>462815</v>
      </c>
      <c r="P48" s="65" cm="1">
        <f t="array" ref="P48">ROUND(
IF($A$2="COSTO",
   (C48*(1+IFERROR(VLOOKUP($D$2,COLORES[],2,FALSE),0)))
   *(1-IFERROR(_xlfn.XLOOKUP(1,(DESC_PROV[LINEA]=$B$2)*(DESC_PROV[LISTA]=$C$2),DESC_PROV[DESCUENTO]),0)),
   (C48*(1+IFERROR(VLOOKUP($D$2,COLORES[],2,FALSE),0)))
   *(1-IFERROR(_xlfn.XLOOKUP(1,(DESC_PROV[LINEA]=$B$2)*(DESC_PROV[LISTA]=$C$2),DESC_PROV[DESCUENTO]),0))
   *(1+VLOOKUP($C$2,LISTAS[],2,FALSE))
   *(1+VLOOKUP($C$2,LISTAS[],3,FALSE))
)
/5,0)*5</f>
        <v>29535</v>
      </c>
      <c r="Q48" s="65" cm="1">
        <f t="array" ref="Q48">ROUND(
IF($A$2="COSTO",
   (D48*(1+IFERROR(VLOOKUP($D$2,COLORES[],2,FALSE),0)))
   *(1-IFERROR(_xlfn.XLOOKUP(1,(DESC_PROV[LINEA]=$B$2)*(DESC_PROV[LISTA]=$C$2),DESC_PROV[DESCUENTO]),0)),
   (D48*(1+IFERROR(VLOOKUP($D$2,COLORES[],2,FALSE),0)))
   *(1-IFERROR(_xlfn.XLOOKUP(1,(DESC_PROV[LINEA]=$B$2)*(DESC_PROV[LISTA]=$C$2),DESC_PROV[DESCUENTO]),0))
   *(1+VLOOKUP($C$2,LISTAS[],2,FALSE))
   *(1+VLOOKUP($C$2,LISTAS[],4,FALSE))
)
/5,0)*5</f>
        <v>72040</v>
      </c>
      <c r="R48" s="66" cm="1">
        <f t="array" ref="R48">ROUND(
IF($A$2="COSTO",
   ((B48*(1+IFERROR(VLOOKUP($D$2,COLORES[],2,FALSE),0)))+(F48+I48+F48))
   *(1-IFERROR(_xlfn.XLOOKUP(1,(DESC_PROV[LINEA]=$B$2)*(DESC_PROV[LISTA]=$C$2),DESC_PROV[DESCUENTO]),0)),
   ((B48*(1+IFERROR(VLOOKUP($D$2,COLORES[],2,FALSE),0)))+(F48+I48+F48))
   *(1-IFERROR(_xlfn.XLOOKUP(1,(DESC_PROV[LINEA]=$B$2)*(DESC_PROV[LISTA]=$C$2),DESC_PROV[DESCUENTO]),0))
   *(1+VLOOKUP($C$2,LISTAS[],2,FALSE))
   *(1+VLOOKUP($C$2,LISTAS[],3,FALSE))
)
/5,0)*5</f>
        <v>504790</v>
      </c>
    </row>
    <row r="49" spans="1:18">
      <c r="A49" s="107" t="s">
        <v>74</v>
      </c>
      <c r="B49" s="64">
        <v>200094</v>
      </c>
      <c r="C49" s="64">
        <v>23048</v>
      </c>
      <c r="D49" s="64">
        <v>48750</v>
      </c>
      <c r="E49" s="64">
        <v>39590</v>
      </c>
      <c r="F49" s="64">
        <v>42704</v>
      </c>
      <c r="G49" s="64">
        <v>63152</v>
      </c>
      <c r="H49" s="64">
        <v>197706</v>
      </c>
      <c r="I49" s="64">
        <v>128993</v>
      </c>
      <c r="J49" s="2"/>
      <c r="K49" s="107" t="s">
        <v>74</v>
      </c>
      <c r="L49" s="65" cm="1">
        <f t="array" ref="L49">ROUND(
IF($A$2="COSTO",
   ((B49*(1+IFERROR(VLOOKUP($D$2,COLORES[],2,FALSE),0)))+E49)
   *(1-IFERROR(_xlfn.XLOOKUP(1,(DESC_PROV[LINEA]=$B$2)*(DESC_PROV[LISTA]=$C$2),DESC_PROV[DESCUENTO]),0)),
   ((B49*(1+IFERROR(VLOOKUP($D$2,COLORES[],2,FALSE),0)))+E49)
   *(1-IFERROR(_xlfn.XLOOKUP(1,(DESC_PROV[LINEA]=$B$2)*(DESC_PROV[LISTA]=$C$2),DESC_PROV[DESCUENTO]),0))
   *(1+VLOOKUP($C$2,LISTAS[],2,FALSE))
   *(1+VLOOKUP($C$2,LISTAS[],3,FALSE))
)
/5,0)*5</f>
        <v>307165</v>
      </c>
      <c r="M49" s="65" cm="1">
        <f t="array" ref="M49">ROUND(
IF($A$2="COSTO",
   ((B49*(1+IFERROR(VLOOKUP($D$2,COLORES[],2,FALSE),0)))+F49)
   *(1-IFERROR(_xlfn.XLOOKUP(1,(DESC_PROV[LINEA]=$B$2)*(DESC_PROV[LISTA]=$C$2),DESC_PROV[DESCUENTO]),0)),
   ((B49*(1+IFERROR(VLOOKUP($D$2,COLORES[],2,FALSE),0)))+F49)
   *(1-IFERROR(_xlfn.XLOOKUP(1,(DESC_PROV[LINEA]=$B$2)*(DESC_PROV[LISTA]=$C$2),DESC_PROV[DESCUENTO]),0))
   *(1+VLOOKUP($C$2,LISTAS[],2,FALSE))
   *(1+VLOOKUP($C$2,LISTAS[],3,FALSE))
)
/5,0)*5</f>
        <v>311155</v>
      </c>
      <c r="N49" s="65" cm="1">
        <f t="array" ref="N49">ROUND(
IF($A$2="COSTO",
   ((B49*(1+IFERROR(VLOOKUP($D$2,COLORES[],2,FALSE),0)))+G49)
   *(1-IFERROR(_xlfn.XLOOKUP(1,(DESC_PROV[LINEA]=$B$2)*(DESC_PROV[LISTA]=$C$2),DESC_PROV[DESCUENTO]),0)),
   ((B49*(1+IFERROR(VLOOKUP($D$2,COLORES[],2,FALSE),0)))+G49)
   *(1-IFERROR(_xlfn.XLOOKUP(1,(DESC_PROV[LINEA]=$B$2)*(DESC_PROV[LISTA]=$C$2),DESC_PROV[DESCUENTO]),0))
   *(1+VLOOKUP($C$2,LISTAS[],2,FALSE))
   *(1+VLOOKUP($C$2,LISTAS[],3,FALSE))
)
/5,0)*5</f>
        <v>337360</v>
      </c>
      <c r="O49" s="65" cm="1">
        <f t="array" ref="O49">ROUND(
IF($A$2="COSTO",
   ((B49*(1+IFERROR(VLOOKUP($D$2,COLORES[],2,FALSE),0)))+H49)
   *(1-IFERROR(_xlfn.XLOOKUP(1,(DESC_PROV[LINEA]=$B$2)*(DESC_PROV[LISTA]=$C$2),DESC_PROV[DESCUENTO]),0)),
   ((B49*(1+IFERROR(VLOOKUP($D$2,COLORES[],2,FALSE),0)))+H49)
   *(1-IFERROR(_xlfn.XLOOKUP(1,(DESC_PROV[LINEA]=$B$2)*(DESC_PROV[LISTA]=$C$2),DESC_PROV[DESCUENTO]),0))
   *(1+VLOOKUP($C$2,LISTAS[],2,FALSE))
   *(1+VLOOKUP($C$2,LISTAS[],3,FALSE))
)
/5,0)*5</f>
        <v>509795</v>
      </c>
      <c r="P49" s="65" cm="1">
        <f t="array" ref="P49">ROUND(
IF($A$2="COSTO",
   (C49*(1+IFERROR(VLOOKUP($D$2,COLORES[],2,FALSE),0)))
   *(1-IFERROR(_xlfn.XLOOKUP(1,(DESC_PROV[LINEA]=$B$2)*(DESC_PROV[LISTA]=$C$2),DESC_PROV[DESCUENTO]),0)),
   (C49*(1+IFERROR(VLOOKUP($D$2,COLORES[],2,FALSE),0)))
   *(1-IFERROR(_xlfn.XLOOKUP(1,(DESC_PROV[LINEA]=$B$2)*(DESC_PROV[LISTA]=$C$2),DESC_PROV[DESCUENTO]),0))
   *(1+VLOOKUP($C$2,LISTAS[],2,FALSE))
   *(1+VLOOKUP($C$2,LISTAS[],3,FALSE))
)
/5,0)*5</f>
        <v>29535</v>
      </c>
      <c r="Q49" s="65" cm="1">
        <f t="array" ref="Q49">ROUND(
IF($A$2="COSTO",
   (D49*(1+IFERROR(VLOOKUP($D$2,COLORES[],2,FALSE),0)))
   *(1-IFERROR(_xlfn.XLOOKUP(1,(DESC_PROV[LINEA]=$B$2)*(DESC_PROV[LISTA]=$C$2),DESC_PROV[DESCUENTO]),0)),
   (D49*(1+IFERROR(VLOOKUP($D$2,COLORES[],2,FALSE),0)))
   *(1-IFERROR(_xlfn.XLOOKUP(1,(DESC_PROV[LINEA]=$B$2)*(DESC_PROV[LISTA]=$C$2),DESC_PROV[DESCUENTO]),0))
   *(1+VLOOKUP($C$2,LISTAS[],2,FALSE))
   *(1+VLOOKUP($C$2,LISTAS[],4,FALSE))
)
/5,0)*5</f>
        <v>76890</v>
      </c>
      <c r="R49" s="66" cm="1">
        <f t="array" ref="R49">ROUND(
IF($A$2="COSTO",
   ((B49*(1+IFERROR(VLOOKUP($D$2,COLORES[],2,FALSE),0)))+(F49+I49+F49))
   *(1-IFERROR(_xlfn.XLOOKUP(1,(DESC_PROV[LINEA]=$B$2)*(DESC_PROV[LISTA]=$C$2),DESC_PROV[DESCUENTO]),0)),
   ((B49*(1+IFERROR(VLOOKUP($D$2,COLORES[],2,FALSE),0)))+(F49+I49+F49))
   *(1-IFERROR(_xlfn.XLOOKUP(1,(DESC_PROV[LINEA]=$B$2)*(DESC_PROV[LISTA]=$C$2),DESC_PROV[DESCUENTO]),0))
   *(1+VLOOKUP($C$2,LISTAS[],2,FALSE))
   *(1+VLOOKUP($C$2,LISTAS[],3,FALSE))
)
/5,0)*5</f>
        <v>531190</v>
      </c>
    </row>
    <row r="50" spans="1:18">
      <c r="A50" s="107" t="s">
        <v>75</v>
      </c>
      <c r="B50" s="64">
        <v>217975</v>
      </c>
      <c r="C50" s="64">
        <v>23048</v>
      </c>
      <c r="D50" s="64">
        <v>51825</v>
      </c>
      <c r="E50" s="64">
        <v>43754</v>
      </c>
      <c r="F50" s="64">
        <v>53004</v>
      </c>
      <c r="G50" s="64">
        <v>69799</v>
      </c>
      <c r="H50" s="64">
        <v>218503</v>
      </c>
      <c r="I50" s="64">
        <v>134152</v>
      </c>
      <c r="J50" s="2"/>
      <c r="K50" s="107" t="s">
        <v>75</v>
      </c>
      <c r="L50" s="65" cm="1">
        <f t="array" ref="L50">ROUND(
IF($A$2="COSTO",
   ((B50*(1+IFERROR(VLOOKUP($D$2,COLORES[],2,FALSE),0)))+E50)
   *(1-IFERROR(_xlfn.XLOOKUP(1,(DESC_PROV[LINEA]=$B$2)*(DESC_PROV[LISTA]=$C$2),DESC_PROV[DESCUENTO]),0)),
   ((B50*(1+IFERROR(VLOOKUP($D$2,COLORES[],2,FALSE),0)))+E50)
   *(1-IFERROR(_xlfn.XLOOKUP(1,(DESC_PROV[LINEA]=$B$2)*(DESC_PROV[LISTA]=$C$2),DESC_PROV[DESCUENTO]),0))
   *(1+VLOOKUP($C$2,LISTAS[],2,FALSE))
   *(1+VLOOKUP($C$2,LISTAS[],3,FALSE))
)
/5,0)*5</f>
        <v>335415</v>
      </c>
      <c r="M50" s="65" cm="1">
        <f t="array" ref="M50">ROUND(
IF($A$2="COSTO",
   ((B50*(1+IFERROR(VLOOKUP($D$2,COLORES[],2,FALSE),0)))+F50)
   *(1-IFERROR(_xlfn.XLOOKUP(1,(DESC_PROV[LINEA]=$B$2)*(DESC_PROV[LISTA]=$C$2),DESC_PROV[DESCUENTO]),0)),
   ((B50*(1+IFERROR(VLOOKUP($D$2,COLORES[],2,FALSE),0)))+F50)
   *(1-IFERROR(_xlfn.XLOOKUP(1,(DESC_PROV[LINEA]=$B$2)*(DESC_PROV[LISTA]=$C$2),DESC_PROV[DESCUENTO]),0))
   *(1+VLOOKUP($C$2,LISTAS[],2,FALSE))
   *(1+VLOOKUP($C$2,LISTAS[],3,FALSE))
)
/5,0)*5</f>
        <v>347270</v>
      </c>
      <c r="N50" s="65" cm="1">
        <f t="array" ref="N50">ROUND(
IF($A$2="COSTO",
   ((B50*(1+IFERROR(VLOOKUP($D$2,COLORES[],2,FALSE),0)))+G50)
   *(1-IFERROR(_xlfn.XLOOKUP(1,(DESC_PROV[LINEA]=$B$2)*(DESC_PROV[LISTA]=$C$2),DESC_PROV[DESCUENTO]),0)),
   ((B50*(1+IFERROR(VLOOKUP($D$2,COLORES[],2,FALSE),0)))+G50)
   *(1-IFERROR(_xlfn.XLOOKUP(1,(DESC_PROV[LINEA]=$B$2)*(DESC_PROV[LISTA]=$C$2),DESC_PROV[DESCUENTO]),0))
   *(1+VLOOKUP($C$2,LISTAS[],2,FALSE))
   *(1+VLOOKUP($C$2,LISTAS[],3,FALSE))
)
/5,0)*5</f>
        <v>368795</v>
      </c>
      <c r="O50" s="65" cm="1">
        <f t="array" ref="O50">ROUND(
IF($A$2="COSTO",
   ((B50*(1+IFERROR(VLOOKUP($D$2,COLORES[],2,FALSE),0)))+H50)
   *(1-IFERROR(_xlfn.XLOOKUP(1,(DESC_PROV[LINEA]=$B$2)*(DESC_PROV[LISTA]=$C$2),DESC_PROV[DESCUENTO]),0)),
   ((B50*(1+IFERROR(VLOOKUP($D$2,COLORES[],2,FALSE),0)))+H50)
   *(1-IFERROR(_xlfn.XLOOKUP(1,(DESC_PROV[LINEA]=$B$2)*(DESC_PROV[LISTA]=$C$2),DESC_PROV[DESCUENTO]),0))
   *(1+VLOOKUP($C$2,LISTAS[],2,FALSE))
   *(1+VLOOKUP($C$2,LISTAS[],3,FALSE))
)
/5,0)*5</f>
        <v>559365</v>
      </c>
      <c r="P50" s="65" cm="1">
        <f t="array" ref="P50">ROUND(
IF($A$2="COSTO",
   (C50*(1+IFERROR(VLOOKUP($D$2,COLORES[],2,FALSE),0)))
   *(1-IFERROR(_xlfn.XLOOKUP(1,(DESC_PROV[LINEA]=$B$2)*(DESC_PROV[LISTA]=$C$2),DESC_PROV[DESCUENTO]),0)),
   (C50*(1+IFERROR(VLOOKUP($D$2,COLORES[],2,FALSE),0)))
   *(1-IFERROR(_xlfn.XLOOKUP(1,(DESC_PROV[LINEA]=$B$2)*(DESC_PROV[LISTA]=$C$2),DESC_PROV[DESCUENTO]),0))
   *(1+VLOOKUP($C$2,LISTAS[],2,FALSE))
   *(1+VLOOKUP($C$2,LISTAS[],3,FALSE))
)
/5,0)*5</f>
        <v>29535</v>
      </c>
      <c r="Q50" s="65" cm="1">
        <f t="array" ref="Q50">ROUND(
IF($A$2="COSTO",
   (D50*(1+IFERROR(VLOOKUP($D$2,COLORES[],2,FALSE),0)))
   *(1-IFERROR(_xlfn.XLOOKUP(1,(DESC_PROV[LINEA]=$B$2)*(DESC_PROV[LISTA]=$C$2),DESC_PROV[DESCUENTO]),0)),
   (D50*(1+IFERROR(VLOOKUP($D$2,COLORES[],2,FALSE),0)))
   *(1-IFERROR(_xlfn.XLOOKUP(1,(DESC_PROV[LINEA]=$B$2)*(DESC_PROV[LISTA]=$C$2),DESC_PROV[DESCUENTO]),0))
   *(1+VLOOKUP($C$2,LISTAS[],2,FALSE))
   *(1+VLOOKUP($C$2,LISTAS[],4,FALSE))
)
/5,0)*5</f>
        <v>81745</v>
      </c>
      <c r="R50" s="66" cm="1">
        <f t="array" ref="R50">ROUND(
IF($A$2="COSTO",
   ((B50*(1+IFERROR(VLOOKUP($D$2,COLORES[],2,FALSE),0)))+(F50+I50+F50))
   *(1-IFERROR(_xlfn.XLOOKUP(1,(DESC_PROV[LINEA]=$B$2)*(DESC_PROV[LISTA]=$C$2),DESC_PROV[DESCUENTO]),0)),
   ((B50*(1+IFERROR(VLOOKUP($D$2,COLORES[],2,FALSE),0)))+(F50+I50+F50))
   *(1-IFERROR(_xlfn.XLOOKUP(1,(DESC_PROV[LINEA]=$B$2)*(DESC_PROV[LISTA]=$C$2),DESC_PROV[DESCUENTO]),0))
   *(1+VLOOKUP($C$2,LISTAS[],2,FALSE))
   *(1+VLOOKUP($C$2,LISTAS[],3,FALSE))
)
/5,0)*5</f>
        <v>587120</v>
      </c>
    </row>
    <row r="51" spans="1:18">
      <c r="A51" s="107" t="s">
        <v>76</v>
      </c>
      <c r="B51" s="64">
        <v>229094</v>
      </c>
      <c r="C51" s="64">
        <v>23048</v>
      </c>
      <c r="D51" s="64">
        <v>54900</v>
      </c>
      <c r="E51" s="64">
        <v>47927</v>
      </c>
      <c r="F51" s="64">
        <v>58049</v>
      </c>
      <c r="G51" s="64">
        <v>76445</v>
      </c>
      <c r="H51" s="64">
        <v>239319</v>
      </c>
      <c r="I51" s="64">
        <v>139312</v>
      </c>
      <c r="J51" s="2"/>
      <c r="K51" s="107" t="s">
        <v>76</v>
      </c>
      <c r="L51" s="65" cm="1">
        <f t="array" ref="L51">ROUND(
IF($A$2="COSTO",
   ((B51*(1+IFERROR(VLOOKUP($D$2,COLORES[],2,FALSE),0)))+E51)
   *(1-IFERROR(_xlfn.XLOOKUP(1,(DESC_PROV[LINEA]=$B$2)*(DESC_PROV[LISTA]=$C$2),DESC_PROV[DESCUENTO]),0)),
   ((B51*(1+IFERROR(VLOOKUP($D$2,COLORES[],2,FALSE),0)))+E51)
   *(1-IFERROR(_xlfn.XLOOKUP(1,(DESC_PROV[LINEA]=$B$2)*(DESC_PROV[LISTA]=$C$2),DESC_PROV[DESCUENTO]),0))
   *(1+VLOOKUP($C$2,LISTAS[],2,FALSE))
   *(1+VLOOKUP($C$2,LISTAS[],3,FALSE))
)
/5,0)*5</f>
        <v>355015</v>
      </c>
      <c r="M51" s="65" cm="1">
        <f t="array" ref="M51">ROUND(
IF($A$2="COSTO",
   ((B51*(1+IFERROR(VLOOKUP($D$2,COLORES[],2,FALSE),0)))+F51)
   *(1-IFERROR(_xlfn.XLOOKUP(1,(DESC_PROV[LINEA]=$B$2)*(DESC_PROV[LISTA]=$C$2),DESC_PROV[DESCUENTO]),0)),
   ((B51*(1+IFERROR(VLOOKUP($D$2,COLORES[],2,FALSE),0)))+F51)
   *(1-IFERROR(_xlfn.XLOOKUP(1,(DESC_PROV[LINEA]=$B$2)*(DESC_PROV[LISTA]=$C$2),DESC_PROV[DESCUENTO]),0))
   *(1+VLOOKUP($C$2,LISTAS[],2,FALSE))
   *(1+VLOOKUP($C$2,LISTAS[],3,FALSE))
)
/5,0)*5</f>
        <v>367985</v>
      </c>
      <c r="N51" s="65" cm="1">
        <f t="array" ref="N51">ROUND(
IF($A$2="COSTO",
   ((B51*(1+IFERROR(VLOOKUP($D$2,COLORES[],2,FALSE),0)))+G51)
   *(1-IFERROR(_xlfn.XLOOKUP(1,(DESC_PROV[LINEA]=$B$2)*(DESC_PROV[LISTA]=$C$2),DESC_PROV[DESCUENTO]),0)),
   ((B51*(1+IFERROR(VLOOKUP($D$2,COLORES[],2,FALSE),0)))+G51)
   *(1-IFERROR(_xlfn.XLOOKUP(1,(DESC_PROV[LINEA]=$B$2)*(DESC_PROV[LISTA]=$C$2),DESC_PROV[DESCUENTO]),0))
   *(1+VLOOKUP($C$2,LISTAS[],2,FALSE))
   *(1+VLOOKUP($C$2,LISTAS[],3,FALSE))
)
/5,0)*5</f>
        <v>391560</v>
      </c>
      <c r="O51" s="65" cm="1">
        <f t="array" ref="O51">ROUND(
IF($A$2="COSTO",
   ((B51*(1+IFERROR(VLOOKUP($D$2,COLORES[],2,FALSE),0)))+H51)
   *(1-IFERROR(_xlfn.XLOOKUP(1,(DESC_PROV[LINEA]=$B$2)*(DESC_PROV[LISTA]=$C$2),DESC_PROV[DESCUENTO]),0)),
   ((B51*(1+IFERROR(VLOOKUP($D$2,COLORES[],2,FALSE),0)))+H51)
   *(1-IFERROR(_xlfn.XLOOKUP(1,(DESC_PROV[LINEA]=$B$2)*(DESC_PROV[LISTA]=$C$2),DESC_PROV[DESCUENTO]),0))
   *(1+VLOOKUP($C$2,LISTAS[],2,FALSE))
   *(1+VLOOKUP($C$2,LISTAS[],3,FALSE))
)
/5,0)*5</f>
        <v>600290</v>
      </c>
      <c r="P51" s="65" cm="1">
        <f t="array" ref="P51">ROUND(
IF($A$2="COSTO",
   (C51*(1+IFERROR(VLOOKUP($D$2,COLORES[],2,FALSE),0)))
   *(1-IFERROR(_xlfn.XLOOKUP(1,(DESC_PROV[LINEA]=$B$2)*(DESC_PROV[LISTA]=$C$2),DESC_PROV[DESCUENTO]),0)),
   (C51*(1+IFERROR(VLOOKUP($D$2,COLORES[],2,FALSE),0)))
   *(1-IFERROR(_xlfn.XLOOKUP(1,(DESC_PROV[LINEA]=$B$2)*(DESC_PROV[LISTA]=$C$2),DESC_PROV[DESCUENTO]),0))
   *(1+VLOOKUP($C$2,LISTAS[],2,FALSE))
   *(1+VLOOKUP($C$2,LISTAS[],3,FALSE))
)
/5,0)*5</f>
        <v>29535</v>
      </c>
      <c r="Q51" s="65" cm="1">
        <f t="array" ref="Q51">ROUND(
IF($A$2="COSTO",
   (D51*(1+IFERROR(VLOOKUP($D$2,COLORES[],2,FALSE),0)))
   *(1-IFERROR(_xlfn.XLOOKUP(1,(DESC_PROV[LINEA]=$B$2)*(DESC_PROV[LISTA]=$C$2),DESC_PROV[DESCUENTO]),0)),
   (D51*(1+IFERROR(VLOOKUP($D$2,COLORES[],2,FALSE),0)))
   *(1-IFERROR(_xlfn.XLOOKUP(1,(DESC_PROV[LINEA]=$B$2)*(DESC_PROV[LISTA]=$C$2),DESC_PROV[DESCUENTO]),0))
   *(1+VLOOKUP($C$2,LISTAS[],2,FALSE))
   *(1+VLOOKUP($C$2,LISTAS[],4,FALSE))
)
/5,0)*5</f>
        <v>86595</v>
      </c>
      <c r="R51" s="66" cm="1">
        <f t="array" ref="R51">ROUND(
IF($A$2="COSTO",
   ((B51*(1+IFERROR(VLOOKUP($D$2,COLORES[],2,FALSE),0)))+(F51+I51+F51))
   *(1-IFERROR(_xlfn.XLOOKUP(1,(DESC_PROV[LINEA]=$B$2)*(DESC_PROV[LISTA]=$C$2),DESC_PROV[DESCUENTO]),0)),
   ((B51*(1+IFERROR(VLOOKUP($D$2,COLORES[],2,FALSE),0)))+(F51+I51+F51))
   *(1-IFERROR(_xlfn.XLOOKUP(1,(DESC_PROV[LINEA]=$B$2)*(DESC_PROV[LISTA]=$C$2),DESC_PROV[DESCUENTO]),0))
   *(1+VLOOKUP($C$2,LISTAS[],2,FALSE))
   *(1+VLOOKUP($C$2,LISTAS[],3,FALSE))
)
/5,0)*5</f>
        <v>620910</v>
      </c>
    </row>
    <row r="52" spans="1:18">
      <c r="A52" s="107" t="s">
        <v>17</v>
      </c>
      <c r="B52" s="64">
        <v>193250</v>
      </c>
      <c r="C52" s="64">
        <v>30730</v>
      </c>
      <c r="D52" s="64">
        <v>42500</v>
      </c>
      <c r="E52" s="64">
        <v>25452</v>
      </c>
      <c r="F52" s="64">
        <v>30828</v>
      </c>
      <c r="G52" s="64">
        <v>40598</v>
      </c>
      <c r="H52" s="64">
        <v>127086</v>
      </c>
      <c r="I52" s="64">
        <v>128993</v>
      </c>
      <c r="J52" s="2"/>
      <c r="K52" s="107" t="s">
        <v>17</v>
      </c>
      <c r="L52" s="65" cm="1">
        <f t="array" ref="L52">ROUND(
IF($A$2="COSTO",
   ((B52*(1+IFERROR(VLOOKUP($D$2,COLORES[],2,FALSE),0)))+E52)
   *(1-IFERROR(_xlfn.XLOOKUP(1,(DESC_PROV[LINEA]=$B$2)*(DESC_PROV[LISTA]=$C$2),DESC_PROV[DESCUENTO]),0)),
   ((B52*(1+IFERROR(VLOOKUP($D$2,COLORES[],2,FALSE),0)))+E52)
   *(1-IFERROR(_xlfn.XLOOKUP(1,(DESC_PROV[LINEA]=$B$2)*(DESC_PROV[LISTA]=$C$2),DESC_PROV[DESCUENTO]),0))
   *(1+VLOOKUP($C$2,LISTAS[],2,FALSE))
   *(1+VLOOKUP($C$2,LISTAS[],3,FALSE))
)
/5,0)*5</f>
        <v>280275</v>
      </c>
      <c r="M52" s="65" cm="1">
        <f t="array" ref="M52">ROUND(
IF($A$2="COSTO",
   ((B52*(1+IFERROR(VLOOKUP($D$2,COLORES[],2,FALSE),0)))+F52)
   *(1-IFERROR(_xlfn.XLOOKUP(1,(DESC_PROV[LINEA]=$B$2)*(DESC_PROV[LISTA]=$C$2),DESC_PROV[DESCUENTO]),0)),
   ((B52*(1+IFERROR(VLOOKUP($D$2,COLORES[],2,FALSE),0)))+F52)
   *(1-IFERROR(_xlfn.XLOOKUP(1,(DESC_PROV[LINEA]=$B$2)*(DESC_PROV[LISTA]=$C$2),DESC_PROV[DESCUENTO]),0))
   *(1+VLOOKUP($C$2,LISTAS[],2,FALSE))
   *(1+VLOOKUP($C$2,LISTAS[],3,FALSE))
)
/5,0)*5</f>
        <v>287165</v>
      </c>
      <c r="N52" s="65" cm="1">
        <f t="array" ref="N52">ROUND(
IF($A$2="COSTO",
   ((B52*(1+IFERROR(VLOOKUP($D$2,COLORES[],2,FALSE),0)))+G52)
   *(1-IFERROR(_xlfn.XLOOKUP(1,(DESC_PROV[LINEA]=$B$2)*(DESC_PROV[LISTA]=$C$2),DESC_PROV[DESCUENTO]),0)),
   ((B52*(1+IFERROR(VLOOKUP($D$2,COLORES[],2,FALSE),0)))+G52)
   *(1-IFERROR(_xlfn.XLOOKUP(1,(DESC_PROV[LINEA]=$B$2)*(DESC_PROV[LISTA]=$C$2),DESC_PROV[DESCUENTO]),0))
   *(1+VLOOKUP($C$2,LISTAS[],2,FALSE))
   *(1+VLOOKUP($C$2,LISTAS[],3,FALSE))
)
/5,0)*5</f>
        <v>299685</v>
      </c>
      <c r="O52" s="65" cm="1">
        <f t="array" ref="O52">ROUND(
IF($A$2="COSTO",
   ((B52*(1+IFERROR(VLOOKUP($D$2,COLORES[],2,FALSE),0)))+H52)
   *(1-IFERROR(_xlfn.XLOOKUP(1,(DESC_PROV[LINEA]=$B$2)*(DESC_PROV[LISTA]=$C$2),DESC_PROV[DESCUENTO]),0)),
   ((B52*(1+IFERROR(VLOOKUP($D$2,COLORES[],2,FALSE),0)))+H52)
   *(1-IFERROR(_xlfn.XLOOKUP(1,(DESC_PROV[LINEA]=$B$2)*(DESC_PROV[LISTA]=$C$2),DESC_PROV[DESCUENTO]),0))
   *(1+VLOOKUP($C$2,LISTAS[],2,FALSE))
   *(1+VLOOKUP($C$2,LISTAS[],3,FALSE))
)
/5,0)*5</f>
        <v>410525</v>
      </c>
      <c r="P52" s="65" cm="1">
        <f t="array" ref="P52">ROUND(
IF($A$2="COSTO",
   (C52*(1+IFERROR(VLOOKUP($D$2,COLORES[],2,FALSE),0)))
   *(1-IFERROR(_xlfn.XLOOKUP(1,(DESC_PROV[LINEA]=$B$2)*(DESC_PROV[LISTA]=$C$2),DESC_PROV[DESCUENTO]),0)),
   (C52*(1+IFERROR(VLOOKUP($D$2,COLORES[],2,FALSE),0)))
   *(1-IFERROR(_xlfn.XLOOKUP(1,(DESC_PROV[LINEA]=$B$2)*(DESC_PROV[LISTA]=$C$2),DESC_PROV[DESCUENTO]),0))
   *(1+VLOOKUP($C$2,LISTAS[],2,FALSE))
   *(1+VLOOKUP($C$2,LISTAS[],3,FALSE))
)
/5,0)*5</f>
        <v>39380</v>
      </c>
      <c r="Q52" s="65" cm="1">
        <f t="array" ref="Q52">ROUND(
IF($A$2="COSTO",
   (D52*(1+IFERROR(VLOOKUP($D$2,COLORES[],2,FALSE),0)))
   *(1-IFERROR(_xlfn.XLOOKUP(1,(DESC_PROV[LINEA]=$B$2)*(DESC_PROV[LISTA]=$C$2),DESC_PROV[DESCUENTO]),0)),
   (D52*(1+IFERROR(VLOOKUP($D$2,COLORES[],2,FALSE),0)))
   *(1-IFERROR(_xlfn.XLOOKUP(1,(DESC_PROV[LINEA]=$B$2)*(DESC_PROV[LISTA]=$C$2),DESC_PROV[DESCUENTO]),0))
   *(1+VLOOKUP($C$2,LISTAS[],2,FALSE))
   *(1+VLOOKUP($C$2,LISTAS[],4,FALSE))
)
/5,0)*5</f>
        <v>67035</v>
      </c>
      <c r="R52" s="66" cm="1">
        <f t="array" ref="R52">ROUND(
IF($A$2="COSTO",
   ((B52*(1+IFERROR(VLOOKUP($D$2,COLORES[],2,FALSE),0)))+(F52+I52+F52))
   *(1-IFERROR(_xlfn.XLOOKUP(1,(DESC_PROV[LINEA]=$B$2)*(DESC_PROV[LISTA]=$C$2),DESC_PROV[DESCUENTO]),0)),
   ((B52*(1+IFERROR(VLOOKUP($D$2,COLORES[],2,FALSE),0)))+(F52+I52+F52))
   *(1-IFERROR(_xlfn.XLOOKUP(1,(DESC_PROV[LINEA]=$B$2)*(DESC_PROV[LISTA]=$C$2),DESC_PROV[DESCUENTO]),0))
   *(1+VLOOKUP($C$2,LISTAS[],2,FALSE))
   *(1+VLOOKUP($C$2,LISTAS[],3,FALSE))
)
/5,0)*5</f>
        <v>491980</v>
      </c>
    </row>
    <row r="53" spans="1:18">
      <c r="A53" s="107" t="s">
        <v>83</v>
      </c>
      <c r="B53" s="64">
        <v>208394</v>
      </c>
      <c r="C53" s="64">
        <v>30730</v>
      </c>
      <c r="D53" s="64">
        <v>46200</v>
      </c>
      <c r="E53" s="64">
        <v>31106</v>
      </c>
      <c r="F53" s="64">
        <v>37679</v>
      </c>
      <c r="G53" s="64">
        <v>49618</v>
      </c>
      <c r="H53" s="64">
        <v>155332</v>
      </c>
      <c r="I53" s="64">
        <v>134152</v>
      </c>
      <c r="J53" s="2"/>
      <c r="K53" s="107" t="s">
        <v>83</v>
      </c>
      <c r="L53" s="65" cm="1">
        <f t="array" ref="L53">ROUND(
IF($A$2="COSTO",
   ((B53*(1+IFERROR(VLOOKUP($D$2,COLORES[],2,FALSE),0)))+E53)
   *(1-IFERROR(_xlfn.XLOOKUP(1,(DESC_PROV[LINEA]=$B$2)*(DESC_PROV[LISTA]=$C$2),DESC_PROV[DESCUENTO]),0)),
   ((B53*(1+IFERROR(VLOOKUP($D$2,COLORES[],2,FALSE),0)))+E53)
   *(1-IFERROR(_xlfn.XLOOKUP(1,(DESC_PROV[LINEA]=$B$2)*(DESC_PROV[LISTA]=$C$2),DESC_PROV[DESCUENTO]),0))
   *(1+VLOOKUP($C$2,LISTAS[],2,FALSE))
   *(1+VLOOKUP($C$2,LISTAS[],3,FALSE))
)
/5,0)*5</f>
        <v>306930</v>
      </c>
      <c r="M53" s="65" cm="1">
        <f t="array" ref="M53">ROUND(
IF($A$2="COSTO",
   ((B53*(1+IFERROR(VLOOKUP($D$2,COLORES[],2,FALSE),0)))+F53)
   *(1-IFERROR(_xlfn.XLOOKUP(1,(DESC_PROV[LINEA]=$B$2)*(DESC_PROV[LISTA]=$C$2),DESC_PROV[DESCUENTO]),0)),
   ((B53*(1+IFERROR(VLOOKUP($D$2,COLORES[],2,FALSE),0)))+F53)
   *(1-IFERROR(_xlfn.XLOOKUP(1,(DESC_PROV[LINEA]=$B$2)*(DESC_PROV[LISTA]=$C$2),DESC_PROV[DESCUENTO]),0))
   *(1+VLOOKUP($C$2,LISTAS[],2,FALSE))
   *(1+VLOOKUP($C$2,LISTAS[],3,FALSE))
)
/5,0)*5</f>
        <v>315350</v>
      </c>
      <c r="N53" s="65" cm="1">
        <f t="array" ref="N53">ROUND(
IF($A$2="COSTO",
   ((B53*(1+IFERROR(VLOOKUP($D$2,COLORES[],2,FALSE),0)))+G53)
   *(1-IFERROR(_xlfn.XLOOKUP(1,(DESC_PROV[LINEA]=$B$2)*(DESC_PROV[LISTA]=$C$2),DESC_PROV[DESCUENTO]),0)),
   ((B53*(1+IFERROR(VLOOKUP($D$2,COLORES[],2,FALSE),0)))+G53)
   *(1-IFERROR(_xlfn.XLOOKUP(1,(DESC_PROV[LINEA]=$B$2)*(DESC_PROV[LISTA]=$C$2),DESC_PROV[DESCUENTO]),0))
   *(1+VLOOKUP($C$2,LISTAS[],2,FALSE))
   *(1+VLOOKUP($C$2,LISTAS[],3,FALSE))
)
/5,0)*5</f>
        <v>330655</v>
      </c>
      <c r="O53" s="65" cm="1">
        <f t="array" ref="O53">ROUND(
IF($A$2="COSTO",
   ((B53*(1+IFERROR(VLOOKUP($D$2,COLORES[],2,FALSE),0)))+H53)
   *(1-IFERROR(_xlfn.XLOOKUP(1,(DESC_PROV[LINEA]=$B$2)*(DESC_PROV[LISTA]=$C$2),DESC_PROV[DESCUENTO]),0)),
   ((B53*(1+IFERROR(VLOOKUP($D$2,COLORES[],2,FALSE),0)))+H53)
   *(1-IFERROR(_xlfn.XLOOKUP(1,(DESC_PROV[LINEA]=$B$2)*(DESC_PROV[LISTA]=$C$2),DESC_PROV[DESCUENTO]),0))
   *(1+VLOOKUP($C$2,LISTAS[],2,FALSE))
   *(1+VLOOKUP($C$2,LISTAS[],3,FALSE))
)
/5,0)*5</f>
        <v>466130</v>
      </c>
      <c r="P53" s="65" cm="1">
        <f t="array" ref="P53">ROUND(
IF($A$2="COSTO",
   (C53*(1+IFERROR(VLOOKUP($D$2,COLORES[],2,FALSE),0)))
   *(1-IFERROR(_xlfn.XLOOKUP(1,(DESC_PROV[LINEA]=$B$2)*(DESC_PROV[LISTA]=$C$2),DESC_PROV[DESCUENTO]),0)),
   (C53*(1+IFERROR(VLOOKUP($D$2,COLORES[],2,FALSE),0)))
   *(1-IFERROR(_xlfn.XLOOKUP(1,(DESC_PROV[LINEA]=$B$2)*(DESC_PROV[LISTA]=$C$2),DESC_PROV[DESCUENTO]),0))
   *(1+VLOOKUP($C$2,LISTAS[],2,FALSE))
   *(1+VLOOKUP($C$2,LISTAS[],3,FALSE))
)
/5,0)*5</f>
        <v>39380</v>
      </c>
      <c r="Q53" s="65" cm="1">
        <f t="array" ref="Q53">ROUND(
IF($A$2="COSTO",
   (D53*(1+IFERROR(VLOOKUP($D$2,COLORES[],2,FALSE),0)))
   *(1-IFERROR(_xlfn.XLOOKUP(1,(DESC_PROV[LINEA]=$B$2)*(DESC_PROV[LISTA]=$C$2),DESC_PROV[DESCUENTO]),0)),
   (D53*(1+IFERROR(VLOOKUP($D$2,COLORES[],2,FALSE),0)))
   *(1-IFERROR(_xlfn.XLOOKUP(1,(DESC_PROV[LINEA]=$B$2)*(DESC_PROV[LISTA]=$C$2),DESC_PROV[DESCUENTO]),0))
   *(1+VLOOKUP($C$2,LISTAS[],2,FALSE))
   *(1+VLOOKUP($C$2,LISTAS[],4,FALSE))
)
/5,0)*5</f>
        <v>72870</v>
      </c>
      <c r="R53" s="66" cm="1">
        <f t="array" ref="R53">ROUND(
IF($A$2="COSTO",
   ((B53*(1+IFERROR(VLOOKUP($D$2,COLORES[],2,FALSE),0)))+(F53+I53+F53))
   *(1-IFERROR(_xlfn.XLOOKUP(1,(DESC_PROV[LINEA]=$B$2)*(DESC_PROV[LISTA]=$C$2),DESC_PROV[DESCUENTO]),0)),
   ((B53*(1+IFERROR(VLOOKUP($D$2,COLORES[],2,FALSE),0)))+(F53+I53+F53))
   *(1-IFERROR(_xlfn.XLOOKUP(1,(DESC_PROV[LINEA]=$B$2)*(DESC_PROV[LISTA]=$C$2),DESC_PROV[DESCUENTO]),0))
   *(1+VLOOKUP($C$2,LISTAS[],2,FALSE))
   *(1+VLOOKUP($C$2,LISTAS[],3,FALSE))
)
/5,0)*5</f>
        <v>535560</v>
      </c>
    </row>
    <row r="54" spans="1:18">
      <c r="A54" s="107" t="s">
        <v>84</v>
      </c>
      <c r="B54" s="64">
        <v>225888</v>
      </c>
      <c r="C54" s="64">
        <v>30730</v>
      </c>
      <c r="D54" s="64">
        <v>51750</v>
      </c>
      <c r="E54" s="64">
        <v>41675</v>
      </c>
      <c r="F54" s="64">
        <v>47954</v>
      </c>
      <c r="G54" s="64">
        <v>63152</v>
      </c>
      <c r="H54" s="64">
        <v>197700</v>
      </c>
      <c r="I54" s="64">
        <v>141892</v>
      </c>
      <c r="J54" s="2"/>
      <c r="K54" s="107" t="s">
        <v>84</v>
      </c>
      <c r="L54" s="65" cm="1">
        <f t="array" ref="L54">ROUND(
IF($A$2="COSTO",
   ((B54*(1+IFERROR(VLOOKUP($D$2,COLORES[],2,FALSE),0)))+E54)
   *(1-IFERROR(_xlfn.XLOOKUP(1,(DESC_PROV[LINEA]=$B$2)*(DESC_PROV[LISTA]=$C$2),DESC_PROV[DESCUENTO]),0)),
   ((B54*(1+IFERROR(VLOOKUP($D$2,COLORES[],2,FALSE),0)))+E54)
   *(1-IFERROR(_xlfn.XLOOKUP(1,(DESC_PROV[LINEA]=$B$2)*(DESC_PROV[LISTA]=$C$2),DESC_PROV[DESCUENTO]),0))
   *(1+VLOOKUP($C$2,LISTAS[],2,FALSE))
   *(1+VLOOKUP($C$2,LISTAS[],3,FALSE))
)
/5,0)*5</f>
        <v>342895</v>
      </c>
      <c r="M54" s="65" cm="1">
        <f t="array" ref="M54">ROUND(
IF($A$2="COSTO",
   ((B54*(1+IFERROR(VLOOKUP($D$2,COLORES[],2,FALSE),0)))+F54)
   *(1-IFERROR(_xlfn.XLOOKUP(1,(DESC_PROV[LINEA]=$B$2)*(DESC_PROV[LISTA]=$C$2),DESC_PROV[DESCUENTO]),0)),
   ((B54*(1+IFERROR(VLOOKUP($D$2,COLORES[],2,FALSE),0)))+F54)
   *(1-IFERROR(_xlfn.XLOOKUP(1,(DESC_PROV[LINEA]=$B$2)*(DESC_PROV[LISTA]=$C$2),DESC_PROV[DESCUENTO]),0))
   *(1+VLOOKUP($C$2,LISTAS[],2,FALSE))
   *(1+VLOOKUP($C$2,LISTAS[],3,FALSE))
)
/5,0)*5</f>
        <v>350940</v>
      </c>
      <c r="N54" s="65" cm="1">
        <f t="array" ref="N54">ROUND(
IF($A$2="COSTO",
   ((B54*(1+IFERROR(VLOOKUP($D$2,COLORES[],2,FALSE),0)))+G54)
   *(1-IFERROR(_xlfn.XLOOKUP(1,(DESC_PROV[LINEA]=$B$2)*(DESC_PROV[LISTA]=$C$2),DESC_PROV[DESCUENTO]),0)),
   ((B54*(1+IFERROR(VLOOKUP($D$2,COLORES[],2,FALSE),0)))+G54)
   *(1-IFERROR(_xlfn.XLOOKUP(1,(DESC_PROV[LINEA]=$B$2)*(DESC_PROV[LISTA]=$C$2),DESC_PROV[DESCUENTO]),0))
   *(1+VLOOKUP($C$2,LISTAS[],2,FALSE))
   *(1+VLOOKUP($C$2,LISTAS[],3,FALSE))
)
/5,0)*5</f>
        <v>370415</v>
      </c>
      <c r="O54" s="65" cm="1">
        <f t="array" ref="O54">ROUND(
IF($A$2="COSTO",
   ((B54*(1+IFERROR(VLOOKUP($D$2,COLORES[],2,FALSE),0)))+H54)
   *(1-IFERROR(_xlfn.XLOOKUP(1,(DESC_PROV[LINEA]=$B$2)*(DESC_PROV[LISTA]=$C$2),DESC_PROV[DESCUENTO]),0)),
   ((B54*(1+IFERROR(VLOOKUP($D$2,COLORES[],2,FALSE),0)))+H54)
   *(1-IFERROR(_xlfn.XLOOKUP(1,(DESC_PROV[LINEA]=$B$2)*(DESC_PROV[LISTA]=$C$2),DESC_PROV[DESCUENTO]),0))
   *(1+VLOOKUP($C$2,LISTAS[],2,FALSE))
   *(1+VLOOKUP($C$2,LISTAS[],3,FALSE))
)
/5,0)*5</f>
        <v>542845</v>
      </c>
      <c r="P54" s="65" cm="1">
        <f t="array" ref="P54">ROUND(
IF($A$2="COSTO",
   (C54*(1+IFERROR(VLOOKUP($D$2,COLORES[],2,FALSE),0)))
   *(1-IFERROR(_xlfn.XLOOKUP(1,(DESC_PROV[LINEA]=$B$2)*(DESC_PROV[LISTA]=$C$2),DESC_PROV[DESCUENTO]),0)),
   (C54*(1+IFERROR(VLOOKUP($D$2,COLORES[],2,FALSE),0)))
   *(1-IFERROR(_xlfn.XLOOKUP(1,(DESC_PROV[LINEA]=$B$2)*(DESC_PROV[LISTA]=$C$2),DESC_PROV[DESCUENTO]),0))
   *(1+VLOOKUP($C$2,LISTAS[],2,FALSE))
   *(1+VLOOKUP($C$2,LISTAS[],3,FALSE))
)
/5,0)*5</f>
        <v>39380</v>
      </c>
      <c r="Q54" s="65" cm="1">
        <f t="array" ref="Q54">ROUND(
IF($A$2="COSTO",
   (D54*(1+IFERROR(VLOOKUP($D$2,COLORES[],2,FALSE),0)))
   *(1-IFERROR(_xlfn.XLOOKUP(1,(DESC_PROV[LINEA]=$B$2)*(DESC_PROV[LISTA]=$C$2),DESC_PROV[DESCUENTO]),0)),
   (D54*(1+IFERROR(VLOOKUP($D$2,COLORES[],2,FALSE),0)))
   *(1-IFERROR(_xlfn.XLOOKUP(1,(DESC_PROV[LINEA]=$B$2)*(DESC_PROV[LISTA]=$C$2),DESC_PROV[DESCUENTO]),0))
   *(1+VLOOKUP($C$2,LISTAS[],2,FALSE))
   *(1+VLOOKUP($C$2,LISTAS[],4,FALSE))
)
/5,0)*5</f>
        <v>81625</v>
      </c>
      <c r="R54" s="66" cm="1">
        <f t="array" ref="R54">ROUND(
IF($A$2="COSTO",
   ((B54*(1+IFERROR(VLOOKUP($D$2,COLORES[],2,FALSE),0)))+(F54+I54+F54))
   *(1-IFERROR(_xlfn.XLOOKUP(1,(DESC_PROV[LINEA]=$B$2)*(DESC_PROV[LISTA]=$C$2),DESC_PROV[DESCUENTO]),0)),
   ((B54*(1+IFERROR(VLOOKUP($D$2,COLORES[],2,FALSE),0)))+(F54+I54+F54))
   *(1-IFERROR(_xlfn.XLOOKUP(1,(DESC_PROV[LINEA]=$B$2)*(DESC_PROV[LISTA]=$C$2),DESC_PROV[DESCUENTO]),0))
   *(1+VLOOKUP($C$2,LISTAS[],2,FALSE))
   *(1+VLOOKUP($C$2,LISTAS[],3,FALSE))
)
/5,0)*5</f>
        <v>594235</v>
      </c>
    </row>
    <row r="55" spans="1:18">
      <c r="A55" s="107" t="s">
        <v>85</v>
      </c>
      <c r="B55" s="64">
        <v>240975</v>
      </c>
      <c r="C55" s="64">
        <v>30730</v>
      </c>
      <c r="D55" s="64">
        <v>57300</v>
      </c>
      <c r="E55" s="64">
        <v>50605</v>
      </c>
      <c r="F55" s="64">
        <v>58233</v>
      </c>
      <c r="G55" s="64">
        <v>76682</v>
      </c>
      <c r="H55" s="64">
        <v>240062</v>
      </c>
      <c r="I55" s="64">
        <v>149631</v>
      </c>
      <c r="J55" s="2"/>
      <c r="K55" s="107" t="s">
        <v>85</v>
      </c>
      <c r="L55" s="65" cm="1">
        <f t="array" ref="L55">ROUND(
IF($A$2="COSTO",
   ((B55*(1+IFERROR(VLOOKUP($D$2,COLORES[],2,FALSE),0)))+E55)
   *(1-IFERROR(_xlfn.XLOOKUP(1,(DESC_PROV[LINEA]=$B$2)*(DESC_PROV[LISTA]=$C$2),DESC_PROV[DESCUENTO]),0)),
   ((B55*(1+IFERROR(VLOOKUP($D$2,COLORES[],2,FALSE),0)))+E55)
   *(1-IFERROR(_xlfn.XLOOKUP(1,(DESC_PROV[LINEA]=$B$2)*(DESC_PROV[LISTA]=$C$2),DESC_PROV[DESCUENTO]),0))
   *(1+VLOOKUP($C$2,LISTAS[],2,FALSE))
   *(1+VLOOKUP($C$2,LISTAS[],3,FALSE))
)
/5,0)*5</f>
        <v>373670</v>
      </c>
      <c r="M55" s="65" cm="1">
        <f t="array" ref="M55">ROUND(
IF($A$2="COSTO",
   ((B55*(1+IFERROR(VLOOKUP($D$2,COLORES[],2,FALSE),0)))+F55)
   *(1-IFERROR(_xlfn.XLOOKUP(1,(DESC_PROV[LINEA]=$B$2)*(DESC_PROV[LISTA]=$C$2),DESC_PROV[DESCUENTO]),0)),
   ((B55*(1+IFERROR(VLOOKUP($D$2,COLORES[],2,FALSE),0)))+F55)
   *(1-IFERROR(_xlfn.XLOOKUP(1,(DESC_PROV[LINEA]=$B$2)*(DESC_PROV[LISTA]=$C$2),DESC_PROV[DESCUENTO]),0))
   *(1+VLOOKUP($C$2,LISTAS[],2,FALSE))
   *(1+VLOOKUP($C$2,LISTAS[],3,FALSE))
)
/5,0)*5</f>
        <v>383445</v>
      </c>
      <c r="N55" s="65" cm="1">
        <f t="array" ref="N55">ROUND(
IF($A$2="COSTO",
   ((B55*(1+IFERROR(VLOOKUP($D$2,COLORES[],2,FALSE),0)))+G55)
   *(1-IFERROR(_xlfn.XLOOKUP(1,(DESC_PROV[LINEA]=$B$2)*(DESC_PROV[LISTA]=$C$2),DESC_PROV[DESCUENTO]),0)),
   ((B55*(1+IFERROR(VLOOKUP($D$2,COLORES[],2,FALSE),0)))+G55)
   *(1-IFERROR(_xlfn.XLOOKUP(1,(DESC_PROV[LINEA]=$B$2)*(DESC_PROV[LISTA]=$C$2),DESC_PROV[DESCUENTO]),0))
   *(1+VLOOKUP($C$2,LISTAS[],2,FALSE))
   *(1+VLOOKUP($C$2,LISTAS[],3,FALSE))
)
/5,0)*5</f>
        <v>407090</v>
      </c>
      <c r="O55" s="65" cm="1">
        <f t="array" ref="O55">ROUND(
IF($A$2="COSTO",
   ((B55*(1+IFERROR(VLOOKUP($D$2,COLORES[],2,FALSE),0)))+H55)
   *(1-IFERROR(_xlfn.XLOOKUP(1,(DESC_PROV[LINEA]=$B$2)*(DESC_PROV[LISTA]=$C$2),DESC_PROV[DESCUENTO]),0)),
   ((B55*(1+IFERROR(VLOOKUP($D$2,COLORES[],2,FALSE),0)))+H55)
   *(1-IFERROR(_xlfn.XLOOKUP(1,(DESC_PROV[LINEA]=$B$2)*(DESC_PROV[LISTA]=$C$2),DESC_PROV[DESCUENTO]),0))
   *(1+VLOOKUP($C$2,LISTAS[],2,FALSE))
   *(1+VLOOKUP($C$2,LISTAS[],3,FALSE))
)
/5,0)*5</f>
        <v>616470</v>
      </c>
      <c r="P55" s="65" cm="1">
        <f t="array" ref="P55">ROUND(
IF($A$2="COSTO",
   (C55*(1+IFERROR(VLOOKUP($D$2,COLORES[],2,FALSE),0)))
   *(1-IFERROR(_xlfn.XLOOKUP(1,(DESC_PROV[LINEA]=$B$2)*(DESC_PROV[LISTA]=$C$2),DESC_PROV[DESCUENTO]),0)),
   (C55*(1+IFERROR(VLOOKUP($D$2,COLORES[],2,FALSE),0)))
   *(1-IFERROR(_xlfn.XLOOKUP(1,(DESC_PROV[LINEA]=$B$2)*(DESC_PROV[LISTA]=$C$2),DESC_PROV[DESCUENTO]),0))
   *(1+VLOOKUP($C$2,LISTAS[],2,FALSE))
   *(1+VLOOKUP($C$2,LISTAS[],3,FALSE))
)
/5,0)*5</f>
        <v>39380</v>
      </c>
      <c r="Q55" s="65" cm="1">
        <f t="array" ref="Q55">ROUND(
IF($A$2="COSTO",
   (D55*(1+IFERROR(VLOOKUP($D$2,COLORES[],2,FALSE),0)))
   *(1-IFERROR(_xlfn.XLOOKUP(1,(DESC_PROV[LINEA]=$B$2)*(DESC_PROV[LISTA]=$C$2),DESC_PROV[DESCUENTO]),0)),
   (D55*(1+IFERROR(VLOOKUP($D$2,COLORES[],2,FALSE),0)))
   *(1-IFERROR(_xlfn.XLOOKUP(1,(DESC_PROV[LINEA]=$B$2)*(DESC_PROV[LISTA]=$C$2),DESC_PROV[DESCUENTO]),0))
   *(1+VLOOKUP($C$2,LISTAS[],2,FALSE))
   *(1+VLOOKUP($C$2,LISTAS[],4,FALSE))
)
/5,0)*5</f>
        <v>90380</v>
      </c>
      <c r="R55" s="66" cm="1">
        <f t="array" ref="R55">ROUND(
IF($A$2="COSTO",
   ((B55*(1+IFERROR(VLOOKUP($D$2,COLORES[],2,FALSE),0)))+(F55+I55+F55))
   *(1-IFERROR(_xlfn.XLOOKUP(1,(DESC_PROV[LINEA]=$B$2)*(DESC_PROV[LISTA]=$C$2),DESC_PROV[DESCUENTO]),0)),
   ((B55*(1+IFERROR(VLOOKUP($D$2,COLORES[],2,FALSE),0)))+(F55+I55+F55))
   *(1-IFERROR(_xlfn.XLOOKUP(1,(DESC_PROV[LINEA]=$B$2)*(DESC_PROV[LISTA]=$C$2),DESC_PROV[DESCUENTO]),0))
   *(1+VLOOKUP($C$2,LISTAS[],2,FALSE))
   *(1+VLOOKUP($C$2,LISTAS[],3,FALSE))
)
/5,0)*5</f>
        <v>649835</v>
      </c>
    </row>
    <row r="56" spans="1:18">
      <c r="A56" s="107" t="s">
        <v>86</v>
      </c>
      <c r="B56" s="64">
        <v>261844</v>
      </c>
      <c r="C56" s="64">
        <v>30730</v>
      </c>
      <c r="D56" s="64">
        <v>61000</v>
      </c>
      <c r="E56" s="64">
        <v>56558</v>
      </c>
      <c r="F56" s="64">
        <v>65084</v>
      </c>
      <c r="G56" s="64">
        <v>85706</v>
      </c>
      <c r="H56" s="64">
        <v>268301</v>
      </c>
      <c r="I56" s="64">
        <v>154791</v>
      </c>
      <c r="J56" s="2"/>
      <c r="K56" s="107" t="s">
        <v>86</v>
      </c>
      <c r="L56" s="65" cm="1">
        <f t="array" ref="L56">ROUND(
IF($A$2="COSTO",
   ((B56*(1+IFERROR(VLOOKUP($D$2,COLORES[],2,FALSE),0)))+E56)
   *(1-IFERROR(_xlfn.XLOOKUP(1,(DESC_PROV[LINEA]=$B$2)*(DESC_PROV[LISTA]=$C$2),DESC_PROV[DESCUENTO]),0)),
   ((B56*(1+IFERROR(VLOOKUP($D$2,COLORES[],2,FALSE),0)))+E56)
   *(1-IFERROR(_xlfn.XLOOKUP(1,(DESC_PROV[LINEA]=$B$2)*(DESC_PROV[LISTA]=$C$2),DESC_PROV[DESCUENTO]),0))
   *(1+VLOOKUP($C$2,LISTAS[],2,FALSE))
   *(1+VLOOKUP($C$2,LISTAS[],3,FALSE))
)
/5,0)*5</f>
        <v>408045</v>
      </c>
      <c r="M56" s="65" cm="1">
        <f t="array" ref="M56">ROUND(
IF($A$2="COSTO",
   ((B56*(1+IFERROR(VLOOKUP($D$2,COLORES[],2,FALSE),0)))+F56)
   *(1-IFERROR(_xlfn.XLOOKUP(1,(DESC_PROV[LINEA]=$B$2)*(DESC_PROV[LISTA]=$C$2),DESC_PROV[DESCUENTO]),0)),
   ((B56*(1+IFERROR(VLOOKUP($D$2,COLORES[],2,FALSE),0)))+F56)
   *(1-IFERROR(_xlfn.XLOOKUP(1,(DESC_PROV[LINEA]=$B$2)*(DESC_PROV[LISTA]=$C$2),DESC_PROV[DESCUENTO]),0))
   *(1+VLOOKUP($C$2,LISTAS[],2,FALSE))
   *(1+VLOOKUP($C$2,LISTAS[],3,FALSE))
)
/5,0)*5</f>
        <v>418970</v>
      </c>
      <c r="N56" s="65" cm="1">
        <f t="array" ref="N56">ROUND(
IF($A$2="COSTO",
   ((B56*(1+IFERROR(VLOOKUP($D$2,COLORES[],2,FALSE),0)))+G56)
   *(1-IFERROR(_xlfn.XLOOKUP(1,(DESC_PROV[LINEA]=$B$2)*(DESC_PROV[LISTA]=$C$2),DESC_PROV[DESCUENTO]),0)),
   ((B56*(1+IFERROR(VLOOKUP($D$2,COLORES[],2,FALSE),0)))+G56)
   *(1-IFERROR(_xlfn.XLOOKUP(1,(DESC_PROV[LINEA]=$B$2)*(DESC_PROV[LISTA]=$C$2),DESC_PROV[DESCUENTO]),0))
   *(1+VLOOKUP($C$2,LISTAS[],2,FALSE))
   *(1+VLOOKUP($C$2,LISTAS[],3,FALSE))
)
/5,0)*5</f>
        <v>445400</v>
      </c>
      <c r="O56" s="65" cm="1">
        <f t="array" ref="O56">ROUND(
IF($A$2="COSTO",
   ((B56*(1+IFERROR(VLOOKUP($D$2,COLORES[],2,FALSE),0)))+H56)
   *(1-IFERROR(_xlfn.XLOOKUP(1,(DESC_PROV[LINEA]=$B$2)*(DESC_PROV[LISTA]=$C$2),DESC_PROV[DESCUENTO]),0)),
   ((B56*(1+IFERROR(VLOOKUP($D$2,COLORES[],2,FALSE),0)))+H56)
   *(1-IFERROR(_xlfn.XLOOKUP(1,(DESC_PROV[LINEA]=$B$2)*(DESC_PROV[LISTA]=$C$2),DESC_PROV[DESCUENTO]),0))
   *(1+VLOOKUP($C$2,LISTAS[],2,FALSE))
   *(1+VLOOKUP($C$2,LISTAS[],3,FALSE))
)
/5,0)*5</f>
        <v>679400</v>
      </c>
      <c r="P56" s="65" cm="1">
        <f t="array" ref="P56">ROUND(
IF($A$2="COSTO",
   (C56*(1+IFERROR(VLOOKUP($D$2,COLORES[],2,FALSE),0)))
   *(1-IFERROR(_xlfn.XLOOKUP(1,(DESC_PROV[LINEA]=$B$2)*(DESC_PROV[LISTA]=$C$2),DESC_PROV[DESCUENTO]),0)),
   (C56*(1+IFERROR(VLOOKUP($D$2,COLORES[],2,FALSE),0)))
   *(1-IFERROR(_xlfn.XLOOKUP(1,(DESC_PROV[LINEA]=$B$2)*(DESC_PROV[LISTA]=$C$2),DESC_PROV[DESCUENTO]),0))
   *(1+VLOOKUP($C$2,LISTAS[],2,FALSE))
   *(1+VLOOKUP($C$2,LISTAS[],3,FALSE))
)
/5,0)*5</f>
        <v>39380</v>
      </c>
      <c r="Q56" s="65" cm="1">
        <f t="array" ref="Q56">ROUND(
IF($A$2="COSTO",
   (D56*(1+IFERROR(VLOOKUP($D$2,COLORES[],2,FALSE),0)))
   *(1-IFERROR(_xlfn.XLOOKUP(1,(DESC_PROV[LINEA]=$B$2)*(DESC_PROV[LISTA]=$C$2),DESC_PROV[DESCUENTO]),0)),
   (D56*(1+IFERROR(VLOOKUP($D$2,COLORES[],2,FALSE),0)))
   *(1-IFERROR(_xlfn.XLOOKUP(1,(DESC_PROV[LINEA]=$B$2)*(DESC_PROV[LISTA]=$C$2),DESC_PROV[DESCUENTO]),0))
   *(1+VLOOKUP($C$2,LISTAS[],2,FALSE))
   *(1+VLOOKUP($C$2,LISTAS[],4,FALSE))
)
/5,0)*5</f>
        <v>96215</v>
      </c>
      <c r="R56" s="66" cm="1">
        <f t="array" ref="R56">ROUND(
IF($A$2="COSTO",
   ((B56*(1+IFERROR(VLOOKUP($D$2,COLORES[],2,FALSE),0)))+(F56+I56+F56))
   *(1-IFERROR(_xlfn.XLOOKUP(1,(DESC_PROV[LINEA]=$B$2)*(DESC_PROV[LISTA]=$C$2),DESC_PROV[DESCUENTO]),0)),
   ((B56*(1+IFERROR(VLOOKUP($D$2,COLORES[],2,FALSE),0)))+(F56+I56+F56))
   *(1-IFERROR(_xlfn.XLOOKUP(1,(DESC_PROV[LINEA]=$B$2)*(DESC_PROV[LISTA]=$C$2),DESC_PROV[DESCUENTO]),0))
   *(1+VLOOKUP($C$2,LISTAS[],2,FALSE))
   *(1+VLOOKUP($C$2,LISTAS[],3,FALSE))
)
/5,0)*5</f>
        <v>700750</v>
      </c>
    </row>
    <row r="57" spans="1:18">
      <c r="A57" s="107" t="s">
        <v>87</v>
      </c>
      <c r="B57" s="64">
        <v>275019</v>
      </c>
      <c r="C57" s="64">
        <v>30730</v>
      </c>
      <c r="D57" s="64">
        <v>64700</v>
      </c>
      <c r="E57" s="64">
        <v>62512</v>
      </c>
      <c r="F57" s="64">
        <v>71936</v>
      </c>
      <c r="G57" s="64">
        <v>94726</v>
      </c>
      <c r="H57" s="64">
        <v>296540</v>
      </c>
      <c r="I57" s="64">
        <v>159951</v>
      </c>
      <c r="J57" s="2"/>
      <c r="K57" s="107" t="s">
        <v>87</v>
      </c>
      <c r="L57" s="65" cm="1">
        <f t="array" ref="L57">ROUND(
IF($A$2="COSTO",
   ((B57*(1+IFERROR(VLOOKUP($D$2,COLORES[],2,FALSE),0)))+E57)
   *(1-IFERROR(_xlfn.XLOOKUP(1,(DESC_PROV[LINEA]=$B$2)*(DESC_PROV[LISTA]=$C$2),DESC_PROV[DESCUENTO]),0)),
   ((B57*(1+IFERROR(VLOOKUP($D$2,COLORES[],2,FALSE),0)))+E57)
   *(1-IFERROR(_xlfn.XLOOKUP(1,(DESC_PROV[LINEA]=$B$2)*(DESC_PROV[LISTA]=$C$2),DESC_PROV[DESCUENTO]),0))
   *(1+VLOOKUP($C$2,LISTAS[],2,FALSE))
   *(1+VLOOKUP($C$2,LISTAS[],3,FALSE))
)
/5,0)*5</f>
        <v>432560</v>
      </c>
      <c r="M57" s="65" cm="1">
        <f t="array" ref="M57">ROUND(
IF($A$2="COSTO",
   ((B57*(1+IFERROR(VLOOKUP($D$2,COLORES[],2,FALSE),0)))+F57)
   *(1-IFERROR(_xlfn.XLOOKUP(1,(DESC_PROV[LINEA]=$B$2)*(DESC_PROV[LISTA]=$C$2),DESC_PROV[DESCUENTO]),0)),
   ((B57*(1+IFERROR(VLOOKUP($D$2,COLORES[],2,FALSE),0)))+F57)
   *(1-IFERROR(_xlfn.XLOOKUP(1,(DESC_PROV[LINEA]=$B$2)*(DESC_PROV[LISTA]=$C$2),DESC_PROV[DESCUENTO]),0))
   *(1+VLOOKUP($C$2,LISTAS[],2,FALSE))
   *(1+VLOOKUP($C$2,LISTAS[],3,FALSE))
)
/5,0)*5</f>
        <v>444635</v>
      </c>
      <c r="N57" s="65" cm="1">
        <f t="array" ref="N57">ROUND(
IF($A$2="COSTO",
   ((B57*(1+IFERROR(VLOOKUP($D$2,COLORES[],2,FALSE),0)))+G57)
   *(1-IFERROR(_xlfn.XLOOKUP(1,(DESC_PROV[LINEA]=$B$2)*(DESC_PROV[LISTA]=$C$2),DESC_PROV[DESCUENTO]),0)),
   ((B57*(1+IFERROR(VLOOKUP($D$2,COLORES[],2,FALSE),0)))+G57)
   *(1-IFERROR(_xlfn.XLOOKUP(1,(DESC_PROV[LINEA]=$B$2)*(DESC_PROV[LISTA]=$C$2),DESC_PROV[DESCUENTO]),0))
   *(1+VLOOKUP($C$2,LISTAS[],2,FALSE))
   *(1+VLOOKUP($C$2,LISTAS[],3,FALSE))
)
/5,0)*5</f>
        <v>473845</v>
      </c>
      <c r="O57" s="65" cm="1">
        <f t="array" ref="O57">ROUND(
IF($A$2="COSTO",
   ((B57*(1+IFERROR(VLOOKUP($D$2,COLORES[],2,FALSE),0)))+H57)
   *(1-IFERROR(_xlfn.XLOOKUP(1,(DESC_PROV[LINEA]=$B$2)*(DESC_PROV[LISTA]=$C$2),DESC_PROV[DESCUENTO]),0)),
   ((B57*(1+IFERROR(VLOOKUP($D$2,COLORES[],2,FALSE),0)))+H57)
   *(1-IFERROR(_xlfn.XLOOKUP(1,(DESC_PROV[LINEA]=$B$2)*(DESC_PROV[LISTA]=$C$2),DESC_PROV[DESCUENTO]),0))
   *(1+VLOOKUP($C$2,LISTAS[],2,FALSE))
   *(1+VLOOKUP($C$2,LISTAS[],3,FALSE))
)
/5,0)*5</f>
        <v>732475</v>
      </c>
      <c r="P57" s="65" cm="1">
        <f t="array" ref="P57">ROUND(
IF($A$2="COSTO",
   (C57*(1+IFERROR(VLOOKUP($D$2,COLORES[],2,FALSE),0)))
   *(1-IFERROR(_xlfn.XLOOKUP(1,(DESC_PROV[LINEA]=$B$2)*(DESC_PROV[LISTA]=$C$2),DESC_PROV[DESCUENTO]),0)),
   (C57*(1+IFERROR(VLOOKUP($D$2,COLORES[],2,FALSE),0)))
   *(1-IFERROR(_xlfn.XLOOKUP(1,(DESC_PROV[LINEA]=$B$2)*(DESC_PROV[LISTA]=$C$2),DESC_PROV[DESCUENTO]),0))
   *(1+VLOOKUP($C$2,LISTAS[],2,FALSE))
   *(1+VLOOKUP($C$2,LISTAS[],3,FALSE))
)
/5,0)*5</f>
        <v>39380</v>
      </c>
      <c r="Q57" s="65" cm="1">
        <f t="array" ref="Q57">ROUND(
IF($A$2="COSTO",
   (D57*(1+IFERROR(VLOOKUP($D$2,COLORES[],2,FALSE),0)))
   *(1-IFERROR(_xlfn.XLOOKUP(1,(DESC_PROV[LINEA]=$B$2)*(DESC_PROV[LISTA]=$C$2),DESC_PROV[DESCUENTO]),0)),
   (D57*(1+IFERROR(VLOOKUP($D$2,COLORES[],2,FALSE),0)))
   *(1-IFERROR(_xlfn.XLOOKUP(1,(DESC_PROV[LINEA]=$B$2)*(DESC_PROV[LISTA]=$C$2),DESC_PROV[DESCUENTO]),0))
   *(1+VLOOKUP($C$2,LISTAS[],2,FALSE))
   *(1+VLOOKUP($C$2,LISTAS[],4,FALSE))
)
/5,0)*5</f>
        <v>102050</v>
      </c>
      <c r="R57" s="66" cm="1">
        <f t="array" ref="R57">ROUND(
IF($A$2="COSTO",
   ((B57*(1+IFERROR(VLOOKUP($D$2,COLORES[],2,FALSE),0)))+(F57+I57+F57))
   *(1-IFERROR(_xlfn.XLOOKUP(1,(DESC_PROV[LINEA]=$B$2)*(DESC_PROV[LISTA]=$C$2),DESC_PROV[DESCUENTO]),0)),
   ((B57*(1+IFERROR(VLOOKUP($D$2,COLORES[],2,FALSE),0)))+(F57+I57+F57))
   *(1-IFERROR(_xlfn.XLOOKUP(1,(DESC_PROV[LINEA]=$B$2)*(DESC_PROV[LISTA]=$C$2),DESC_PROV[DESCUENTO]),0))
   *(1+VLOOKUP($C$2,LISTAS[],2,FALSE))
   *(1+VLOOKUP($C$2,LISTAS[],3,FALSE))
)
/5,0)*5</f>
        <v>741810</v>
      </c>
    </row>
    <row r="58" spans="1:18">
      <c r="A58" s="107" t="s">
        <v>88</v>
      </c>
      <c r="B58" s="64">
        <v>292225</v>
      </c>
      <c r="C58" s="64">
        <v>30730</v>
      </c>
      <c r="D58" s="64">
        <v>68400</v>
      </c>
      <c r="E58" s="64">
        <v>68465</v>
      </c>
      <c r="F58" s="64">
        <v>78787</v>
      </c>
      <c r="G58" s="64">
        <v>103745</v>
      </c>
      <c r="H58" s="64">
        <v>324786</v>
      </c>
      <c r="I58" s="64">
        <v>165110</v>
      </c>
      <c r="J58" s="2"/>
      <c r="K58" s="107" t="s">
        <v>88</v>
      </c>
      <c r="L58" s="65" cm="1">
        <f t="array" ref="L58">ROUND(
IF($A$2="COSTO",
   ((B58*(1+IFERROR(VLOOKUP($D$2,COLORES[],2,FALSE),0)))+E58)
   *(1-IFERROR(_xlfn.XLOOKUP(1,(DESC_PROV[LINEA]=$B$2)*(DESC_PROV[LISTA]=$C$2),DESC_PROV[DESCUENTO]),0)),
   ((B58*(1+IFERROR(VLOOKUP($D$2,COLORES[],2,FALSE),0)))+E58)
   *(1-IFERROR(_xlfn.XLOOKUP(1,(DESC_PROV[LINEA]=$B$2)*(DESC_PROV[LISTA]=$C$2),DESC_PROV[DESCUENTO]),0))
   *(1+VLOOKUP($C$2,LISTAS[],2,FALSE))
   *(1+VLOOKUP($C$2,LISTAS[],3,FALSE))
)
/5,0)*5</f>
        <v>462240</v>
      </c>
      <c r="M58" s="65" cm="1">
        <f t="array" ref="M58">ROUND(
IF($A$2="COSTO",
   ((B58*(1+IFERROR(VLOOKUP($D$2,COLORES[],2,FALSE),0)))+F58)
   *(1-IFERROR(_xlfn.XLOOKUP(1,(DESC_PROV[LINEA]=$B$2)*(DESC_PROV[LISTA]=$C$2),DESC_PROV[DESCUENTO]),0)),
   ((B58*(1+IFERROR(VLOOKUP($D$2,COLORES[],2,FALSE),0)))+F58)
   *(1-IFERROR(_xlfn.XLOOKUP(1,(DESC_PROV[LINEA]=$B$2)*(DESC_PROV[LISTA]=$C$2),DESC_PROV[DESCUENTO]),0))
   *(1+VLOOKUP($C$2,LISTAS[],2,FALSE))
   *(1+VLOOKUP($C$2,LISTAS[],3,FALSE))
)
/5,0)*5</f>
        <v>475465</v>
      </c>
      <c r="N58" s="65" cm="1">
        <f t="array" ref="N58">ROUND(
IF($A$2="COSTO",
   ((B58*(1+IFERROR(VLOOKUP($D$2,COLORES[],2,FALSE),0)))+G58)
   *(1-IFERROR(_xlfn.XLOOKUP(1,(DESC_PROV[LINEA]=$B$2)*(DESC_PROV[LISTA]=$C$2),DESC_PROV[DESCUENTO]),0)),
   ((B58*(1+IFERROR(VLOOKUP($D$2,COLORES[],2,FALSE),0)))+G58)
   *(1-IFERROR(_xlfn.XLOOKUP(1,(DESC_PROV[LINEA]=$B$2)*(DESC_PROV[LISTA]=$C$2),DESC_PROV[DESCUENTO]),0))
   *(1+VLOOKUP($C$2,LISTAS[],2,FALSE))
   *(1+VLOOKUP($C$2,LISTAS[],3,FALSE))
)
/5,0)*5</f>
        <v>507450</v>
      </c>
      <c r="O58" s="65" cm="1">
        <f t="array" ref="O58">ROUND(
IF($A$2="COSTO",
   ((B58*(1+IFERROR(VLOOKUP($D$2,COLORES[],2,FALSE),0)))+H58)
   *(1-IFERROR(_xlfn.XLOOKUP(1,(DESC_PROV[LINEA]=$B$2)*(DESC_PROV[LISTA]=$C$2),DESC_PROV[DESCUENTO]),0)),
   ((B58*(1+IFERROR(VLOOKUP($D$2,COLORES[],2,FALSE),0)))+H58)
   *(1-IFERROR(_xlfn.XLOOKUP(1,(DESC_PROV[LINEA]=$B$2)*(DESC_PROV[LISTA]=$C$2),DESC_PROV[DESCUENTO]),0))
   *(1+VLOOKUP($C$2,LISTAS[],2,FALSE))
   *(1+VLOOKUP($C$2,LISTAS[],3,FALSE))
)
/5,0)*5</f>
        <v>790725</v>
      </c>
      <c r="P58" s="65" cm="1">
        <f t="array" ref="P58">ROUND(
IF($A$2="COSTO",
   (C58*(1+IFERROR(VLOOKUP($D$2,COLORES[],2,FALSE),0)))
   *(1-IFERROR(_xlfn.XLOOKUP(1,(DESC_PROV[LINEA]=$B$2)*(DESC_PROV[LISTA]=$C$2),DESC_PROV[DESCUENTO]),0)),
   (C58*(1+IFERROR(VLOOKUP($D$2,COLORES[],2,FALSE),0)))
   *(1-IFERROR(_xlfn.XLOOKUP(1,(DESC_PROV[LINEA]=$B$2)*(DESC_PROV[LISTA]=$C$2),DESC_PROV[DESCUENTO]),0))
   *(1+VLOOKUP($C$2,LISTAS[],2,FALSE))
   *(1+VLOOKUP($C$2,LISTAS[],3,FALSE))
)
/5,0)*5</f>
        <v>39380</v>
      </c>
      <c r="Q58" s="65" cm="1">
        <f t="array" ref="Q58">ROUND(
IF($A$2="COSTO",
   (D58*(1+IFERROR(VLOOKUP($D$2,COLORES[],2,FALSE),0)))
   *(1-IFERROR(_xlfn.XLOOKUP(1,(DESC_PROV[LINEA]=$B$2)*(DESC_PROV[LISTA]=$C$2),DESC_PROV[DESCUENTO]),0)),
   (D58*(1+IFERROR(VLOOKUP($D$2,COLORES[],2,FALSE),0)))
   *(1-IFERROR(_xlfn.XLOOKUP(1,(DESC_PROV[LINEA]=$B$2)*(DESC_PROV[LISTA]=$C$2),DESC_PROV[DESCUENTO]),0))
   *(1+VLOOKUP($C$2,LISTAS[],2,FALSE))
   *(1+VLOOKUP($C$2,LISTAS[],4,FALSE))
)
/5,0)*5</f>
        <v>107885</v>
      </c>
      <c r="R58" s="66" cm="1">
        <f t="array" ref="R58">ROUND(
IF($A$2="COSTO",
   ((B58*(1+IFERROR(VLOOKUP($D$2,COLORES[],2,FALSE),0)))+(F58+I58+F58))
   *(1-IFERROR(_xlfn.XLOOKUP(1,(DESC_PROV[LINEA]=$B$2)*(DESC_PROV[LISTA]=$C$2),DESC_PROV[DESCUENTO]),0)),
   ((B58*(1+IFERROR(VLOOKUP($D$2,COLORES[],2,FALSE),0)))+(F58+I58+F58))
   *(1-IFERROR(_xlfn.XLOOKUP(1,(DESC_PROV[LINEA]=$B$2)*(DESC_PROV[LISTA]=$C$2),DESC_PROV[DESCUENTO]),0))
   *(1+VLOOKUP($C$2,LISTAS[],2,FALSE))
   *(1+VLOOKUP($C$2,LISTAS[],3,FALSE))
)
/5,0)*5</f>
        <v>788030</v>
      </c>
    </row>
    <row r="59" spans="1:18" ht="14.65" thickBot="1">
      <c r="A59" s="108" t="s">
        <v>115</v>
      </c>
      <c r="B59" s="65">
        <f>B58*(1+5%)</f>
        <v>306836.25</v>
      </c>
      <c r="C59" s="65">
        <f t="shared" ref="C59:I59" si="0">C58*(1+5%)</f>
        <v>32266.5</v>
      </c>
      <c r="D59" s="65">
        <f t="shared" si="0"/>
        <v>71820</v>
      </c>
      <c r="E59" s="65">
        <f t="shared" si="0"/>
        <v>71888.25</v>
      </c>
      <c r="F59" s="65">
        <f t="shared" si="0"/>
        <v>82726.350000000006</v>
      </c>
      <c r="G59" s="65">
        <f t="shared" si="0"/>
        <v>108932.25</v>
      </c>
      <c r="H59" s="65">
        <f t="shared" si="0"/>
        <v>341025.3</v>
      </c>
      <c r="I59" s="65">
        <f t="shared" si="0"/>
        <v>173365.5</v>
      </c>
      <c r="J59" s="2"/>
      <c r="K59" s="108" t="s">
        <v>115</v>
      </c>
      <c r="L59" s="65" cm="1">
        <f t="array" ref="L59">ROUND(
IF($A$2="COSTO",
   ((B59*(1+IFERROR(VLOOKUP($D$2,COLORES[],2,FALSE),0)))+E59)
   *(1-IFERROR(_xlfn.XLOOKUP(1,(DESC_PROV[LINEA]=$B$2)*(DESC_PROV[LISTA]=$C$2),DESC_PROV[DESCUENTO]),0)),
   ((B59*(1+IFERROR(VLOOKUP($D$2,COLORES[],2,FALSE),0)))+E59)
   *(1-IFERROR(_xlfn.XLOOKUP(1,(DESC_PROV[LINEA]=$B$2)*(DESC_PROV[LISTA]=$C$2),DESC_PROV[DESCUENTO]),0))
   *(1+VLOOKUP($C$2,LISTAS[],2,FALSE))
   *(1+VLOOKUP($C$2,LISTAS[],3,FALSE))
)
/5,0)*5</f>
        <v>485350</v>
      </c>
      <c r="M59" s="65" cm="1">
        <f t="array" ref="M59">ROUND(
IF($A$2="COSTO",
   ((B59*(1+IFERROR(VLOOKUP($D$2,COLORES[],2,FALSE),0)))+F59)
   *(1-IFERROR(_xlfn.XLOOKUP(1,(DESC_PROV[LINEA]=$B$2)*(DESC_PROV[LISTA]=$C$2),DESC_PROV[DESCUENTO]),0)),
   ((B59*(1+IFERROR(VLOOKUP($D$2,COLORES[],2,FALSE),0)))+F59)
   *(1-IFERROR(_xlfn.XLOOKUP(1,(DESC_PROV[LINEA]=$B$2)*(DESC_PROV[LISTA]=$C$2),DESC_PROV[DESCUENTO]),0))
   *(1+VLOOKUP($C$2,LISTAS[],2,FALSE))
   *(1+VLOOKUP($C$2,LISTAS[],3,FALSE))
)
/5,0)*5</f>
        <v>499240</v>
      </c>
      <c r="N59" s="65" cm="1">
        <f t="array" ref="N59">ROUND(
IF($A$2="COSTO",
   ((B59*(1+IFERROR(VLOOKUP($D$2,COLORES[],2,FALSE),0)))+G59)
   *(1-IFERROR(_xlfn.XLOOKUP(1,(DESC_PROV[LINEA]=$B$2)*(DESC_PROV[LISTA]=$C$2),DESC_PROV[DESCUENTO]),0)),
   ((B59*(1+IFERROR(VLOOKUP($D$2,COLORES[],2,FALSE),0)))+G59)
   *(1-IFERROR(_xlfn.XLOOKUP(1,(DESC_PROV[LINEA]=$B$2)*(DESC_PROV[LISTA]=$C$2),DESC_PROV[DESCUENTO]),0))
   *(1+VLOOKUP($C$2,LISTAS[],2,FALSE))
   *(1+VLOOKUP($C$2,LISTAS[],3,FALSE))
)
/5,0)*5</f>
        <v>532825</v>
      </c>
      <c r="O59" s="65" cm="1">
        <f t="array" ref="O59">ROUND(
IF($A$2="COSTO",
   ((B59*(1+IFERROR(VLOOKUP($D$2,COLORES[],2,FALSE),0)))+H59)
   *(1-IFERROR(_xlfn.XLOOKUP(1,(DESC_PROV[LINEA]=$B$2)*(DESC_PROV[LISTA]=$C$2),DESC_PROV[DESCUENTO]),0)),
   ((B59*(1+IFERROR(VLOOKUP($D$2,COLORES[],2,FALSE),0)))+H59)
   *(1-IFERROR(_xlfn.XLOOKUP(1,(DESC_PROV[LINEA]=$B$2)*(DESC_PROV[LISTA]=$C$2),DESC_PROV[DESCUENTO]),0))
   *(1+VLOOKUP($C$2,LISTAS[],2,FALSE))
   *(1+VLOOKUP($C$2,LISTAS[],3,FALSE))
)
/5,0)*5</f>
        <v>830260</v>
      </c>
      <c r="P59" s="65" cm="1">
        <f t="array" ref="P59">ROUND(
IF($A$2="COSTO",
   (C59*(1+IFERROR(VLOOKUP($D$2,COLORES[],2,FALSE),0)))
   *(1-IFERROR(_xlfn.XLOOKUP(1,(DESC_PROV[LINEA]=$B$2)*(DESC_PROV[LISTA]=$C$2),DESC_PROV[DESCUENTO]),0)),
   (C59*(1+IFERROR(VLOOKUP($D$2,COLORES[],2,FALSE),0)))
   *(1-IFERROR(_xlfn.XLOOKUP(1,(DESC_PROV[LINEA]=$B$2)*(DESC_PROV[LISTA]=$C$2),DESC_PROV[DESCUENTO]),0))
   *(1+VLOOKUP($C$2,LISTAS[],2,FALSE))
   *(1+VLOOKUP($C$2,LISTAS[],3,FALSE))
)
/5,0)*5</f>
        <v>41350</v>
      </c>
      <c r="Q59" s="65" cm="1">
        <f t="array" ref="Q59">ROUND(
IF($A$2="COSTO",
   (D59*(1+IFERROR(VLOOKUP($D$2,COLORES[],2,FALSE),0)))
   *(1-IFERROR(_xlfn.XLOOKUP(1,(DESC_PROV[LINEA]=$B$2)*(DESC_PROV[LISTA]=$C$2),DESC_PROV[DESCUENTO]),0)),
   (D59*(1+IFERROR(VLOOKUP($D$2,COLORES[],2,FALSE),0)))
   *(1-IFERROR(_xlfn.XLOOKUP(1,(DESC_PROV[LINEA]=$B$2)*(DESC_PROV[LISTA]=$C$2),DESC_PROV[DESCUENTO]),0))
   *(1+VLOOKUP($C$2,LISTAS[],2,FALSE))
   *(1+VLOOKUP($C$2,LISTAS[],4,FALSE))
)
/5,0)*5</f>
        <v>113280</v>
      </c>
      <c r="R59" s="66" cm="1">
        <f t="array" ref="R59">ROUND(
IF($A$2="COSTO",
   ((B59*(1+IFERROR(VLOOKUP($D$2,COLORES[],2,FALSE),0)))+(F59+I59+F59))
   *(1-IFERROR(_xlfn.XLOOKUP(1,(DESC_PROV[LINEA]=$B$2)*(DESC_PROV[LISTA]=$C$2),DESC_PROV[DESCUENTO]),0)),
   ((B59*(1+IFERROR(VLOOKUP($D$2,COLORES[],2,FALSE),0)))+(F59+I59+F59))
   *(1-IFERROR(_xlfn.XLOOKUP(1,(DESC_PROV[LINEA]=$B$2)*(DESC_PROV[LISTA]=$C$2),DESC_PROV[DESCUENTO]),0))
   *(1+VLOOKUP($C$2,LISTAS[],2,FALSE))
   *(1+VLOOKUP($C$2,LISTAS[],3,FALSE))
)
/5,0)*5</f>
        <v>827430</v>
      </c>
    </row>
  </sheetData>
  <mergeCells count="2">
    <mergeCell ref="A4:I4"/>
    <mergeCell ref="K4:R4"/>
  </mergeCells>
  <pageMargins left="0.7" right="0.7" top="0.75" bottom="0.75" header="0.3" footer="0.3"/>
  <pageSetup scale="5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66F2-8631-4BF6-9363-2E85F819FC33}">
  <sheetPr codeName="Hoja9">
    <tabColor rgb="FFFF0000"/>
  </sheetPr>
  <dimension ref="A1:R75"/>
  <sheetViews>
    <sheetView zoomScale="55" zoomScaleNormal="55" workbookViewId="0">
      <selection sqref="A1:D2"/>
    </sheetView>
  </sheetViews>
  <sheetFormatPr baseColWidth="10" defaultRowHeight="14.25"/>
  <cols>
    <col min="1" max="2" width="11" customWidth="1"/>
    <col min="3" max="3" width="10.265625" customWidth="1"/>
    <col min="4" max="5" width="8.73046875"/>
    <col min="6" max="6" width="13.86328125" customWidth="1"/>
    <col min="7" max="7" width="12" customWidth="1"/>
    <col min="8" max="8" width="10.1328125" customWidth="1"/>
    <col min="9" max="9" width="13.1328125" customWidth="1"/>
    <col min="10" max="10" width="8.73046875"/>
    <col min="11" max="11" width="11" customWidth="1"/>
    <col min="12" max="12" width="10.265625" customWidth="1"/>
    <col min="13" max="14" width="8.73046875"/>
    <col min="15" max="15" width="13.86328125" customWidth="1"/>
    <col min="16" max="16" width="12" customWidth="1"/>
    <col min="17" max="17" width="10.1328125" customWidth="1"/>
    <col min="18" max="18" width="13.1328125" customWidth="1"/>
  </cols>
  <sheetData>
    <row r="1" spans="1:18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8" ht="14.65" thickBot="1">
      <c r="A2" s="210" t="str">
        <f>CONTROL!B4</f>
        <v>VENTA</v>
      </c>
      <c r="B2" s="252" t="s">
        <v>400</v>
      </c>
      <c r="C2" s="252" t="str">
        <f>CONTROL!C4</f>
        <v>AMARILLA</v>
      </c>
      <c r="D2" s="253" t="str">
        <f>CONTROL!D4</f>
        <v>BLANCO</v>
      </c>
    </row>
    <row r="4" spans="1:18" ht="14.65" thickBot="1"/>
    <row r="5" spans="1:18" ht="25.9" thickBot="1">
      <c r="A5" s="302" t="s">
        <v>257</v>
      </c>
      <c r="B5" s="303"/>
      <c r="C5" s="303"/>
      <c r="D5" s="303"/>
      <c r="E5" s="303"/>
      <c r="F5" s="303"/>
      <c r="G5" s="303"/>
      <c r="H5" s="303"/>
      <c r="I5" s="304"/>
      <c r="J5" s="124"/>
      <c r="K5" s="302" t="s">
        <v>257</v>
      </c>
      <c r="L5" s="303"/>
      <c r="M5" s="303"/>
      <c r="N5" s="303"/>
      <c r="O5" s="303"/>
      <c r="P5" s="303"/>
      <c r="Q5" s="303"/>
      <c r="R5" s="304"/>
    </row>
    <row r="6" spans="1:18" ht="16.899999999999999">
      <c r="A6" s="130" t="s">
        <v>4</v>
      </c>
      <c r="B6" s="131" t="s">
        <v>196</v>
      </c>
      <c r="C6" s="131" t="s">
        <v>258</v>
      </c>
      <c r="D6" s="131" t="s">
        <v>123</v>
      </c>
      <c r="E6" s="131" t="s">
        <v>199</v>
      </c>
      <c r="F6" s="131" t="s">
        <v>125</v>
      </c>
      <c r="G6" s="131" t="s">
        <v>126</v>
      </c>
      <c r="H6" s="131" t="s">
        <v>259</v>
      </c>
      <c r="I6" s="132" t="s">
        <v>253</v>
      </c>
      <c r="J6" s="124"/>
      <c r="K6" s="130" t="s">
        <v>4</v>
      </c>
      <c r="L6" s="131" t="s">
        <v>258</v>
      </c>
      <c r="M6" s="131" t="s">
        <v>123</v>
      </c>
      <c r="N6" s="131" t="s">
        <v>199</v>
      </c>
      <c r="O6" s="131" t="s">
        <v>125</v>
      </c>
      <c r="P6" s="131" t="s">
        <v>126</v>
      </c>
      <c r="Q6" s="131" t="s">
        <v>259</v>
      </c>
      <c r="R6" s="132" t="s">
        <v>253</v>
      </c>
    </row>
    <row r="7" spans="1:18">
      <c r="A7" s="133" t="s">
        <v>128</v>
      </c>
      <c r="B7" s="125">
        <v>91406</v>
      </c>
      <c r="C7" s="125">
        <v>2308</v>
      </c>
      <c r="D7" s="125">
        <v>2796</v>
      </c>
      <c r="E7" s="125">
        <v>3683</v>
      </c>
      <c r="F7" s="125">
        <v>7973</v>
      </c>
      <c r="G7" s="125">
        <v>3077</v>
      </c>
      <c r="H7" s="125">
        <v>11924</v>
      </c>
      <c r="I7" s="125">
        <v>23385</v>
      </c>
      <c r="J7" s="124"/>
      <c r="K7" s="133" t="s">
        <v>128</v>
      </c>
      <c r="L7" s="125" cm="1">
        <f t="array" ref="L7">IFERROR(
ROUND(
IF($A$2="COSTO",
   ((B7*(1+IFERROR(VLOOKUP($D$2,COLORES[],2,FALSE),0)))+C7)
   *(1-IFERROR(_xlfn.XLOOKUP(1,(DESC_PROV[LINEA]=$B$2)*(DESC_PROV[LISTA]=$C$2),DESC_PROV[DESCUENTO]),0)),
   ((B7*(1+IFERROR(VLOOKUP($D$2,COLORES[],2,FALSE),0)))+C7)
   *(1-IFERROR(_xlfn.XLOOKUP(1,(DESC_PROV[LINEA]=$B$2)*(DESC_PROV[LISTA]=$C$2),DESC_PROV[DESCUENTO]),0))
   *(1+VLOOKUP($C$2,LISTAS[],2,FALSE))
   *(1+VLOOKUP($C$2,LISTAS[],3,FALSE))
)
/5,0)*5,0)</f>
        <v>120100</v>
      </c>
      <c r="M7" s="125" cm="1">
        <f t="array" ref="M7">IFERROR(
ROUND(
IF($A$2="COSTO",
   ((B7*(1+IFERROR(VLOOKUP($D$2,COLORES[],2,FALSE),0)))+D7)
   *(1-IFERROR(_xlfn.XLOOKUP(1,(DESC_PROV[LINEA]=$B$2)*(DESC_PROV[LISTA]=$C$2),DESC_PROV[DESCUENTO]),0)),
   ((B7*(1+IFERROR(VLOOKUP($D$2,COLORES[],2,FALSE),0)))+D7)
   *(1-IFERROR(_xlfn.XLOOKUP(1,(DESC_PROV[LINEA]=$B$2)*(DESC_PROV[LISTA]=$C$2),DESC_PROV[DESCUENTO]),0))
   *(1+VLOOKUP($C$2,LISTAS[],2,FALSE))
   *(1+VLOOKUP($C$2,LISTAS[],3,FALSE))
)
/5,0)*5,0)</f>
        <v>120725</v>
      </c>
      <c r="N7" s="125" cm="1">
        <f t="array" ref="N7">IFERROR(
ROUND(
IF($A$2="COSTO",
   ((B7*(1+IFERROR(VLOOKUP($D$2,COLORES[],2,FALSE),0)))+E7)
   *(1-IFERROR(_xlfn.XLOOKUP(1,(DESC_PROV[LINEA]=$B$2)*(DESC_PROV[LISTA]=$C$2),DESC_PROV[DESCUENTO]),0)),
   ((B7*(1+IFERROR(VLOOKUP($D$2,COLORES[],2,FALSE),0)))+E7)
   *(1-IFERROR(_xlfn.XLOOKUP(1,(DESC_PROV[LINEA]=$B$2)*(DESC_PROV[LISTA]=$C$2),DESC_PROV[DESCUENTO]),0))
   *(1+VLOOKUP($C$2,LISTAS[],2,FALSE))
   *(1+VLOOKUP($C$2,LISTAS[],3,FALSE))
)
/5,0)*5,0)</f>
        <v>121860</v>
      </c>
      <c r="O7" s="125" cm="1">
        <f t="array" ref="O7">IFERROR(
ROUND(
IF($A$2="COSTO",
   ((B7*(1+IFERROR(VLOOKUP($D$2,COLORES[],2,FALSE),0)))+F7)
   *(1-IFERROR(_xlfn.XLOOKUP(1,(DESC_PROV[LINEA]=$B$2)*(DESC_PROV[LISTA]=$C$2),DESC_PROV[DESCUENTO]),0)),
   ((B7*(1+IFERROR(VLOOKUP($D$2,COLORES[],2,FALSE),0)))+F7)
   *(1-IFERROR(_xlfn.XLOOKUP(1,(DESC_PROV[LINEA]=$B$2)*(DESC_PROV[LISTA]=$C$2),DESC_PROV[DESCUENTO]),0))
   *(1+VLOOKUP($C$2,LISTAS[],2,FALSE))
   *(1+VLOOKUP($C$2,LISTAS[],3,FALSE))
)
/5,0)*5,0)</f>
        <v>127360</v>
      </c>
      <c r="P7" s="125" cm="1">
        <f t="array" ref="P7">IFERROR(
ROUND(
IF($A$2="COSTO",
   ((B7*(1+IFERROR(VLOOKUP($D$2,COLORES[],2,FALSE),0)))+G7)
   *(1-IFERROR(_xlfn.XLOOKUP(1,(DESC_PROV[LINEA]=$B$2)*(DESC_PROV[LISTA]=$C$2),DESC_PROV[DESCUENTO]),0)),
   ((B7*(1+IFERROR(VLOOKUP($D$2,COLORES[],2,FALSE),0)))+G7)
   *(1-IFERROR(_xlfn.XLOOKUP(1,(DESC_PROV[LINEA]=$B$2)*(DESC_PROV[LISTA]=$C$2),DESC_PROV[DESCUENTO]),0))
   *(1+VLOOKUP($C$2,LISTAS[],2,FALSE))
   *(1+VLOOKUP($C$2,LISTAS[],3,FALSE))
)
/5,0)*5,0)</f>
        <v>121085</v>
      </c>
      <c r="Q7" s="125" cm="1">
        <f t="array" ref="Q7">IFERROR(
ROUND(
IF($A$2="COSTO",
   ((B7*(1+IFERROR(VLOOKUP($D$2,COLORES[],2,FALSE),0)))+H7)
   *(1-IFERROR(_xlfn.XLOOKUP(1,(DESC_PROV[LINEA]=$B$2)*(DESC_PROV[LISTA]=$C$2),DESC_PROV[DESCUENTO]),0)),
   ((B7*(1+IFERROR(VLOOKUP($D$2,COLORES[],2,FALSE),0)))+H7)
   *(1-IFERROR(_xlfn.XLOOKUP(1,(DESC_PROV[LINEA]=$B$2)*(DESC_PROV[LISTA]=$C$2),DESC_PROV[DESCUENTO]),0))
   *(1+VLOOKUP($C$2,LISTAS[],2,FALSE))
   *(1+VLOOKUP($C$2,LISTAS[],3,FALSE))
)
/5,0)*5,0)</f>
        <v>132420</v>
      </c>
      <c r="R7" s="126" cm="1">
        <f t="array" ref="R7">IFERROR(
ROUND(
IF($A$2="COSTO",
   ((B7*(1+IFERROR(VLOOKUP($D$2,COLORES[],2,FALSE),0)))+(D7+I7+D7))
   *(1-IFERROR(_xlfn.XLOOKUP(1,(DESC_PROV[LINEA]=$B$2)*(DESC_PROV[LISTA]=$C$2),DESC_PROV[DESCUENTO]),0)),
   ((B7*(1+IFERROR(VLOOKUP($D$2,COLORES[],2,FALSE),0)))+(D7+I7+D7))
   *(1-IFERROR(_xlfn.XLOOKUP(1,(DESC_PROV[LINEA]=$B$2)*(DESC_PROV[LISTA]=$C$2),DESC_PROV[DESCUENTO]),0))
   *(1+VLOOKUP($C$2,LISTAS[],2,FALSE))
   *(1+VLOOKUP($C$2,LISTAS[],3,FALSE))
)
/5,0)*5,0)</f>
        <v>154275</v>
      </c>
    </row>
    <row r="8" spans="1:18">
      <c r="A8" s="133" t="s">
        <v>129</v>
      </c>
      <c r="B8" s="125">
        <v>96512</v>
      </c>
      <c r="C8" s="125">
        <v>3077</v>
      </c>
      <c r="D8" s="125">
        <v>3729</v>
      </c>
      <c r="E8" s="125">
        <v>4914</v>
      </c>
      <c r="F8" s="125">
        <v>10634</v>
      </c>
      <c r="G8" s="125">
        <v>4109</v>
      </c>
      <c r="H8" s="125">
        <v>15910</v>
      </c>
      <c r="I8" s="125">
        <v>26308</v>
      </c>
      <c r="J8" s="124"/>
      <c r="K8" s="133" t="s">
        <v>129</v>
      </c>
      <c r="L8" s="125" cm="1">
        <f t="array" ref="L8">IFERROR(
ROUND(
IF($A$2="COSTO",
   ((B8*(1+IFERROR(VLOOKUP($D$2,COLORES[],2,FALSE),0)))+C8)
   *(1-IFERROR(_xlfn.XLOOKUP(1,(DESC_PROV[LINEA]=$B$2)*(DESC_PROV[LISTA]=$C$2),DESC_PROV[DESCUENTO]),0)),
   ((B8*(1+IFERROR(VLOOKUP($D$2,COLORES[],2,FALSE),0)))+C8)
   *(1-IFERROR(_xlfn.XLOOKUP(1,(DESC_PROV[LINEA]=$B$2)*(DESC_PROV[LISTA]=$C$2),DESC_PROV[DESCUENTO]),0))
   *(1+VLOOKUP($C$2,LISTAS[],2,FALSE))
   *(1+VLOOKUP($C$2,LISTAS[],3,FALSE))
)
/5,0)*5,0)</f>
        <v>127625</v>
      </c>
      <c r="M8" s="125" cm="1">
        <f t="array" ref="M8">IFERROR(
ROUND(
IF($A$2="COSTO",
   ((B8*(1+IFERROR(VLOOKUP($D$2,COLORES[],2,FALSE),0)))+D8)
   *(1-IFERROR(_xlfn.XLOOKUP(1,(DESC_PROV[LINEA]=$B$2)*(DESC_PROV[LISTA]=$C$2),DESC_PROV[DESCUENTO]),0)),
   ((B8*(1+IFERROR(VLOOKUP($D$2,COLORES[],2,FALSE),0)))+D8)
   *(1-IFERROR(_xlfn.XLOOKUP(1,(DESC_PROV[LINEA]=$B$2)*(DESC_PROV[LISTA]=$C$2),DESC_PROV[DESCUENTO]),0))
   *(1+VLOOKUP($C$2,LISTAS[],2,FALSE))
   *(1+VLOOKUP($C$2,LISTAS[],3,FALSE))
)
/5,0)*5,0)</f>
        <v>128465</v>
      </c>
      <c r="N8" s="125" cm="1">
        <f t="array" ref="N8">IFERROR(
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/5,0)*5,0)</f>
        <v>129980</v>
      </c>
      <c r="O8" s="125" cm="1">
        <f t="array" ref="O8">IFERROR(
ROUND(
IF($A$2="COSTO",
   ((B8*(1+IFERROR(VLOOKUP($D$2,COLORES[],2,FALSE),0)))+F8)
   *(1-IFERROR(_xlfn.XLOOKUP(1,(DESC_PROV[LINEA]=$B$2)*(DESC_PROV[LISTA]=$C$2),DESC_PROV[DESCUENTO]),0)),
   ((B8*(1+IFERROR(VLOOKUP($D$2,COLORES[],2,FALSE),0)))+F8)
   *(1-IFERROR(_xlfn.XLOOKUP(1,(DESC_PROV[LINEA]=$B$2)*(DESC_PROV[LISTA]=$C$2),DESC_PROV[DESCUENTO]),0))
   *(1+VLOOKUP($C$2,LISTAS[],2,FALSE))
   *(1+VLOOKUP($C$2,LISTAS[],3,FALSE))
)
/5,0)*5,0)</f>
        <v>137310</v>
      </c>
      <c r="P8" s="125" cm="1">
        <f t="array" ref="P8">IFERROR(
ROUND(
IF($A$2="COSTO",
   ((B8*(1+IFERROR(VLOOKUP($D$2,COLORES[],2,FALSE),0)))+G8)
   *(1-IFERROR(_xlfn.XLOOKUP(1,(DESC_PROV[LINEA]=$B$2)*(DESC_PROV[LISTA]=$C$2),DESC_PROV[DESCUENTO]),0)),
   ((B8*(1+IFERROR(VLOOKUP($D$2,COLORES[],2,FALSE),0)))+G8)
   *(1-IFERROR(_xlfn.XLOOKUP(1,(DESC_PROV[LINEA]=$B$2)*(DESC_PROV[LISTA]=$C$2),DESC_PROV[DESCUENTO]),0))
   *(1+VLOOKUP($C$2,LISTAS[],2,FALSE))
   *(1+VLOOKUP($C$2,LISTAS[],3,FALSE))
)
/5,0)*5,0)</f>
        <v>128950</v>
      </c>
      <c r="Q8" s="125" cm="1">
        <f t="array" ref="Q8">IFERROR(
ROUND(
IF($A$2="COSTO",
   ((B8*(1+IFERROR(VLOOKUP($D$2,COLORES[],2,FALSE),0)))+H8)
   *(1-IFERROR(_xlfn.XLOOKUP(1,(DESC_PROV[LINEA]=$B$2)*(DESC_PROV[LISTA]=$C$2),DESC_PROV[DESCUENTO]),0)),
   ((B8*(1+IFERROR(VLOOKUP($D$2,COLORES[],2,FALSE),0)))+H8)
   *(1-IFERROR(_xlfn.XLOOKUP(1,(DESC_PROV[LINEA]=$B$2)*(DESC_PROV[LISTA]=$C$2),DESC_PROV[DESCUENTO]),0))
   *(1+VLOOKUP($C$2,LISTAS[],2,FALSE))
   *(1+VLOOKUP($C$2,LISTAS[],3,FALSE))
)
/5,0)*5,0)</f>
        <v>144075</v>
      </c>
      <c r="R8" s="126" cm="1">
        <f t="array" ref="R8">IFERROR(
ROUND(
IF($A$2="COSTO",
   ((B8*(1+IFERROR(VLOOKUP($D$2,COLORES[],2,FALSE),0)))+(D8+I8+D8))
   *(1-IFERROR(_xlfn.XLOOKUP(1,(DESC_PROV[LINEA]=$B$2)*(DESC_PROV[LISTA]=$C$2),DESC_PROV[DESCUENTO]),0)),
   ((B8*(1+IFERROR(VLOOKUP($D$2,COLORES[],2,FALSE),0)))+(D8+I8+D8))
   *(1-IFERROR(_xlfn.XLOOKUP(1,(DESC_PROV[LINEA]=$B$2)*(DESC_PROV[LISTA]=$C$2),DESC_PROV[DESCUENTO]),0))
   *(1+VLOOKUP($C$2,LISTAS[],2,FALSE))
   *(1+VLOOKUP($C$2,LISTAS[],3,FALSE))
)
/5,0)*5,0)</f>
        <v>166955</v>
      </c>
    </row>
    <row r="9" spans="1:18">
      <c r="A9" s="133" t="s">
        <v>130</v>
      </c>
      <c r="B9" s="125">
        <v>101653</v>
      </c>
      <c r="C9" s="125">
        <v>3846</v>
      </c>
      <c r="D9" s="125">
        <v>4661</v>
      </c>
      <c r="E9" s="125">
        <v>6145</v>
      </c>
      <c r="F9" s="125">
        <v>13294</v>
      </c>
      <c r="G9" s="125">
        <v>5140</v>
      </c>
      <c r="H9" s="125">
        <v>19896</v>
      </c>
      <c r="I9" s="125">
        <v>29232</v>
      </c>
      <c r="J9" s="124"/>
      <c r="K9" s="133" t="s">
        <v>130</v>
      </c>
      <c r="L9" s="125" cm="1">
        <f t="array" ref="L9">IFERROR(
ROUND(
IF($A$2="COSTO",
   ((B9*(1+IFERROR(VLOOKUP($D$2,COLORES[],2,FALSE),0)))+C9)
   *(1-IFERROR(_xlfn.XLOOKUP(1,(DESC_PROV[LINEA]=$B$2)*(DESC_PROV[LISTA]=$C$2),DESC_PROV[DESCUENTO]),0)),
   ((B9*(1+IFERROR(VLOOKUP($D$2,COLORES[],2,FALSE),0)))+C9)
   *(1-IFERROR(_xlfn.XLOOKUP(1,(DESC_PROV[LINEA]=$B$2)*(DESC_PROV[LISTA]=$C$2),DESC_PROV[DESCUENTO]),0))
   *(1+VLOOKUP($C$2,LISTAS[],2,FALSE))
   *(1+VLOOKUP($C$2,LISTAS[],3,FALSE))
)
/5,0)*5,0)</f>
        <v>135200</v>
      </c>
      <c r="M9" s="125" cm="1">
        <f t="array" ref="M9">IFERROR(
ROUND(
IF($A$2="COSTO",
   ((B9*(1+IFERROR(VLOOKUP($D$2,COLORES[],2,FALSE),0)))+D9)
   *(1-IFERROR(_xlfn.XLOOKUP(1,(DESC_PROV[LINEA]=$B$2)*(DESC_PROV[LISTA]=$C$2),DESC_PROV[DESCUENTO]),0)),
   ((B9*(1+IFERROR(VLOOKUP($D$2,COLORES[],2,FALSE),0)))+D9)
   *(1-IFERROR(_xlfn.XLOOKUP(1,(DESC_PROV[LINEA]=$B$2)*(DESC_PROV[LISTA]=$C$2),DESC_PROV[DESCUENTO]),0))
   *(1+VLOOKUP($C$2,LISTAS[],2,FALSE))
   *(1+VLOOKUP($C$2,LISTAS[],3,FALSE))
)
/5,0)*5,0)</f>
        <v>136245</v>
      </c>
      <c r="N9" s="125" cm="1">
        <f t="array" ref="N9">IFERROR(
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/5,0)*5,0)</f>
        <v>138145</v>
      </c>
      <c r="O9" s="125" cm="1">
        <f t="array" ref="O9">IFERROR(
ROUND(
IF($A$2="COSTO",
   ((B9*(1+IFERROR(VLOOKUP($D$2,COLORES[],2,FALSE),0)))+F9)
   *(1-IFERROR(_xlfn.XLOOKUP(1,(DESC_PROV[LINEA]=$B$2)*(DESC_PROV[LISTA]=$C$2),DESC_PROV[DESCUENTO]),0)),
   ((B9*(1+IFERROR(VLOOKUP($D$2,COLORES[],2,FALSE),0)))+F9)
   *(1-IFERROR(_xlfn.XLOOKUP(1,(DESC_PROV[LINEA]=$B$2)*(DESC_PROV[LISTA]=$C$2),DESC_PROV[DESCUENTO]),0))
   *(1+VLOOKUP($C$2,LISTAS[],2,FALSE))
   *(1+VLOOKUP($C$2,LISTAS[],3,FALSE))
)
/5,0)*5,0)</f>
        <v>147310</v>
      </c>
      <c r="P9" s="125" cm="1">
        <f t="array" ref="P9">IFERROR(
ROUND(
IF($A$2="COSTO",
   ((B9*(1+IFERROR(VLOOKUP($D$2,COLORES[],2,FALSE),0)))+G9)
   *(1-IFERROR(_xlfn.XLOOKUP(1,(DESC_PROV[LINEA]=$B$2)*(DESC_PROV[LISTA]=$C$2),DESC_PROV[DESCUENTO]),0)),
   ((B9*(1+IFERROR(VLOOKUP($D$2,COLORES[],2,FALSE),0)))+G9)
   *(1-IFERROR(_xlfn.XLOOKUP(1,(DESC_PROV[LINEA]=$B$2)*(DESC_PROV[LISTA]=$C$2),DESC_PROV[DESCUENTO]),0))
   *(1+VLOOKUP($C$2,LISTAS[],2,FALSE))
   *(1+VLOOKUP($C$2,LISTAS[],3,FALSE))
)
/5,0)*5,0)</f>
        <v>136860</v>
      </c>
      <c r="Q9" s="125" cm="1">
        <f t="array" ref="Q9">IFERROR(
ROUND(
IF($A$2="COSTO",
   ((B9*(1+IFERROR(VLOOKUP($D$2,COLORES[],2,FALSE),0)))+H9)
   *(1-IFERROR(_xlfn.XLOOKUP(1,(DESC_PROV[LINEA]=$B$2)*(DESC_PROV[LISTA]=$C$2),DESC_PROV[DESCUENTO]),0)),
   ((B9*(1+IFERROR(VLOOKUP($D$2,COLORES[],2,FALSE),0)))+H9)
   *(1-IFERROR(_xlfn.XLOOKUP(1,(DESC_PROV[LINEA]=$B$2)*(DESC_PROV[LISTA]=$C$2),DESC_PROV[DESCUENTO]),0))
   *(1+VLOOKUP($C$2,LISTAS[],2,FALSE))
   *(1+VLOOKUP($C$2,LISTAS[],3,FALSE))
)
/5,0)*5,0)</f>
        <v>155770</v>
      </c>
      <c r="R9" s="126" cm="1">
        <f t="array" ref="R9">IFERROR(
ROUND(
IF($A$2="COSTO",
   ((B9*(1+IFERROR(VLOOKUP($D$2,COLORES[],2,FALSE),0)))+(D9+I9+D9))
   *(1-IFERROR(_xlfn.XLOOKUP(1,(DESC_PROV[LINEA]=$B$2)*(DESC_PROV[LISTA]=$C$2),DESC_PROV[DESCUENTO]),0)),
   ((B9*(1+IFERROR(VLOOKUP($D$2,COLORES[],2,FALSE),0)))+(D9+I9+D9))
   *(1-IFERROR(_xlfn.XLOOKUP(1,(DESC_PROV[LINEA]=$B$2)*(DESC_PROV[LISTA]=$C$2),DESC_PROV[DESCUENTO]),0))
   *(1+VLOOKUP($C$2,LISTAS[],2,FALSE))
   *(1+VLOOKUP($C$2,LISTAS[],3,FALSE))
)
/5,0)*5,0)</f>
        <v>179680</v>
      </c>
    </row>
    <row r="10" spans="1:18">
      <c r="A10" s="133" t="s">
        <v>131</v>
      </c>
      <c r="B10" s="125">
        <v>106774</v>
      </c>
      <c r="C10" s="125">
        <v>4616</v>
      </c>
      <c r="D10" s="125">
        <v>5593</v>
      </c>
      <c r="E10" s="125">
        <v>7376</v>
      </c>
      <c r="F10" s="125">
        <v>15955</v>
      </c>
      <c r="G10" s="125">
        <v>6172</v>
      </c>
      <c r="H10" s="125">
        <v>23881</v>
      </c>
      <c r="I10" s="125">
        <v>32155</v>
      </c>
      <c r="J10" s="124"/>
      <c r="K10" s="133" t="s">
        <v>131</v>
      </c>
      <c r="L10" s="125" cm="1">
        <f t="array" ref="L10">IFERROR(
ROUND(
IF($A$2="COSTO",
   ((B10*(1+IFERROR(VLOOKUP($D$2,COLORES[],2,FALSE),0)))+C10)
   *(1-IFERROR(_xlfn.XLOOKUP(1,(DESC_PROV[LINEA]=$B$2)*(DESC_PROV[LISTA]=$C$2),DESC_PROV[DESCUENTO]),0)),
   ((B10*(1+IFERROR(VLOOKUP($D$2,COLORES[],2,FALSE),0)))+C10)
   *(1-IFERROR(_xlfn.XLOOKUP(1,(DESC_PROV[LINEA]=$B$2)*(DESC_PROV[LISTA]=$C$2),DESC_PROV[DESCUENTO]),0))
   *(1+VLOOKUP($C$2,LISTAS[],2,FALSE))
   *(1+VLOOKUP($C$2,LISTAS[],3,FALSE))
)
/5,0)*5,0)</f>
        <v>142750</v>
      </c>
      <c r="M10" s="125" cm="1">
        <f t="array" ref="M10">IFERROR(
ROUND(
IF($A$2="COSTO",
   ((B10*(1+IFERROR(VLOOKUP($D$2,COLORES[],2,FALSE),0)))+D10)
   *(1-IFERROR(_xlfn.XLOOKUP(1,(DESC_PROV[LINEA]=$B$2)*(DESC_PROV[LISTA]=$C$2),DESC_PROV[DESCUENTO]),0)),
   ((B10*(1+IFERROR(VLOOKUP($D$2,COLORES[],2,FALSE),0)))+D10)
   *(1-IFERROR(_xlfn.XLOOKUP(1,(DESC_PROV[LINEA]=$B$2)*(DESC_PROV[LISTA]=$C$2),DESC_PROV[DESCUENTO]),0))
   *(1+VLOOKUP($C$2,LISTAS[],2,FALSE))
   *(1+VLOOKUP($C$2,LISTAS[],3,FALSE))
)
/5,0)*5,0)</f>
        <v>144005</v>
      </c>
      <c r="N10" s="125" cm="1">
        <f t="array" ref="N10">IFERROR(
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/5,0)*5,0)</f>
        <v>146290</v>
      </c>
      <c r="O10" s="125" cm="1">
        <f t="array" ref="O10">IFERROR(
ROUND(
IF($A$2="COSTO",
   ((B10*(1+IFERROR(VLOOKUP($D$2,COLORES[],2,FALSE),0)))+F10)
   *(1-IFERROR(_xlfn.XLOOKUP(1,(DESC_PROV[LINEA]=$B$2)*(DESC_PROV[LISTA]=$C$2),DESC_PROV[DESCUENTO]),0)),
   ((B10*(1+IFERROR(VLOOKUP($D$2,COLORES[],2,FALSE),0)))+F10)
   *(1-IFERROR(_xlfn.XLOOKUP(1,(DESC_PROV[LINEA]=$B$2)*(DESC_PROV[LISTA]=$C$2),DESC_PROV[DESCUENTO]),0))
   *(1+VLOOKUP($C$2,LISTAS[],2,FALSE))
   *(1+VLOOKUP($C$2,LISTAS[],3,FALSE))
)
/5,0)*5,0)</f>
        <v>157280</v>
      </c>
      <c r="P10" s="125" cm="1">
        <f t="array" ref="P10">IFERROR(
ROUND(
IF($A$2="COSTO",
   ((B10*(1+IFERROR(VLOOKUP($D$2,COLORES[],2,FALSE),0)))+G10)
   *(1-IFERROR(_xlfn.XLOOKUP(1,(DESC_PROV[LINEA]=$B$2)*(DESC_PROV[LISTA]=$C$2),DESC_PROV[DESCUENTO]),0)),
   ((B10*(1+IFERROR(VLOOKUP($D$2,COLORES[],2,FALSE),0)))+G10)
   *(1-IFERROR(_xlfn.XLOOKUP(1,(DESC_PROV[LINEA]=$B$2)*(DESC_PROV[LISTA]=$C$2),DESC_PROV[DESCUENTO]),0))
   *(1+VLOOKUP($C$2,LISTAS[],2,FALSE))
   *(1+VLOOKUP($C$2,LISTAS[],3,FALSE))
)
/5,0)*5,0)</f>
        <v>144745</v>
      </c>
      <c r="Q10" s="125" cm="1">
        <f t="array" ref="Q10">IFERROR(
ROUND(
IF($A$2="COSTO",
   ((B10*(1+IFERROR(VLOOKUP($D$2,COLORES[],2,FALSE),0)))+H10)
   *(1-IFERROR(_xlfn.XLOOKUP(1,(DESC_PROV[LINEA]=$B$2)*(DESC_PROV[LISTA]=$C$2),DESC_PROV[DESCUENTO]),0)),
   ((B10*(1+IFERROR(VLOOKUP($D$2,COLORES[],2,FALSE),0)))+H10)
   *(1-IFERROR(_xlfn.XLOOKUP(1,(DESC_PROV[LINEA]=$B$2)*(DESC_PROV[LISTA]=$C$2),DESC_PROV[DESCUENTO]),0))
   *(1+VLOOKUP($C$2,LISTAS[],2,FALSE))
   *(1+VLOOKUP($C$2,LISTAS[],3,FALSE))
)
/5,0)*5,0)</f>
        <v>167440</v>
      </c>
      <c r="R10" s="126" cm="1">
        <f t="array" ref="R10">IFERROR(
ROUND(
IF($A$2="COSTO",
   ((B10*(1+IFERROR(VLOOKUP($D$2,COLORES[],2,FALSE),0)))+(D10+I10+D10))
   *(1-IFERROR(_xlfn.XLOOKUP(1,(DESC_PROV[LINEA]=$B$2)*(DESC_PROV[LISTA]=$C$2),DESC_PROV[DESCUENTO]),0)),
   ((B10*(1+IFERROR(VLOOKUP($D$2,COLORES[],2,FALSE),0)))+(D10+I10+D10))
   *(1-IFERROR(_xlfn.XLOOKUP(1,(DESC_PROV[LINEA]=$B$2)*(DESC_PROV[LISTA]=$C$2),DESC_PROV[DESCUENTO]),0))
   *(1+VLOOKUP($C$2,LISTAS[],2,FALSE))
   *(1+VLOOKUP($C$2,LISTAS[],3,FALSE))
)
/5,0)*5,0)</f>
        <v>192380</v>
      </c>
    </row>
    <row r="11" spans="1:18">
      <c r="A11" s="133" t="s">
        <v>132</v>
      </c>
      <c r="B11" s="125">
        <v>111908</v>
      </c>
      <c r="C11" s="125">
        <v>5385</v>
      </c>
      <c r="D11" s="125">
        <v>6525</v>
      </c>
      <c r="E11" s="125">
        <v>8607</v>
      </c>
      <c r="F11" s="125">
        <v>18616</v>
      </c>
      <c r="G11" s="125">
        <v>7204</v>
      </c>
      <c r="H11" s="125">
        <v>27867</v>
      </c>
      <c r="I11" s="125">
        <v>35078</v>
      </c>
      <c r="J11" s="124"/>
      <c r="K11" s="133" t="s">
        <v>132</v>
      </c>
      <c r="L11" s="125" cm="1">
        <f t="array" ref="L11">IFERROR(
ROUND(
IF($A$2="COSTO",
   ((B11*(1+IFERROR(VLOOKUP($D$2,COLORES[],2,FALSE),0)))+C11)
   *(1-IFERROR(_xlfn.XLOOKUP(1,(DESC_PROV[LINEA]=$B$2)*(DESC_PROV[LISTA]=$C$2),DESC_PROV[DESCUENTO]),0)),
   ((B11*(1+IFERROR(VLOOKUP($D$2,COLORES[],2,FALSE),0)))+C11)
   *(1-IFERROR(_xlfn.XLOOKUP(1,(DESC_PROV[LINEA]=$B$2)*(DESC_PROV[LISTA]=$C$2),DESC_PROV[DESCUENTO]),0))
   *(1+VLOOKUP($C$2,LISTAS[],2,FALSE))
   *(1+VLOOKUP($C$2,LISTAS[],3,FALSE))
)
/5,0)*5,0)</f>
        <v>150315</v>
      </c>
      <c r="M11" s="125" cm="1">
        <f t="array" ref="M11">IFERROR(
ROUND(
IF($A$2="COSTO",
   ((B11*(1+IFERROR(VLOOKUP($D$2,COLORES[],2,FALSE),0)))+D11)
   *(1-IFERROR(_xlfn.XLOOKUP(1,(DESC_PROV[LINEA]=$B$2)*(DESC_PROV[LISTA]=$C$2),DESC_PROV[DESCUENTO]),0)),
   ((B11*(1+IFERROR(VLOOKUP($D$2,COLORES[],2,FALSE),0)))+D11)
   *(1-IFERROR(_xlfn.XLOOKUP(1,(DESC_PROV[LINEA]=$B$2)*(DESC_PROV[LISTA]=$C$2),DESC_PROV[DESCUENTO]),0))
   *(1+VLOOKUP($C$2,LISTAS[],2,FALSE))
   *(1+VLOOKUP($C$2,LISTAS[],3,FALSE))
)
/5,0)*5,0)</f>
        <v>151775</v>
      </c>
      <c r="N11" s="125" cm="1">
        <f t="array" ref="N11">IFERROR(
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/5,0)*5,0)</f>
        <v>154445</v>
      </c>
      <c r="O11" s="125" cm="1">
        <f t="array" ref="O11">IFERROR(
ROUND(
IF($A$2="COSTO",
   ((B11*(1+IFERROR(VLOOKUP($D$2,COLORES[],2,FALSE),0)))+F11)
   *(1-IFERROR(_xlfn.XLOOKUP(1,(DESC_PROV[LINEA]=$B$2)*(DESC_PROV[LISTA]=$C$2),DESC_PROV[DESCUENTO]),0)),
   ((B11*(1+IFERROR(VLOOKUP($D$2,COLORES[],2,FALSE),0)))+F11)
   *(1-IFERROR(_xlfn.XLOOKUP(1,(DESC_PROV[LINEA]=$B$2)*(DESC_PROV[LISTA]=$C$2),DESC_PROV[DESCUENTO]),0))
   *(1+VLOOKUP($C$2,LISTAS[],2,FALSE))
   *(1+VLOOKUP($C$2,LISTAS[],3,FALSE))
)
/5,0)*5,0)</f>
        <v>167270</v>
      </c>
      <c r="P11" s="125" cm="1">
        <f t="array" ref="P11">IFERROR(
ROUND(
IF($A$2="COSTO",
   ((B11*(1+IFERROR(VLOOKUP($D$2,COLORES[],2,FALSE),0)))+G11)
   *(1-IFERROR(_xlfn.XLOOKUP(1,(DESC_PROV[LINEA]=$B$2)*(DESC_PROV[LISTA]=$C$2),DESC_PROV[DESCUENTO]),0)),
   ((B11*(1+IFERROR(VLOOKUP($D$2,COLORES[],2,FALSE),0)))+G11)
   *(1-IFERROR(_xlfn.XLOOKUP(1,(DESC_PROV[LINEA]=$B$2)*(DESC_PROV[LISTA]=$C$2),DESC_PROV[DESCUENTO]),0))
   *(1+VLOOKUP($C$2,LISTAS[],2,FALSE))
   *(1+VLOOKUP($C$2,LISTAS[],3,FALSE))
)
/5,0)*5,0)</f>
        <v>152645</v>
      </c>
      <c r="Q11" s="125" cm="1">
        <f t="array" ref="Q11">IFERROR(
ROUND(
IF($A$2="COSTO",
   ((B11*(1+IFERROR(VLOOKUP($D$2,COLORES[],2,FALSE),0)))+H11)
   *(1-IFERROR(_xlfn.XLOOKUP(1,(DESC_PROV[LINEA]=$B$2)*(DESC_PROV[LISTA]=$C$2),DESC_PROV[DESCUENTO]),0)),
   ((B11*(1+IFERROR(VLOOKUP($D$2,COLORES[],2,FALSE),0)))+H11)
   *(1-IFERROR(_xlfn.XLOOKUP(1,(DESC_PROV[LINEA]=$B$2)*(DESC_PROV[LISTA]=$C$2),DESC_PROV[DESCUENTO]),0))
   *(1+VLOOKUP($C$2,LISTAS[],2,FALSE))
   *(1+VLOOKUP($C$2,LISTAS[],3,FALSE))
)
/5,0)*5,0)</f>
        <v>179125</v>
      </c>
      <c r="R11" s="126" cm="1">
        <f t="array" ref="R11">IFERROR(
ROUND(
IF($A$2="COSTO",
   ((B11*(1+IFERROR(VLOOKUP($D$2,COLORES[],2,FALSE),0)))+(D11+I11+D11))
   *(1-IFERROR(_xlfn.XLOOKUP(1,(DESC_PROV[LINEA]=$B$2)*(DESC_PROV[LISTA]=$C$2),DESC_PROV[DESCUENTO]),0)),
   ((B11*(1+IFERROR(VLOOKUP($D$2,COLORES[],2,FALSE),0)))+(D11+I11+D11))
   *(1-IFERROR(_xlfn.XLOOKUP(1,(DESC_PROV[LINEA]=$B$2)*(DESC_PROV[LISTA]=$C$2),DESC_PROV[DESCUENTO]),0))
   *(1+VLOOKUP($C$2,LISTAS[],2,FALSE))
   *(1+VLOOKUP($C$2,LISTAS[],3,FALSE))
)
/5,0)*5,0)</f>
        <v>205095</v>
      </c>
    </row>
    <row r="12" spans="1:18">
      <c r="A12" s="133" t="s">
        <v>133</v>
      </c>
      <c r="B12" s="125">
        <v>117035</v>
      </c>
      <c r="C12" s="125">
        <v>6154</v>
      </c>
      <c r="D12" s="125">
        <v>7457</v>
      </c>
      <c r="E12" s="125">
        <v>9837</v>
      </c>
      <c r="F12" s="125">
        <v>21277</v>
      </c>
      <c r="G12" s="125">
        <v>8236</v>
      </c>
      <c r="H12" s="125">
        <v>31852</v>
      </c>
      <c r="I12" s="125">
        <v>38001</v>
      </c>
      <c r="J12" s="124"/>
      <c r="K12" s="133" t="s">
        <v>133</v>
      </c>
      <c r="L12" s="125" cm="1">
        <f t="array" ref="L12">IFERROR(
ROUND(
IF($A$2="COSTO",
   ((B12*(1+IFERROR(VLOOKUP($D$2,COLORES[],2,FALSE),0)))+C12)
   *(1-IFERROR(_xlfn.XLOOKUP(1,(DESC_PROV[LINEA]=$B$2)*(DESC_PROV[LISTA]=$C$2),DESC_PROV[DESCUENTO]),0)),
   ((B12*(1+IFERROR(VLOOKUP($D$2,COLORES[],2,FALSE),0)))+C12)
   *(1-IFERROR(_xlfn.XLOOKUP(1,(DESC_PROV[LINEA]=$B$2)*(DESC_PROV[LISTA]=$C$2),DESC_PROV[DESCUENTO]),0))
   *(1+VLOOKUP($C$2,LISTAS[],2,FALSE))
   *(1+VLOOKUP($C$2,LISTAS[],3,FALSE))
)
/5,0)*5,0)</f>
        <v>157870</v>
      </c>
      <c r="M12" s="125" cm="1">
        <f t="array" ref="M12">IFERROR(
ROUND(
IF($A$2="COSTO",
   ((B12*(1+IFERROR(VLOOKUP($D$2,COLORES[],2,FALSE),0)))+D12)
   *(1-IFERROR(_xlfn.XLOOKUP(1,(DESC_PROV[LINEA]=$B$2)*(DESC_PROV[LISTA]=$C$2),DESC_PROV[DESCUENTO]),0)),
   ((B12*(1+IFERROR(VLOOKUP($D$2,COLORES[],2,FALSE),0)))+D12)
   *(1-IFERROR(_xlfn.XLOOKUP(1,(DESC_PROV[LINEA]=$B$2)*(DESC_PROV[LISTA]=$C$2),DESC_PROV[DESCUENTO]),0))
   *(1+VLOOKUP($C$2,LISTAS[],2,FALSE))
   *(1+VLOOKUP($C$2,LISTAS[],3,FALSE))
)
/5,0)*5,0)</f>
        <v>159540</v>
      </c>
      <c r="N12" s="125" cm="1">
        <f t="array" ref="N12">IFERROR(
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/5,0)*5,0)</f>
        <v>162590</v>
      </c>
      <c r="O12" s="125" cm="1">
        <f t="array" ref="O12">IFERROR(
ROUND(
IF($A$2="COSTO",
   ((B12*(1+IFERROR(VLOOKUP($D$2,COLORES[],2,FALSE),0)))+F12)
   *(1-IFERROR(_xlfn.XLOOKUP(1,(DESC_PROV[LINEA]=$B$2)*(DESC_PROV[LISTA]=$C$2),DESC_PROV[DESCUENTO]),0)),
   ((B12*(1+IFERROR(VLOOKUP($D$2,COLORES[],2,FALSE),0)))+F12)
   *(1-IFERROR(_xlfn.XLOOKUP(1,(DESC_PROV[LINEA]=$B$2)*(DESC_PROV[LISTA]=$C$2),DESC_PROV[DESCUENTO]),0))
   *(1+VLOOKUP($C$2,LISTAS[],2,FALSE))
   *(1+VLOOKUP($C$2,LISTAS[],3,FALSE))
)
/5,0)*5,0)</f>
        <v>177250</v>
      </c>
      <c r="P12" s="125" cm="1">
        <f t="array" ref="P12">IFERROR(
ROUND(
IF($A$2="COSTO",
   ((B12*(1+IFERROR(VLOOKUP($D$2,COLORES[],2,FALSE),0)))+G12)
   *(1-IFERROR(_xlfn.XLOOKUP(1,(DESC_PROV[LINEA]=$B$2)*(DESC_PROV[LISTA]=$C$2),DESC_PROV[DESCUENTO]),0)),
   ((B12*(1+IFERROR(VLOOKUP($D$2,COLORES[],2,FALSE),0)))+G12)
   *(1-IFERROR(_xlfn.XLOOKUP(1,(DESC_PROV[LINEA]=$B$2)*(DESC_PROV[LISTA]=$C$2),DESC_PROV[DESCUENTO]),0))
   *(1+VLOOKUP($C$2,LISTAS[],2,FALSE))
   *(1+VLOOKUP($C$2,LISTAS[],3,FALSE))
)
/5,0)*5,0)</f>
        <v>160540</v>
      </c>
      <c r="Q12" s="125" cm="1">
        <f t="array" ref="Q12">IFERROR(
ROUND(
IF($A$2="COSTO",
   ((B12*(1+IFERROR(VLOOKUP($D$2,COLORES[],2,FALSE),0)))+H12)
   *(1-IFERROR(_xlfn.XLOOKUP(1,(DESC_PROV[LINEA]=$B$2)*(DESC_PROV[LISTA]=$C$2),DESC_PROV[DESCUENTO]),0)),
   ((B12*(1+IFERROR(VLOOKUP($D$2,COLORES[],2,FALSE),0)))+H12)
   *(1-IFERROR(_xlfn.XLOOKUP(1,(DESC_PROV[LINEA]=$B$2)*(DESC_PROV[LISTA]=$C$2),DESC_PROV[DESCUENTO]),0))
   *(1+VLOOKUP($C$2,LISTAS[],2,FALSE))
   *(1+VLOOKUP($C$2,LISTAS[],3,FALSE))
)
/5,0)*5,0)</f>
        <v>190805</v>
      </c>
      <c r="R12" s="126" cm="1">
        <f t="array" ref="R12">IFERROR(
ROUND(
IF($A$2="COSTO",
   ((B12*(1+IFERROR(VLOOKUP($D$2,COLORES[],2,FALSE),0)))+(D12+I12+D12))
   *(1-IFERROR(_xlfn.XLOOKUP(1,(DESC_PROV[LINEA]=$B$2)*(DESC_PROV[LISTA]=$C$2),DESC_PROV[DESCUENTO]),0)),
   ((B12*(1+IFERROR(VLOOKUP($D$2,COLORES[],2,FALSE),0)))+(D12+I12+D12))
   *(1-IFERROR(_xlfn.XLOOKUP(1,(DESC_PROV[LINEA]=$B$2)*(DESC_PROV[LISTA]=$C$2),DESC_PROV[DESCUENTO]),0))
   *(1+VLOOKUP($C$2,LISTAS[],2,FALSE))
   *(1+VLOOKUP($C$2,LISTAS[],3,FALSE))
)
/5,0)*5,0)</f>
        <v>217800</v>
      </c>
    </row>
    <row r="13" spans="1:18">
      <c r="A13" s="133" t="s">
        <v>134</v>
      </c>
      <c r="B13" s="125">
        <v>122142</v>
      </c>
      <c r="C13" s="125">
        <v>6923</v>
      </c>
      <c r="D13" s="125">
        <v>8389</v>
      </c>
      <c r="E13" s="125">
        <v>11068</v>
      </c>
      <c r="F13" s="125">
        <v>23937</v>
      </c>
      <c r="G13" s="125">
        <v>9267</v>
      </c>
      <c r="H13" s="125">
        <v>35838</v>
      </c>
      <c r="I13" s="125">
        <v>40924</v>
      </c>
      <c r="J13" s="124"/>
      <c r="K13" s="133" t="s">
        <v>134</v>
      </c>
      <c r="L13" s="125" cm="1">
        <f t="array" ref="L13">IFERROR(
ROUND(
IF($A$2="COSTO",
   ((B13*(1+IFERROR(VLOOKUP($D$2,COLORES[],2,FALSE),0)))+C13)
   *(1-IFERROR(_xlfn.XLOOKUP(1,(DESC_PROV[LINEA]=$B$2)*(DESC_PROV[LISTA]=$C$2),DESC_PROV[DESCUENTO]),0)),
   ((B13*(1+IFERROR(VLOOKUP($D$2,COLORES[],2,FALSE),0)))+C13)
   *(1-IFERROR(_xlfn.XLOOKUP(1,(DESC_PROV[LINEA]=$B$2)*(DESC_PROV[LISTA]=$C$2),DESC_PROV[DESCUENTO]),0))
   *(1+VLOOKUP($C$2,LISTAS[],2,FALSE))
   *(1+VLOOKUP($C$2,LISTAS[],3,FALSE))
)
/5,0)*5,0)</f>
        <v>165400</v>
      </c>
      <c r="M13" s="125" cm="1">
        <f t="array" ref="M13">IFERROR(
ROUND(
IF($A$2="COSTO",
   ((B13*(1+IFERROR(VLOOKUP($D$2,COLORES[],2,FALSE),0)))+D13)
   *(1-IFERROR(_xlfn.XLOOKUP(1,(DESC_PROV[LINEA]=$B$2)*(DESC_PROV[LISTA]=$C$2),DESC_PROV[DESCUENTO]),0)),
   ((B13*(1+IFERROR(VLOOKUP($D$2,COLORES[],2,FALSE),0)))+D13)
   *(1-IFERROR(_xlfn.XLOOKUP(1,(DESC_PROV[LINEA]=$B$2)*(DESC_PROV[LISTA]=$C$2),DESC_PROV[DESCUENTO]),0))
   *(1+VLOOKUP($C$2,LISTAS[],2,FALSE))
   *(1+VLOOKUP($C$2,LISTAS[],3,FALSE))
)
/5,0)*5,0)</f>
        <v>167280</v>
      </c>
      <c r="N13" s="125" cm="1">
        <f t="array" ref="N13">IFERROR(
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/5,0)*5,0)</f>
        <v>170715</v>
      </c>
      <c r="O13" s="125" cm="1">
        <f t="array" ref="O13">IFERROR(
ROUND(
IF($A$2="COSTO",
   ((B13*(1+IFERROR(VLOOKUP($D$2,COLORES[],2,FALSE),0)))+F13)
   *(1-IFERROR(_xlfn.XLOOKUP(1,(DESC_PROV[LINEA]=$B$2)*(DESC_PROV[LISTA]=$C$2),DESC_PROV[DESCUENTO]),0)),
   ((B13*(1+IFERROR(VLOOKUP($D$2,COLORES[],2,FALSE),0)))+F13)
   *(1-IFERROR(_xlfn.XLOOKUP(1,(DESC_PROV[LINEA]=$B$2)*(DESC_PROV[LISTA]=$C$2),DESC_PROV[DESCUENTO]),0))
   *(1+VLOOKUP($C$2,LISTAS[],2,FALSE))
   *(1+VLOOKUP($C$2,LISTAS[],3,FALSE))
)
/5,0)*5,0)</f>
        <v>187205</v>
      </c>
      <c r="P13" s="125" cm="1">
        <f t="array" ref="P13">IFERROR(
ROUND(
IF($A$2="COSTO",
   ((B13*(1+IFERROR(VLOOKUP($D$2,COLORES[],2,FALSE),0)))+G13)
   *(1-IFERROR(_xlfn.XLOOKUP(1,(DESC_PROV[LINEA]=$B$2)*(DESC_PROV[LISTA]=$C$2),DESC_PROV[DESCUENTO]),0)),
   ((B13*(1+IFERROR(VLOOKUP($D$2,COLORES[],2,FALSE),0)))+G13)
   *(1-IFERROR(_xlfn.XLOOKUP(1,(DESC_PROV[LINEA]=$B$2)*(DESC_PROV[LISTA]=$C$2),DESC_PROV[DESCUENTO]),0))
   *(1+VLOOKUP($C$2,LISTAS[],2,FALSE))
   *(1+VLOOKUP($C$2,LISTAS[],3,FALSE))
)
/5,0)*5,0)</f>
        <v>168405</v>
      </c>
      <c r="Q13" s="125" cm="1">
        <f t="array" ref="Q13">IFERROR(
ROUND(
IF($A$2="COSTO",
   ((B13*(1+IFERROR(VLOOKUP($D$2,COLORES[],2,FALSE),0)))+H13)
   *(1-IFERROR(_xlfn.XLOOKUP(1,(DESC_PROV[LINEA]=$B$2)*(DESC_PROV[LISTA]=$C$2),DESC_PROV[DESCUENTO]),0)),
   ((B13*(1+IFERROR(VLOOKUP($D$2,COLORES[],2,FALSE),0)))+H13)
   *(1-IFERROR(_xlfn.XLOOKUP(1,(DESC_PROV[LINEA]=$B$2)*(DESC_PROV[LISTA]=$C$2),DESC_PROV[DESCUENTO]),0))
   *(1+VLOOKUP($C$2,LISTAS[],2,FALSE))
   *(1+VLOOKUP($C$2,LISTAS[],3,FALSE))
)
/5,0)*5,0)</f>
        <v>202460</v>
      </c>
      <c r="R13" s="126" cm="1">
        <f t="array" ref="R13">IFERROR(
ROUND(
IF($A$2="COSTO",
   ((B13*(1+IFERROR(VLOOKUP($D$2,COLORES[],2,FALSE),0)))+(D13+I13+D13))
   *(1-IFERROR(_xlfn.XLOOKUP(1,(DESC_PROV[LINEA]=$B$2)*(DESC_PROV[LISTA]=$C$2),DESC_PROV[DESCUENTO]),0)),
   ((B13*(1+IFERROR(VLOOKUP($D$2,COLORES[],2,FALSE),0)))+(D13+I13+D13))
   *(1-IFERROR(_xlfn.XLOOKUP(1,(DESC_PROV[LINEA]=$B$2)*(DESC_PROV[LISTA]=$C$2),DESC_PROV[DESCUENTO]),0))
   *(1+VLOOKUP($C$2,LISTAS[],2,FALSE))
   *(1+VLOOKUP($C$2,LISTAS[],3,FALSE))
)
/5,0)*5,0)</f>
        <v>230475</v>
      </c>
    </row>
    <row r="14" spans="1:18">
      <c r="A14" s="133" t="s">
        <v>135</v>
      </c>
      <c r="B14" s="125">
        <v>96526</v>
      </c>
      <c r="C14" s="125">
        <v>3077</v>
      </c>
      <c r="D14" s="125">
        <v>3729</v>
      </c>
      <c r="E14" s="125">
        <v>4914</v>
      </c>
      <c r="F14" s="125">
        <v>10634</v>
      </c>
      <c r="G14" s="125">
        <v>4109</v>
      </c>
      <c r="H14" s="125">
        <v>15910</v>
      </c>
      <c r="I14" s="125">
        <v>26308</v>
      </c>
      <c r="J14" s="124"/>
      <c r="K14" s="133" t="s">
        <v>135</v>
      </c>
      <c r="L14" s="125" cm="1">
        <f t="array" ref="L14">IFERROR(
ROUND(
IF($A$2="COSTO",
   ((B14*(1+IFERROR(VLOOKUP($D$2,COLORES[],2,FALSE),0)))+C14)
   *(1-IFERROR(_xlfn.XLOOKUP(1,(DESC_PROV[LINEA]=$B$2)*(DESC_PROV[LISTA]=$C$2),DESC_PROV[DESCUENTO]),0)),
   ((B14*(1+IFERROR(VLOOKUP($D$2,COLORES[],2,FALSE),0)))+C14)
   *(1-IFERROR(_xlfn.XLOOKUP(1,(DESC_PROV[LINEA]=$B$2)*(DESC_PROV[LISTA]=$C$2),DESC_PROV[DESCUENTO]),0))
   *(1+VLOOKUP($C$2,LISTAS[],2,FALSE))
   *(1+VLOOKUP($C$2,LISTAS[],3,FALSE))
)
/5,0)*5,0)</f>
        <v>127645</v>
      </c>
      <c r="M14" s="125" cm="1">
        <f t="array" ref="M14">IFERROR(
ROUND(
IF($A$2="COSTO",
   ((B14*(1+IFERROR(VLOOKUP($D$2,COLORES[],2,FALSE),0)))+D14)
   *(1-IFERROR(_xlfn.XLOOKUP(1,(DESC_PROV[LINEA]=$B$2)*(DESC_PROV[LISTA]=$C$2),DESC_PROV[DESCUENTO]),0)),
   ((B14*(1+IFERROR(VLOOKUP($D$2,COLORES[],2,FALSE),0)))+D14)
   *(1-IFERROR(_xlfn.XLOOKUP(1,(DESC_PROV[LINEA]=$B$2)*(DESC_PROV[LISTA]=$C$2),DESC_PROV[DESCUENTO]),0))
   *(1+VLOOKUP($C$2,LISTAS[],2,FALSE))
   *(1+VLOOKUP($C$2,LISTAS[],3,FALSE))
)
/5,0)*5,0)</f>
        <v>128480</v>
      </c>
      <c r="N14" s="125" cm="1">
        <f t="array" ref="N14">IFERROR(
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/5,0)*5,0)</f>
        <v>130000</v>
      </c>
      <c r="O14" s="125" cm="1">
        <f t="array" ref="O14">IFERROR(
ROUND(
IF($A$2="COSTO",
   ((B14*(1+IFERROR(VLOOKUP($D$2,COLORES[],2,FALSE),0)))+F14)
   *(1-IFERROR(_xlfn.XLOOKUP(1,(DESC_PROV[LINEA]=$B$2)*(DESC_PROV[LISTA]=$C$2),DESC_PROV[DESCUENTO]),0)),
   ((B14*(1+IFERROR(VLOOKUP($D$2,COLORES[],2,FALSE),0)))+F14)
   *(1-IFERROR(_xlfn.XLOOKUP(1,(DESC_PROV[LINEA]=$B$2)*(DESC_PROV[LISTA]=$C$2),DESC_PROV[DESCUENTO]),0))
   *(1+VLOOKUP($C$2,LISTAS[],2,FALSE))
   *(1+VLOOKUP($C$2,LISTAS[],3,FALSE))
)
/5,0)*5,0)</f>
        <v>137330</v>
      </c>
      <c r="P14" s="125" cm="1">
        <f t="array" ref="P14">IFERROR(
ROUND(
IF($A$2="COSTO",
   ((B14*(1+IFERROR(VLOOKUP($D$2,COLORES[],2,FALSE),0)))+G14)
   *(1-IFERROR(_xlfn.XLOOKUP(1,(DESC_PROV[LINEA]=$B$2)*(DESC_PROV[LISTA]=$C$2),DESC_PROV[DESCUENTO]),0)),
   ((B14*(1+IFERROR(VLOOKUP($D$2,COLORES[],2,FALSE),0)))+G14)
   *(1-IFERROR(_xlfn.XLOOKUP(1,(DESC_PROV[LINEA]=$B$2)*(DESC_PROV[LISTA]=$C$2),DESC_PROV[DESCUENTO]),0))
   *(1+VLOOKUP($C$2,LISTAS[],2,FALSE))
   *(1+VLOOKUP($C$2,LISTAS[],3,FALSE))
)
/5,0)*5,0)</f>
        <v>128970</v>
      </c>
      <c r="Q14" s="125" cm="1">
        <f t="array" ref="Q14">IFERROR(
ROUND(
IF($A$2="COSTO",
   ((B14*(1+IFERROR(VLOOKUP($D$2,COLORES[],2,FALSE),0)))+H14)
   *(1-IFERROR(_xlfn.XLOOKUP(1,(DESC_PROV[LINEA]=$B$2)*(DESC_PROV[LISTA]=$C$2),DESC_PROV[DESCUENTO]),0)),
   ((B14*(1+IFERROR(VLOOKUP($D$2,COLORES[],2,FALSE),0)))+H14)
   *(1-IFERROR(_xlfn.XLOOKUP(1,(DESC_PROV[LINEA]=$B$2)*(DESC_PROV[LISTA]=$C$2),DESC_PROV[DESCUENTO]),0))
   *(1+VLOOKUP($C$2,LISTAS[],2,FALSE))
   *(1+VLOOKUP($C$2,LISTAS[],3,FALSE))
)
/5,0)*5,0)</f>
        <v>144090</v>
      </c>
      <c r="R14" s="126" cm="1">
        <f t="array" ref="R14">IFERROR(
ROUND(
IF($A$2="COSTO",
   ((B14*(1+IFERROR(VLOOKUP($D$2,COLORES[],2,FALSE),0)))+(D14+I14+D14))
   *(1-IFERROR(_xlfn.XLOOKUP(1,(DESC_PROV[LINEA]=$B$2)*(DESC_PROV[LISTA]=$C$2),DESC_PROV[DESCUENTO]),0)),
   ((B14*(1+IFERROR(VLOOKUP($D$2,COLORES[],2,FALSE),0)))+(D14+I14+D14))
   *(1-IFERROR(_xlfn.XLOOKUP(1,(DESC_PROV[LINEA]=$B$2)*(DESC_PROV[LISTA]=$C$2),DESC_PROV[DESCUENTO]),0))
   *(1+VLOOKUP($C$2,LISTAS[],2,FALSE))
   *(1+VLOOKUP($C$2,LISTAS[],3,FALSE))
)
/5,0)*5,0)</f>
        <v>166975</v>
      </c>
    </row>
    <row r="15" spans="1:18">
      <c r="A15" s="133" t="s">
        <v>136</v>
      </c>
      <c r="B15" s="125">
        <v>101653</v>
      </c>
      <c r="C15" s="125">
        <v>4109</v>
      </c>
      <c r="D15" s="125">
        <v>4968</v>
      </c>
      <c r="E15" s="125">
        <v>6561</v>
      </c>
      <c r="F15" s="125">
        <v>14172</v>
      </c>
      <c r="G15" s="125">
        <v>5475</v>
      </c>
      <c r="H15" s="125">
        <v>21210</v>
      </c>
      <c r="I15" s="125">
        <v>29232</v>
      </c>
      <c r="J15" s="124"/>
      <c r="K15" s="133" t="s">
        <v>136</v>
      </c>
      <c r="L15" s="125" cm="1">
        <f t="array" ref="L15">IFERROR(
ROUND(
IF($A$2="COSTO",
   ((B15*(1+IFERROR(VLOOKUP($D$2,COLORES[],2,FALSE),0)))+C15)
   *(1-IFERROR(_xlfn.XLOOKUP(1,(DESC_PROV[LINEA]=$B$2)*(DESC_PROV[LISTA]=$C$2),DESC_PROV[DESCUENTO]),0)),
   ((B15*(1+IFERROR(VLOOKUP($D$2,COLORES[],2,FALSE),0)))+C15)
   *(1-IFERROR(_xlfn.XLOOKUP(1,(DESC_PROV[LINEA]=$B$2)*(DESC_PROV[LISTA]=$C$2),DESC_PROV[DESCUENTO]),0))
   *(1+VLOOKUP($C$2,LISTAS[],2,FALSE))
   *(1+VLOOKUP($C$2,LISTAS[],3,FALSE))
)
/5,0)*5,0)</f>
        <v>135540</v>
      </c>
      <c r="M15" s="125" cm="1">
        <f t="array" ref="M15">IFERROR(
ROUND(
IF($A$2="COSTO",
   ((B15*(1+IFERROR(VLOOKUP($D$2,COLORES[],2,FALSE),0)))+D15)
   *(1-IFERROR(_xlfn.XLOOKUP(1,(DESC_PROV[LINEA]=$B$2)*(DESC_PROV[LISTA]=$C$2),DESC_PROV[DESCUENTO]),0)),
   ((B15*(1+IFERROR(VLOOKUP($D$2,COLORES[],2,FALSE),0)))+D15)
   *(1-IFERROR(_xlfn.XLOOKUP(1,(DESC_PROV[LINEA]=$B$2)*(DESC_PROV[LISTA]=$C$2),DESC_PROV[DESCUENTO]),0))
   *(1+VLOOKUP($C$2,LISTAS[],2,FALSE))
   *(1+VLOOKUP($C$2,LISTAS[],3,FALSE))
)
/5,0)*5,0)</f>
        <v>136640</v>
      </c>
      <c r="N15" s="125" cm="1">
        <f t="array" ref="N15">IFERROR(
ROUND(
IF($A$2="COSTO",
   ((B15*(1+IFERROR(VLOOKUP($D$2,COLORES[],2,FALSE),0)))+E15)
   *(1-IFERROR(_xlfn.XLOOKUP(1,(DESC_PROV[LINEA]=$B$2)*(DESC_PROV[LISTA]=$C$2),DESC_PROV[DESCUENTO]),0)),
   ((B15*(1+IFERROR(VLOOKUP($D$2,COLORES[],2,FALSE),0)))+E15)
   *(1-IFERROR(_xlfn.XLOOKUP(1,(DESC_PROV[LINEA]=$B$2)*(DESC_PROV[LISTA]=$C$2),DESC_PROV[DESCUENTO]),0))
   *(1+VLOOKUP($C$2,LISTAS[],2,FALSE))
   *(1+VLOOKUP($C$2,LISTAS[],3,FALSE))
)
/5,0)*5,0)</f>
        <v>138680</v>
      </c>
      <c r="O15" s="125" cm="1">
        <f t="array" ref="O15">IFERROR(
ROUND(
IF($A$2="COSTO",
   ((B15*(1+IFERROR(VLOOKUP($D$2,COLORES[],2,FALSE),0)))+F15)
   *(1-IFERROR(_xlfn.XLOOKUP(1,(DESC_PROV[LINEA]=$B$2)*(DESC_PROV[LISTA]=$C$2),DESC_PROV[DESCUENTO]),0)),
   ((B15*(1+IFERROR(VLOOKUP($D$2,COLORES[],2,FALSE),0)))+F15)
   *(1-IFERROR(_xlfn.XLOOKUP(1,(DESC_PROV[LINEA]=$B$2)*(DESC_PROV[LISTA]=$C$2),DESC_PROV[DESCUENTO]),0))
   *(1+VLOOKUP($C$2,LISTAS[],2,FALSE))
   *(1+VLOOKUP($C$2,LISTAS[],3,FALSE))
)
/5,0)*5,0)</f>
        <v>148435</v>
      </c>
      <c r="P15" s="125" cm="1">
        <f t="array" ref="P15">IFERROR(
ROUND(
IF($A$2="COSTO",
   ((B15*(1+IFERROR(VLOOKUP($D$2,COLORES[],2,FALSE),0)))+G15)
   *(1-IFERROR(_xlfn.XLOOKUP(1,(DESC_PROV[LINEA]=$B$2)*(DESC_PROV[LISTA]=$C$2),DESC_PROV[DESCUENTO]),0)),
   ((B15*(1+IFERROR(VLOOKUP($D$2,COLORES[],2,FALSE),0)))+G15)
   *(1-IFERROR(_xlfn.XLOOKUP(1,(DESC_PROV[LINEA]=$B$2)*(DESC_PROV[LISTA]=$C$2),DESC_PROV[DESCUENTO]),0))
   *(1+VLOOKUP($C$2,LISTAS[],2,FALSE))
   *(1+VLOOKUP($C$2,LISTAS[],3,FALSE))
)
/5,0)*5,0)</f>
        <v>137290</v>
      </c>
      <c r="Q15" s="125" cm="1">
        <f t="array" ref="Q15">IFERROR(
ROUND(
IF($A$2="COSTO",
   ((B15*(1+IFERROR(VLOOKUP($D$2,COLORES[],2,FALSE),0)))+H15)
   *(1-IFERROR(_xlfn.XLOOKUP(1,(DESC_PROV[LINEA]=$B$2)*(DESC_PROV[LISTA]=$C$2),DESC_PROV[DESCUENTO]),0)),
   ((B15*(1+IFERROR(VLOOKUP($D$2,COLORES[],2,FALSE),0)))+H15)
   *(1-IFERROR(_xlfn.XLOOKUP(1,(DESC_PROV[LINEA]=$B$2)*(DESC_PROV[LISTA]=$C$2),DESC_PROV[DESCUENTO]),0))
   *(1+VLOOKUP($C$2,LISTAS[],2,FALSE))
   *(1+VLOOKUP($C$2,LISTAS[],3,FALSE))
)
/5,0)*5,0)</f>
        <v>157455</v>
      </c>
      <c r="R15" s="126" cm="1">
        <f t="array" ref="R15">IFERROR(
ROUND(
IF($A$2="COSTO",
   ((B15*(1+IFERROR(VLOOKUP($D$2,COLORES[],2,FALSE),0)))+(D15+I15+D15))
   *(1-IFERROR(_xlfn.XLOOKUP(1,(DESC_PROV[LINEA]=$B$2)*(DESC_PROV[LISTA]=$C$2),DESC_PROV[DESCUENTO]),0)),
   ((B15*(1+IFERROR(VLOOKUP($D$2,COLORES[],2,FALSE),0)))+(D15+I15+D15))
   *(1-IFERROR(_xlfn.XLOOKUP(1,(DESC_PROV[LINEA]=$B$2)*(DESC_PROV[LISTA]=$C$2),DESC_PROV[DESCUENTO]),0))
   *(1+VLOOKUP($C$2,LISTAS[],2,FALSE))
   *(1+VLOOKUP($C$2,LISTAS[],3,FALSE))
)
/5,0)*5,0)</f>
        <v>180470</v>
      </c>
    </row>
    <row r="16" spans="1:18">
      <c r="A16" s="133" t="s">
        <v>137</v>
      </c>
      <c r="B16" s="125">
        <v>106774</v>
      </c>
      <c r="C16" s="125">
        <v>5131</v>
      </c>
      <c r="D16" s="125">
        <v>6208</v>
      </c>
      <c r="E16" s="125">
        <v>8208</v>
      </c>
      <c r="F16" s="125">
        <v>17711</v>
      </c>
      <c r="G16" s="125">
        <v>6842</v>
      </c>
      <c r="H16" s="125">
        <v>26509</v>
      </c>
      <c r="I16" s="125">
        <v>32155</v>
      </c>
      <c r="J16" s="124"/>
      <c r="K16" s="133" t="s">
        <v>137</v>
      </c>
      <c r="L16" s="125" cm="1">
        <f t="array" ref="L16">IFERROR(
ROUND(
IF($A$2="COSTO",
   ((B16*(1+IFERROR(VLOOKUP($D$2,COLORES[],2,FALSE),0)))+C16)
   *(1-IFERROR(_xlfn.XLOOKUP(1,(DESC_PROV[LINEA]=$B$2)*(DESC_PROV[LISTA]=$C$2),DESC_PROV[DESCUENTO]),0)),
   ((B16*(1+IFERROR(VLOOKUP($D$2,COLORES[],2,FALSE),0)))+C16)
   *(1-IFERROR(_xlfn.XLOOKUP(1,(DESC_PROV[LINEA]=$B$2)*(DESC_PROV[LISTA]=$C$2),DESC_PROV[DESCUENTO]),0))
   *(1+VLOOKUP($C$2,LISTAS[],2,FALSE))
   *(1+VLOOKUP($C$2,LISTAS[],3,FALSE))
)
/5,0)*5,0)</f>
        <v>143410</v>
      </c>
      <c r="M16" s="125" cm="1">
        <f t="array" ref="M16">IFERROR(
ROUND(
IF($A$2="COSTO",
   ((B16*(1+IFERROR(VLOOKUP($D$2,COLORES[],2,FALSE),0)))+D16)
   *(1-IFERROR(_xlfn.XLOOKUP(1,(DESC_PROV[LINEA]=$B$2)*(DESC_PROV[LISTA]=$C$2),DESC_PROV[DESCUENTO]),0)),
   ((B16*(1+IFERROR(VLOOKUP($D$2,COLORES[],2,FALSE),0)))+D16)
   *(1-IFERROR(_xlfn.XLOOKUP(1,(DESC_PROV[LINEA]=$B$2)*(DESC_PROV[LISTA]=$C$2),DESC_PROV[DESCUENTO]),0))
   *(1+VLOOKUP($C$2,LISTAS[],2,FALSE))
   *(1+VLOOKUP($C$2,LISTAS[],3,FALSE))
)
/5,0)*5,0)</f>
        <v>144790</v>
      </c>
      <c r="N16" s="125" cm="1">
        <f t="array" ref="N16">IFERROR(
ROUND(
IF($A$2="COSTO",
   ((B16*(1+IFERROR(VLOOKUP($D$2,COLORES[],2,FALSE),0)))+E16)
   *(1-IFERROR(_xlfn.XLOOKUP(1,(DESC_PROV[LINEA]=$B$2)*(DESC_PROV[LISTA]=$C$2),DESC_PROV[DESCUENTO]),0)),
   ((B16*(1+IFERROR(VLOOKUP($D$2,COLORES[],2,FALSE),0)))+E16)
   *(1-IFERROR(_xlfn.XLOOKUP(1,(DESC_PROV[LINEA]=$B$2)*(DESC_PROV[LISTA]=$C$2),DESC_PROV[DESCUENTO]),0))
   *(1+VLOOKUP($C$2,LISTAS[],2,FALSE))
   *(1+VLOOKUP($C$2,LISTAS[],3,FALSE))
)
/5,0)*5,0)</f>
        <v>147355</v>
      </c>
      <c r="O16" s="125" cm="1">
        <f t="array" ref="O16">IFERROR(
ROUND(
IF($A$2="COSTO",
   ((B16*(1+IFERROR(VLOOKUP($D$2,COLORES[],2,FALSE),0)))+F16)
   *(1-IFERROR(_xlfn.XLOOKUP(1,(DESC_PROV[LINEA]=$B$2)*(DESC_PROV[LISTA]=$C$2),DESC_PROV[DESCUENTO]),0)),
   ((B16*(1+IFERROR(VLOOKUP($D$2,COLORES[],2,FALSE),0)))+F16)
   *(1-IFERROR(_xlfn.XLOOKUP(1,(DESC_PROV[LINEA]=$B$2)*(DESC_PROV[LISTA]=$C$2),DESC_PROV[DESCUENTO]),0))
   *(1+VLOOKUP($C$2,LISTAS[],2,FALSE))
   *(1+VLOOKUP($C$2,LISTAS[],3,FALSE))
)
/5,0)*5,0)</f>
        <v>159535</v>
      </c>
      <c r="P16" s="125" cm="1">
        <f t="array" ref="P16">IFERROR(
ROUND(
IF($A$2="COSTO",
   ((B16*(1+IFERROR(VLOOKUP($D$2,COLORES[],2,FALSE),0)))+G16)
   *(1-IFERROR(_xlfn.XLOOKUP(1,(DESC_PROV[LINEA]=$B$2)*(DESC_PROV[LISTA]=$C$2),DESC_PROV[DESCUENTO]),0)),
   ((B16*(1+IFERROR(VLOOKUP($D$2,COLORES[],2,FALSE),0)))+G16)
   *(1-IFERROR(_xlfn.XLOOKUP(1,(DESC_PROV[LINEA]=$B$2)*(DESC_PROV[LISTA]=$C$2),DESC_PROV[DESCUENTO]),0))
   *(1+VLOOKUP($C$2,LISTAS[],2,FALSE))
   *(1+VLOOKUP($C$2,LISTAS[],3,FALSE))
)
/5,0)*5,0)</f>
        <v>145605</v>
      </c>
      <c r="Q16" s="125" cm="1">
        <f t="array" ref="Q16">IFERROR(
ROUND(
IF($A$2="COSTO",
   ((B16*(1+IFERROR(VLOOKUP($D$2,COLORES[],2,FALSE),0)))+H16)
   *(1-IFERROR(_xlfn.XLOOKUP(1,(DESC_PROV[LINEA]=$B$2)*(DESC_PROV[LISTA]=$C$2),DESC_PROV[DESCUENTO]),0)),
   ((B16*(1+IFERROR(VLOOKUP($D$2,COLORES[],2,FALSE),0)))+H16)
   *(1-IFERROR(_xlfn.XLOOKUP(1,(DESC_PROV[LINEA]=$B$2)*(DESC_PROV[LISTA]=$C$2),DESC_PROV[DESCUENTO]),0))
   *(1+VLOOKUP($C$2,LISTAS[],2,FALSE))
   *(1+VLOOKUP($C$2,LISTAS[],3,FALSE))
)
/5,0)*5,0)</f>
        <v>170805</v>
      </c>
      <c r="R16" s="126" cm="1">
        <f t="array" ref="R16">IFERROR(
ROUND(
IF($A$2="COSTO",
   ((B16*(1+IFERROR(VLOOKUP($D$2,COLORES[],2,FALSE),0)))+(D16+I16+D16))
   *(1-IFERROR(_xlfn.XLOOKUP(1,(DESC_PROV[LINEA]=$B$2)*(DESC_PROV[LISTA]=$C$2),DESC_PROV[DESCUENTO]),0)),
   ((B16*(1+IFERROR(VLOOKUP($D$2,COLORES[],2,FALSE),0)))+(D16+I16+D16))
   *(1-IFERROR(_xlfn.XLOOKUP(1,(DESC_PROV[LINEA]=$B$2)*(DESC_PROV[LISTA]=$C$2),DESC_PROV[DESCUENTO]),0))
   *(1+VLOOKUP($C$2,LISTAS[],2,FALSE))
   *(1+VLOOKUP($C$2,LISTAS[],3,FALSE))
)
/5,0)*5,0)</f>
        <v>193955</v>
      </c>
    </row>
    <row r="17" spans="1:18">
      <c r="A17" s="133" t="s">
        <v>138</v>
      </c>
      <c r="B17" s="125">
        <v>111894</v>
      </c>
      <c r="C17" s="125">
        <v>6154</v>
      </c>
      <c r="D17" s="125">
        <v>7448</v>
      </c>
      <c r="E17" s="125">
        <v>9855</v>
      </c>
      <c r="F17" s="125">
        <v>21249</v>
      </c>
      <c r="G17" s="125">
        <v>8208</v>
      </c>
      <c r="H17" s="125">
        <v>31809</v>
      </c>
      <c r="I17" s="125">
        <v>35078</v>
      </c>
      <c r="J17" s="124"/>
      <c r="K17" s="133" t="s">
        <v>138</v>
      </c>
      <c r="L17" s="125" cm="1">
        <f t="array" ref="L17">IFERROR(
ROUND(
IF($A$2="COSTO",
   ((B17*(1+IFERROR(VLOOKUP($D$2,COLORES[],2,FALSE),0)))+C17)
   *(1-IFERROR(_xlfn.XLOOKUP(1,(DESC_PROV[LINEA]=$B$2)*(DESC_PROV[LISTA]=$C$2),DESC_PROV[DESCUENTO]),0)),
   ((B17*(1+IFERROR(VLOOKUP($D$2,COLORES[],2,FALSE),0)))+C17)
   *(1-IFERROR(_xlfn.XLOOKUP(1,(DESC_PROV[LINEA]=$B$2)*(DESC_PROV[LISTA]=$C$2),DESC_PROV[DESCUENTO]),0))
   *(1+VLOOKUP($C$2,LISTAS[],2,FALSE))
   *(1+VLOOKUP($C$2,LISTAS[],3,FALSE))
)
/5,0)*5,0)</f>
        <v>151285</v>
      </c>
      <c r="M17" s="125" cm="1">
        <f t="array" ref="M17">IFERROR(
ROUND(
IF($A$2="COSTO",
   ((B17*(1+IFERROR(VLOOKUP($D$2,COLORES[],2,FALSE),0)))+D17)
   *(1-IFERROR(_xlfn.XLOOKUP(1,(DESC_PROV[LINEA]=$B$2)*(DESC_PROV[LISTA]=$C$2),DESC_PROV[DESCUENTO]),0)),
   ((B17*(1+IFERROR(VLOOKUP($D$2,COLORES[],2,FALSE),0)))+D17)
   *(1-IFERROR(_xlfn.XLOOKUP(1,(DESC_PROV[LINEA]=$B$2)*(DESC_PROV[LISTA]=$C$2),DESC_PROV[DESCUENTO]),0))
   *(1+VLOOKUP($C$2,LISTAS[],2,FALSE))
   *(1+VLOOKUP($C$2,LISTAS[],3,FALSE))
)
/5,0)*5,0)</f>
        <v>152940</v>
      </c>
      <c r="N17" s="125" cm="1">
        <f t="array" ref="N17">IFERROR(
ROUND(
IF($A$2="COSTO",
   ((B17*(1+IFERROR(VLOOKUP($D$2,COLORES[],2,FALSE),0)))+E17)
   *(1-IFERROR(_xlfn.XLOOKUP(1,(DESC_PROV[LINEA]=$B$2)*(DESC_PROV[LISTA]=$C$2),DESC_PROV[DESCUENTO]),0)),
   ((B17*(1+IFERROR(VLOOKUP($D$2,COLORES[],2,FALSE),0)))+E17)
   *(1-IFERROR(_xlfn.XLOOKUP(1,(DESC_PROV[LINEA]=$B$2)*(DESC_PROV[LISTA]=$C$2),DESC_PROV[DESCUENTO]),0))
   *(1+VLOOKUP($C$2,LISTAS[],2,FALSE))
   *(1+VLOOKUP($C$2,LISTAS[],3,FALSE))
)
/5,0)*5,0)</f>
        <v>156025</v>
      </c>
      <c r="O17" s="125" cm="1">
        <f t="array" ref="O17">IFERROR(
ROUND(
IF($A$2="COSTO",
   ((B17*(1+IFERROR(VLOOKUP($D$2,COLORES[],2,FALSE),0)))+F17)
   *(1-IFERROR(_xlfn.XLOOKUP(1,(DESC_PROV[LINEA]=$B$2)*(DESC_PROV[LISTA]=$C$2),DESC_PROV[DESCUENTO]),0)),
   ((B17*(1+IFERROR(VLOOKUP($D$2,COLORES[],2,FALSE),0)))+F17)
   *(1-IFERROR(_xlfn.XLOOKUP(1,(DESC_PROV[LINEA]=$B$2)*(DESC_PROV[LISTA]=$C$2),DESC_PROV[DESCUENTO]),0))
   *(1+VLOOKUP($C$2,LISTAS[],2,FALSE))
   *(1+VLOOKUP($C$2,LISTAS[],3,FALSE))
)
/5,0)*5,0)</f>
        <v>170630</v>
      </c>
      <c r="P17" s="125" cm="1">
        <f t="array" ref="P17">IFERROR(
ROUND(
IF($A$2="COSTO",
   ((B17*(1+IFERROR(VLOOKUP($D$2,COLORES[],2,FALSE),0)))+G17)
   *(1-IFERROR(_xlfn.XLOOKUP(1,(DESC_PROV[LINEA]=$B$2)*(DESC_PROV[LISTA]=$C$2),DESC_PROV[DESCUENTO]),0)),
   ((B17*(1+IFERROR(VLOOKUP($D$2,COLORES[],2,FALSE),0)))+G17)
   *(1-IFERROR(_xlfn.XLOOKUP(1,(DESC_PROV[LINEA]=$B$2)*(DESC_PROV[LISTA]=$C$2),DESC_PROV[DESCUENTO]),0))
   *(1+VLOOKUP($C$2,LISTAS[],2,FALSE))
   *(1+VLOOKUP($C$2,LISTAS[],3,FALSE))
)
/5,0)*5,0)</f>
        <v>153915</v>
      </c>
      <c r="Q17" s="125" cm="1">
        <f t="array" ref="Q17">IFERROR(
ROUND(
IF($A$2="COSTO",
   ((B17*(1+IFERROR(VLOOKUP($D$2,COLORES[],2,FALSE),0)))+H17)
   *(1-IFERROR(_xlfn.XLOOKUP(1,(DESC_PROV[LINEA]=$B$2)*(DESC_PROV[LISTA]=$C$2),DESC_PROV[DESCUENTO]),0)),
   ((B17*(1+IFERROR(VLOOKUP($D$2,COLORES[],2,FALSE),0)))+H17)
   *(1-IFERROR(_xlfn.XLOOKUP(1,(DESC_PROV[LINEA]=$B$2)*(DESC_PROV[LISTA]=$C$2),DESC_PROV[DESCUENTO]),0))
   *(1+VLOOKUP($C$2,LISTAS[],2,FALSE))
   *(1+VLOOKUP($C$2,LISTAS[],3,FALSE))
)
/5,0)*5,0)</f>
        <v>184160</v>
      </c>
      <c r="R17" s="126" cm="1">
        <f t="array" ref="R17">IFERROR(
ROUND(
IF($A$2="COSTO",
   ((B17*(1+IFERROR(VLOOKUP($D$2,COLORES[],2,FALSE),0)))+(D17+I17+D17))
   *(1-IFERROR(_xlfn.XLOOKUP(1,(DESC_PROV[LINEA]=$B$2)*(DESC_PROV[LISTA]=$C$2),DESC_PROV[DESCUENTO]),0)),
   ((B17*(1+IFERROR(VLOOKUP($D$2,COLORES[],2,FALSE),0)))+(D17+I17+D17))
   *(1-IFERROR(_xlfn.XLOOKUP(1,(DESC_PROV[LINEA]=$B$2)*(DESC_PROV[LISTA]=$C$2),DESC_PROV[DESCUENTO]),0))
   *(1+VLOOKUP($C$2,LISTAS[],2,FALSE))
   *(1+VLOOKUP($C$2,LISTAS[],3,FALSE))
)
/5,0)*5,0)</f>
        <v>207440</v>
      </c>
    </row>
    <row r="18" spans="1:18">
      <c r="A18" s="133" t="s">
        <v>139</v>
      </c>
      <c r="B18" s="125">
        <v>117035</v>
      </c>
      <c r="C18" s="125">
        <v>7186</v>
      </c>
      <c r="D18" s="125">
        <v>8688</v>
      </c>
      <c r="E18" s="125">
        <v>11503</v>
      </c>
      <c r="F18" s="125">
        <v>24788</v>
      </c>
      <c r="G18" s="125">
        <v>9575</v>
      </c>
      <c r="H18" s="125">
        <v>37109</v>
      </c>
      <c r="I18" s="125">
        <v>38001</v>
      </c>
      <c r="J18" s="124"/>
      <c r="K18" s="133" t="s">
        <v>139</v>
      </c>
      <c r="L18" s="125" cm="1">
        <f t="array" ref="L18">IFERROR(
ROUND(
IF($A$2="COSTO",
   ((B18*(1+IFERROR(VLOOKUP($D$2,COLORES[],2,FALSE),0)))+C18)
   *(1-IFERROR(_xlfn.XLOOKUP(1,(DESC_PROV[LINEA]=$B$2)*(DESC_PROV[LISTA]=$C$2),DESC_PROV[DESCUENTO]),0)),
   ((B18*(1+IFERROR(VLOOKUP($D$2,COLORES[],2,FALSE),0)))+C18)
   *(1-IFERROR(_xlfn.XLOOKUP(1,(DESC_PROV[LINEA]=$B$2)*(DESC_PROV[LISTA]=$C$2),DESC_PROV[DESCUENTO]),0))
   *(1+VLOOKUP($C$2,LISTAS[],2,FALSE))
   *(1+VLOOKUP($C$2,LISTAS[],3,FALSE))
)
/5,0)*5,0)</f>
        <v>159195</v>
      </c>
      <c r="M18" s="125" cm="1">
        <f t="array" ref="M18">IFERROR(
ROUND(
IF($A$2="COSTO",
   ((B18*(1+IFERROR(VLOOKUP($D$2,COLORES[],2,FALSE),0)))+D18)
   *(1-IFERROR(_xlfn.XLOOKUP(1,(DESC_PROV[LINEA]=$B$2)*(DESC_PROV[LISTA]=$C$2),DESC_PROV[DESCUENTO]),0)),
   ((B18*(1+IFERROR(VLOOKUP($D$2,COLORES[],2,FALSE),0)))+D18)
   *(1-IFERROR(_xlfn.XLOOKUP(1,(DESC_PROV[LINEA]=$B$2)*(DESC_PROV[LISTA]=$C$2),DESC_PROV[DESCUENTO]),0))
   *(1+VLOOKUP($C$2,LISTAS[],2,FALSE))
   *(1+VLOOKUP($C$2,LISTAS[],3,FALSE))
)
/5,0)*5,0)</f>
        <v>161120</v>
      </c>
      <c r="N18" s="125" cm="1">
        <f t="array" ref="N18">IFERROR(
ROUND(
IF($A$2="COSTO",
   ((B18*(1+IFERROR(VLOOKUP($D$2,COLORES[],2,FALSE),0)))+E18)
   *(1-IFERROR(_xlfn.XLOOKUP(1,(DESC_PROV[LINEA]=$B$2)*(DESC_PROV[LISTA]=$C$2),DESC_PROV[DESCUENTO]),0)),
   ((B18*(1+IFERROR(VLOOKUP($D$2,COLORES[],2,FALSE),0)))+E18)
   *(1-IFERROR(_xlfn.XLOOKUP(1,(DESC_PROV[LINEA]=$B$2)*(DESC_PROV[LISTA]=$C$2),DESC_PROV[DESCUENTO]),0))
   *(1+VLOOKUP($C$2,LISTAS[],2,FALSE))
   *(1+VLOOKUP($C$2,LISTAS[],3,FALSE))
)
/5,0)*5,0)</f>
        <v>164725</v>
      </c>
      <c r="O18" s="125" cm="1">
        <f t="array" ref="O18">IFERROR(
ROUND(
IF($A$2="COSTO",
   ((B18*(1+IFERROR(VLOOKUP($D$2,COLORES[],2,FALSE),0)))+F18)
   *(1-IFERROR(_xlfn.XLOOKUP(1,(DESC_PROV[LINEA]=$B$2)*(DESC_PROV[LISTA]=$C$2),DESC_PROV[DESCUENTO]),0)),
   ((B18*(1+IFERROR(VLOOKUP($D$2,COLORES[],2,FALSE),0)))+F18)
   *(1-IFERROR(_xlfn.XLOOKUP(1,(DESC_PROV[LINEA]=$B$2)*(DESC_PROV[LISTA]=$C$2),DESC_PROV[DESCUENTO]),0))
   *(1+VLOOKUP($C$2,LISTAS[],2,FALSE))
   *(1+VLOOKUP($C$2,LISTAS[],3,FALSE))
)
/5,0)*5,0)</f>
        <v>181750</v>
      </c>
      <c r="P18" s="125" cm="1">
        <f t="array" ref="P18">IFERROR(
ROUND(
IF($A$2="COSTO",
   ((B18*(1+IFERROR(VLOOKUP($D$2,COLORES[],2,FALSE),0)))+G18)
   *(1-IFERROR(_xlfn.XLOOKUP(1,(DESC_PROV[LINEA]=$B$2)*(DESC_PROV[LISTA]=$C$2),DESC_PROV[DESCUENTO]),0)),
   ((B18*(1+IFERROR(VLOOKUP($D$2,COLORES[],2,FALSE),0)))+G18)
   *(1-IFERROR(_xlfn.XLOOKUP(1,(DESC_PROV[LINEA]=$B$2)*(DESC_PROV[LISTA]=$C$2),DESC_PROV[DESCUENTO]),0))
   *(1+VLOOKUP($C$2,LISTAS[],2,FALSE))
   *(1+VLOOKUP($C$2,LISTAS[],3,FALSE))
)
/5,0)*5,0)</f>
        <v>162255</v>
      </c>
      <c r="Q18" s="125" cm="1">
        <f t="array" ref="Q18">IFERROR(
ROUND(
IF($A$2="COSTO",
   ((B18*(1+IFERROR(VLOOKUP($D$2,COLORES[],2,FALSE),0)))+H18)
   *(1-IFERROR(_xlfn.XLOOKUP(1,(DESC_PROV[LINEA]=$B$2)*(DESC_PROV[LISTA]=$C$2),DESC_PROV[DESCUENTO]),0)),
   ((B18*(1+IFERROR(VLOOKUP($D$2,COLORES[],2,FALSE),0)))+H18)
   *(1-IFERROR(_xlfn.XLOOKUP(1,(DESC_PROV[LINEA]=$B$2)*(DESC_PROV[LISTA]=$C$2),DESC_PROV[DESCUENTO]),0))
   *(1+VLOOKUP($C$2,LISTAS[],2,FALSE))
   *(1+VLOOKUP($C$2,LISTAS[],3,FALSE))
)
/5,0)*5,0)</f>
        <v>197540</v>
      </c>
      <c r="R18" s="126" cm="1">
        <f t="array" ref="R18">IFERROR(
ROUND(
IF($A$2="COSTO",
   ((B18*(1+IFERROR(VLOOKUP($D$2,COLORES[],2,FALSE),0)))+(D18+I18+D18))
   *(1-IFERROR(_xlfn.XLOOKUP(1,(DESC_PROV[LINEA]=$B$2)*(DESC_PROV[LISTA]=$C$2),DESC_PROV[DESCUENTO]),0)),
   ((B18*(1+IFERROR(VLOOKUP($D$2,COLORES[],2,FALSE),0)))+(D18+I18+D18))
   *(1-IFERROR(_xlfn.XLOOKUP(1,(DESC_PROV[LINEA]=$B$2)*(DESC_PROV[LISTA]=$C$2),DESC_PROV[DESCUENTO]),0))
   *(1+VLOOKUP($C$2,LISTAS[],2,FALSE))
   *(1+VLOOKUP($C$2,LISTAS[],3,FALSE))
)
/5,0)*5,0)</f>
        <v>220955</v>
      </c>
    </row>
    <row r="19" spans="1:18">
      <c r="A19" s="133" t="s">
        <v>140</v>
      </c>
      <c r="B19" s="125">
        <v>122155</v>
      </c>
      <c r="C19" s="125">
        <v>8208</v>
      </c>
      <c r="D19" s="125">
        <v>9928</v>
      </c>
      <c r="E19" s="125">
        <v>13150</v>
      </c>
      <c r="F19" s="125">
        <v>28327</v>
      </c>
      <c r="G19" s="125">
        <v>10941</v>
      </c>
      <c r="H19" s="125">
        <v>42408</v>
      </c>
      <c r="I19" s="125">
        <v>40924</v>
      </c>
      <c r="J19" s="124"/>
      <c r="K19" s="133" t="s">
        <v>140</v>
      </c>
      <c r="L19" s="125" cm="1">
        <f t="array" ref="L19">IFERROR(
ROUND(
IF($A$2="COSTO",
   ((B19*(1+IFERROR(VLOOKUP($D$2,COLORES[],2,FALSE),0)))+C19)
   *(1-IFERROR(_xlfn.XLOOKUP(1,(DESC_PROV[LINEA]=$B$2)*(DESC_PROV[LISTA]=$C$2),DESC_PROV[DESCUENTO]),0)),
   ((B19*(1+IFERROR(VLOOKUP($D$2,COLORES[],2,FALSE),0)))+C19)
   *(1-IFERROR(_xlfn.XLOOKUP(1,(DESC_PROV[LINEA]=$B$2)*(DESC_PROV[LISTA]=$C$2),DESC_PROV[DESCUENTO]),0))
   *(1+VLOOKUP($C$2,LISTAS[],2,FALSE))
   *(1+VLOOKUP($C$2,LISTAS[],3,FALSE))
)
/5,0)*5,0)</f>
        <v>167065</v>
      </c>
      <c r="M19" s="125" cm="1">
        <f t="array" ref="M19">IFERROR(
ROUND(
IF($A$2="COSTO",
   ((B19*(1+IFERROR(VLOOKUP($D$2,COLORES[],2,FALSE),0)))+D19)
   *(1-IFERROR(_xlfn.XLOOKUP(1,(DESC_PROV[LINEA]=$B$2)*(DESC_PROV[LISTA]=$C$2),DESC_PROV[DESCUENTO]),0)),
   ((B19*(1+IFERROR(VLOOKUP($D$2,COLORES[],2,FALSE),0)))+D19)
   *(1-IFERROR(_xlfn.XLOOKUP(1,(DESC_PROV[LINEA]=$B$2)*(DESC_PROV[LISTA]=$C$2),DESC_PROV[DESCUENTO]),0))
   *(1+VLOOKUP($C$2,LISTAS[],2,FALSE))
   *(1+VLOOKUP($C$2,LISTAS[],3,FALSE))
)
/5,0)*5,0)</f>
        <v>169270</v>
      </c>
      <c r="N19" s="125" cm="1">
        <f t="array" ref="N19">IFERROR(
ROUND(
IF($A$2="COSTO",
   ((B19*(1+IFERROR(VLOOKUP($D$2,COLORES[],2,FALSE),0)))+E19)
   *(1-IFERROR(_xlfn.XLOOKUP(1,(DESC_PROV[LINEA]=$B$2)*(DESC_PROV[LISTA]=$C$2),DESC_PROV[DESCUENTO]),0)),
   ((B19*(1+IFERROR(VLOOKUP($D$2,COLORES[],2,FALSE),0)))+E19)
   *(1-IFERROR(_xlfn.XLOOKUP(1,(DESC_PROV[LINEA]=$B$2)*(DESC_PROV[LISTA]=$C$2),DESC_PROV[DESCUENTO]),0))
   *(1+VLOOKUP($C$2,LISTAS[],2,FALSE))
   *(1+VLOOKUP($C$2,LISTAS[],3,FALSE))
)
/5,0)*5,0)</f>
        <v>173400</v>
      </c>
      <c r="O19" s="125" cm="1">
        <f t="array" ref="O19">IFERROR(
ROUND(
IF($A$2="COSTO",
   ((B19*(1+IFERROR(VLOOKUP($D$2,COLORES[],2,FALSE),0)))+F19)
   *(1-IFERROR(_xlfn.XLOOKUP(1,(DESC_PROV[LINEA]=$B$2)*(DESC_PROV[LISTA]=$C$2),DESC_PROV[DESCUENTO]),0)),
   ((B19*(1+IFERROR(VLOOKUP($D$2,COLORES[],2,FALSE),0)))+F19)
   *(1-IFERROR(_xlfn.XLOOKUP(1,(DESC_PROV[LINEA]=$B$2)*(DESC_PROV[LISTA]=$C$2),DESC_PROV[DESCUENTO]),0))
   *(1+VLOOKUP($C$2,LISTAS[],2,FALSE))
   *(1+VLOOKUP($C$2,LISTAS[],3,FALSE))
)
/5,0)*5,0)</f>
        <v>192850</v>
      </c>
      <c r="P19" s="125" cm="1">
        <f t="array" ref="P19">IFERROR(
ROUND(
IF($A$2="COSTO",
   ((B19*(1+IFERROR(VLOOKUP($D$2,COLORES[],2,FALSE),0)))+G19)
   *(1-IFERROR(_xlfn.XLOOKUP(1,(DESC_PROV[LINEA]=$B$2)*(DESC_PROV[LISTA]=$C$2),DESC_PROV[DESCUENTO]),0)),
   ((B19*(1+IFERROR(VLOOKUP($D$2,COLORES[],2,FALSE),0)))+G19)
   *(1-IFERROR(_xlfn.XLOOKUP(1,(DESC_PROV[LINEA]=$B$2)*(DESC_PROV[LISTA]=$C$2),DESC_PROV[DESCUENTO]),0))
   *(1+VLOOKUP($C$2,LISTAS[],2,FALSE))
   *(1+VLOOKUP($C$2,LISTAS[],3,FALSE))
)
/5,0)*5,0)</f>
        <v>170570</v>
      </c>
      <c r="Q19" s="125" cm="1">
        <f t="array" ref="Q19">IFERROR(
ROUND(
IF($A$2="COSTO",
   ((B19*(1+IFERROR(VLOOKUP($D$2,COLORES[],2,FALSE),0)))+H19)
   *(1-IFERROR(_xlfn.XLOOKUP(1,(DESC_PROV[LINEA]=$B$2)*(DESC_PROV[LISTA]=$C$2),DESC_PROV[DESCUENTO]),0)),
   ((B19*(1+IFERROR(VLOOKUP($D$2,COLORES[],2,FALSE),0)))+H19)
   *(1-IFERROR(_xlfn.XLOOKUP(1,(DESC_PROV[LINEA]=$B$2)*(DESC_PROV[LISTA]=$C$2),DESC_PROV[DESCUENTO]),0))
   *(1+VLOOKUP($C$2,LISTAS[],2,FALSE))
   *(1+VLOOKUP($C$2,LISTAS[],3,FALSE))
)
/5,0)*5,0)</f>
        <v>210895</v>
      </c>
      <c r="R19" s="126" cm="1">
        <f t="array" ref="R19">IFERROR(
ROUND(
IF($A$2="COSTO",
   ((B19*(1+IFERROR(VLOOKUP($D$2,COLORES[],2,FALSE),0)))+(D19+I19+D19))
   *(1-IFERROR(_xlfn.XLOOKUP(1,(DESC_PROV[LINEA]=$B$2)*(DESC_PROV[LISTA]=$C$2),DESC_PROV[DESCUENTO]),0)),
   ((B19*(1+IFERROR(VLOOKUP($D$2,COLORES[],2,FALSE),0)))+(D19+I19+D19))
   *(1-IFERROR(_xlfn.XLOOKUP(1,(DESC_PROV[LINEA]=$B$2)*(DESC_PROV[LISTA]=$C$2),DESC_PROV[DESCUENTO]),0))
   *(1+VLOOKUP($C$2,LISTAS[],2,FALSE))
   *(1+VLOOKUP($C$2,LISTAS[],3,FALSE))
)
/5,0)*5,0)</f>
        <v>234440</v>
      </c>
    </row>
    <row r="20" spans="1:18">
      <c r="A20" s="133" t="s">
        <v>141</v>
      </c>
      <c r="B20" s="125">
        <v>127276</v>
      </c>
      <c r="C20" s="125">
        <v>9231</v>
      </c>
      <c r="D20" s="125">
        <v>11168</v>
      </c>
      <c r="E20" s="125">
        <v>14797</v>
      </c>
      <c r="F20" s="125">
        <v>31865</v>
      </c>
      <c r="G20" s="125">
        <v>12308</v>
      </c>
      <c r="H20" s="125">
        <v>47708</v>
      </c>
      <c r="I20" s="125">
        <v>43847</v>
      </c>
      <c r="J20" s="124"/>
      <c r="K20" s="133" t="s">
        <v>141</v>
      </c>
      <c r="L20" s="125" cm="1">
        <f t="array" ref="L20">IFERROR(
ROUND(
IF($A$2="COSTO",
   ((B20*(1+IFERROR(VLOOKUP($D$2,COLORES[],2,FALSE),0)))+C20)
   *(1-IFERROR(_xlfn.XLOOKUP(1,(DESC_PROV[LINEA]=$B$2)*(DESC_PROV[LISTA]=$C$2),DESC_PROV[DESCUENTO]),0)),
   ((B20*(1+IFERROR(VLOOKUP($D$2,COLORES[],2,FALSE),0)))+C20)
   *(1-IFERROR(_xlfn.XLOOKUP(1,(DESC_PROV[LINEA]=$B$2)*(DESC_PROV[LISTA]=$C$2),DESC_PROV[DESCUENTO]),0))
   *(1+VLOOKUP($C$2,LISTAS[],2,FALSE))
   *(1+VLOOKUP($C$2,LISTAS[],3,FALSE))
)
/5,0)*5,0)</f>
        <v>174940</v>
      </c>
      <c r="M20" s="125" cm="1">
        <f t="array" ref="M20">IFERROR(
ROUND(
IF($A$2="COSTO",
   ((B20*(1+IFERROR(VLOOKUP($D$2,COLORES[],2,FALSE),0)))+D20)
   *(1-IFERROR(_xlfn.XLOOKUP(1,(DESC_PROV[LINEA]=$B$2)*(DESC_PROV[LISTA]=$C$2),DESC_PROV[DESCUENTO]),0)),
   ((B20*(1+IFERROR(VLOOKUP($D$2,COLORES[],2,FALSE),0)))+D20)
   *(1-IFERROR(_xlfn.XLOOKUP(1,(DESC_PROV[LINEA]=$B$2)*(DESC_PROV[LISTA]=$C$2),DESC_PROV[DESCUENTO]),0))
   *(1+VLOOKUP($C$2,LISTAS[],2,FALSE))
   *(1+VLOOKUP($C$2,LISTAS[],3,FALSE))
)
/5,0)*5,0)</f>
        <v>177420</v>
      </c>
      <c r="N20" s="125" cm="1">
        <f t="array" ref="N20">IFERROR(
ROUND(
IF($A$2="COSTO",
   ((B20*(1+IFERROR(VLOOKUP($D$2,COLORES[],2,FALSE),0)))+E20)
   *(1-IFERROR(_xlfn.XLOOKUP(1,(DESC_PROV[LINEA]=$B$2)*(DESC_PROV[LISTA]=$C$2),DESC_PROV[DESCUENTO]),0)),
   ((B20*(1+IFERROR(VLOOKUP($D$2,COLORES[],2,FALSE),0)))+E20)
   *(1-IFERROR(_xlfn.XLOOKUP(1,(DESC_PROV[LINEA]=$B$2)*(DESC_PROV[LISTA]=$C$2),DESC_PROV[DESCUENTO]),0))
   *(1+VLOOKUP($C$2,LISTAS[],2,FALSE))
   *(1+VLOOKUP($C$2,LISTAS[],3,FALSE))
)
/5,0)*5,0)</f>
        <v>182070</v>
      </c>
      <c r="O20" s="125" cm="1">
        <f t="array" ref="O20">IFERROR(
ROUND(
IF($A$2="COSTO",
   ((B20*(1+IFERROR(VLOOKUP($D$2,COLORES[],2,FALSE),0)))+F20)
   *(1-IFERROR(_xlfn.XLOOKUP(1,(DESC_PROV[LINEA]=$B$2)*(DESC_PROV[LISTA]=$C$2),DESC_PROV[DESCUENTO]),0)),
   ((B20*(1+IFERROR(VLOOKUP($D$2,COLORES[],2,FALSE),0)))+F20)
   *(1-IFERROR(_xlfn.XLOOKUP(1,(DESC_PROV[LINEA]=$B$2)*(DESC_PROV[LISTA]=$C$2),DESC_PROV[DESCUENTO]),0))
   *(1+VLOOKUP($C$2,LISTAS[],2,FALSE))
   *(1+VLOOKUP($C$2,LISTAS[],3,FALSE))
)
/5,0)*5,0)</f>
        <v>203945</v>
      </c>
      <c r="P20" s="125" cm="1">
        <f t="array" ref="P20">IFERROR(
ROUND(
IF($A$2="COSTO",
   ((B20*(1+IFERROR(VLOOKUP($D$2,COLORES[],2,FALSE),0)))+G20)
   *(1-IFERROR(_xlfn.XLOOKUP(1,(DESC_PROV[LINEA]=$B$2)*(DESC_PROV[LISTA]=$C$2),DESC_PROV[DESCUENTO]),0)),
   ((B20*(1+IFERROR(VLOOKUP($D$2,COLORES[],2,FALSE),0)))+G20)
   *(1-IFERROR(_xlfn.XLOOKUP(1,(DESC_PROV[LINEA]=$B$2)*(DESC_PROV[LISTA]=$C$2),DESC_PROV[DESCUENTO]),0))
   *(1+VLOOKUP($C$2,LISTAS[],2,FALSE))
   *(1+VLOOKUP($C$2,LISTAS[],3,FALSE))
)
/5,0)*5,0)</f>
        <v>178880</v>
      </c>
      <c r="Q20" s="125" cm="1">
        <f t="array" ref="Q20">IFERROR(
ROUND(
IF($A$2="COSTO",
   ((B20*(1+IFERROR(VLOOKUP($D$2,COLORES[],2,FALSE),0)))+H20)
   *(1-IFERROR(_xlfn.XLOOKUP(1,(DESC_PROV[LINEA]=$B$2)*(DESC_PROV[LISTA]=$C$2),DESC_PROV[DESCUENTO]),0)),
   ((B20*(1+IFERROR(VLOOKUP($D$2,COLORES[],2,FALSE),0)))+H20)
   *(1-IFERROR(_xlfn.XLOOKUP(1,(DESC_PROV[LINEA]=$B$2)*(DESC_PROV[LISTA]=$C$2),DESC_PROV[DESCUENTO]),0))
   *(1+VLOOKUP($C$2,LISTAS[],2,FALSE))
   *(1+VLOOKUP($C$2,LISTAS[],3,FALSE))
)
/5,0)*5,0)</f>
        <v>224250</v>
      </c>
      <c r="R20" s="126" cm="1">
        <f t="array" ref="R20">IFERROR(
ROUND(
IF($A$2="COSTO",
   ((B20*(1+IFERROR(VLOOKUP($D$2,COLORES[],2,FALSE),0)))+(D20+I20+D20))
   *(1-IFERROR(_xlfn.XLOOKUP(1,(DESC_PROV[LINEA]=$B$2)*(DESC_PROV[LISTA]=$C$2),DESC_PROV[DESCUENTO]),0)),
   ((B20*(1+IFERROR(VLOOKUP($D$2,COLORES[],2,FALSE),0)))+(D20+I20+D20))
   *(1-IFERROR(_xlfn.XLOOKUP(1,(DESC_PROV[LINEA]=$B$2)*(DESC_PROV[LISTA]=$C$2),DESC_PROV[DESCUENTO]),0))
   *(1+VLOOKUP($C$2,LISTAS[],2,FALSE))
   *(1+VLOOKUP($C$2,LISTAS[],3,FALSE))
)
/5,0)*5,0)</f>
        <v>247925</v>
      </c>
    </row>
    <row r="21" spans="1:18">
      <c r="A21" s="133" t="s">
        <v>156</v>
      </c>
      <c r="B21" s="125">
        <v>101653</v>
      </c>
      <c r="C21" s="125">
        <v>3846</v>
      </c>
      <c r="D21" s="125">
        <v>4661</v>
      </c>
      <c r="E21" s="125">
        <v>6145</v>
      </c>
      <c r="F21" s="125">
        <v>13294</v>
      </c>
      <c r="G21" s="125">
        <v>5140</v>
      </c>
      <c r="H21" s="125">
        <v>19896</v>
      </c>
      <c r="I21" s="125">
        <v>29232</v>
      </c>
      <c r="J21" s="124"/>
      <c r="K21" s="133" t="s">
        <v>156</v>
      </c>
      <c r="L21" s="125" cm="1">
        <f t="array" ref="L21">IFERROR(
ROUND(
IF($A$2="COSTO",
   ((B21*(1+IFERROR(VLOOKUP($D$2,COLORES[],2,FALSE),0)))+C21)
   *(1-IFERROR(_xlfn.XLOOKUP(1,(DESC_PROV[LINEA]=$B$2)*(DESC_PROV[LISTA]=$C$2),DESC_PROV[DESCUENTO]),0)),
   ((B21*(1+IFERROR(VLOOKUP($D$2,COLORES[],2,FALSE),0)))+C21)
   *(1-IFERROR(_xlfn.XLOOKUP(1,(DESC_PROV[LINEA]=$B$2)*(DESC_PROV[LISTA]=$C$2),DESC_PROV[DESCUENTO]),0))
   *(1+VLOOKUP($C$2,LISTAS[],2,FALSE))
   *(1+VLOOKUP($C$2,LISTAS[],3,FALSE))
)
/5,0)*5,0)</f>
        <v>135200</v>
      </c>
      <c r="M21" s="125" cm="1">
        <f t="array" ref="M21">IFERROR(
ROUND(
IF($A$2="COSTO",
   ((B21*(1+IFERROR(VLOOKUP($D$2,COLORES[],2,FALSE),0)))+D21)
   *(1-IFERROR(_xlfn.XLOOKUP(1,(DESC_PROV[LINEA]=$B$2)*(DESC_PROV[LISTA]=$C$2),DESC_PROV[DESCUENTO]),0)),
   ((B21*(1+IFERROR(VLOOKUP($D$2,COLORES[],2,FALSE),0)))+D21)
   *(1-IFERROR(_xlfn.XLOOKUP(1,(DESC_PROV[LINEA]=$B$2)*(DESC_PROV[LISTA]=$C$2),DESC_PROV[DESCUENTO]),0))
   *(1+VLOOKUP($C$2,LISTAS[],2,FALSE))
   *(1+VLOOKUP($C$2,LISTAS[],3,FALSE))
)
/5,0)*5,0)</f>
        <v>136245</v>
      </c>
      <c r="N21" s="125" cm="1">
        <f t="array" ref="N21">IFERROR(
ROUND(
IF($A$2="COSTO",
   ((B21*(1+IFERROR(VLOOKUP($D$2,COLORES[],2,FALSE),0)))+E21)
   *(1-IFERROR(_xlfn.XLOOKUP(1,(DESC_PROV[LINEA]=$B$2)*(DESC_PROV[LISTA]=$C$2),DESC_PROV[DESCUENTO]),0)),
   ((B21*(1+IFERROR(VLOOKUP($D$2,COLORES[],2,FALSE),0)))+E21)
   *(1-IFERROR(_xlfn.XLOOKUP(1,(DESC_PROV[LINEA]=$B$2)*(DESC_PROV[LISTA]=$C$2),DESC_PROV[DESCUENTO]),0))
   *(1+VLOOKUP($C$2,LISTAS[],2,FALSE))
   *(1+VLOOKUP($C$2,LISTAS[],3,FALSE))
)
/5,0)*5,0)</f>
        <v>138145</v>
      </c>
      <c r="O21" s="125" cm="1">
        <f t="array" ref="O21">IFERROR(
ROUND(
IF($A$2="COSTO",
   ((B21*(1+IFERROR(VLOOKUP($D$2,COLORES[],2,FALSE),0)))+F21)
   *(1-IFERROR(_xlfn.XLOOKUP(1,(DESC_PROV[LINEA]=$B$2)*(DESC_PROV[LISTA]=$C$2),DESC_PROV[DESCUENTO]),0)),
   ((B21*(1+IFERROR(VLOOKUP($D$2,COLORES[],2,FALSE),0)))+F21)
   *(1-IFERROR(_xlfn.XLOOKUP(1,(DESC_PROV[LINEA]=$B$2)*(DESC_PROV[LISTA]=$C$2),DESC_PROV[DESCUENTO]),0))
   *(1+VLOOKUP($C$2,LISTAS[],2,FALSE))
   *(1+VLOOKUP($C$2,LISTAS[],3,FALSE))
)
/5,0)*5,0)</f>
        <v>147310</v>
      </c>
      <c r="P21" s="125" cm="1">
        <f t="array" ref="P21">IFERROR(
ROUND(
IF($A$2="COSTO",
   ((B21*(1+IFERROR(VLOOKUP($D$2,COLORES[],2,FALSE),0)))+G21)
   *(1-IFERROR(_xlfn.XLOOKUP(1,(DESC_PROV[LINEA]=$B$2)*(DESC_PROV[LISTA]=$C$2),DESC_PROV[DESCUENTO]),0)),
   ((B21*(1+IFERROR(VLOOKUP($D$2,COLORES[],2,FALSE),0)))+G21)
   *(1-IFERROR(_xlfn.XLOOKUP(1,(DESC_PROV[LINEA]=$B$2)*(DESC_PROV[LISTA]=$C$2),DESC_PROV[DESCUENTO]),0))
   *(1+VLOOKUP($C$2,LISTAS[],2,FALSE))
   *(1+VLOOKUP($C$2,LISTAS[],3,FALSE))
)
/5,0)*5,0)</f>
        <v>136860</v>
      </c>
      <c r="Q21" s="125" cm="1">
        <f t="array" ref="Q21">IFERROR(
ROUND(
IF($A$2="COSTO",
   ((B21*(1+IFERROR(VLOOKUP($D$2,COLORES[],2,FALSE),0)))+H21)
   *(1-IFERROR(_xlfn.XLOOKUP(1,(DESC_PROV[LINEA]=$B$2)*(DESC_PROV[LISTA]=$C$2),DESC_PROV[DESCUENTO]),0)),
   ((B21*(1+IFERROR(VLOOKUP($D$2,COLORES[],2,FALSE),0)))+H21)
   *(1-IFERROR(_xlfn.XLOOKUP(1,(DESC_PROV[LINEA]=$B$2)*(DESC_PROV[LISTA]=$C$2),DESC_PROV[DESCUENTO]),0))
   *(1+VLOOKUP($C$2,LISTAS[],2,FALSE))
   *(1+VLOOKUP($C$2,LISTAS[],3,FALSE))
)
/5,0)*5,0)</f>
        <v>155770</v>
      </c>
      <c r="R21" s="126" cm="1">
        <f t="array" ref="R21">IFERROR(
ROUND(
IF($A$2="COSTO",
   ((B21*(1+IFERROR(VLOOKUP($D$2,COLORES[],2,FALSE),0)))+(D21+I21+D21))
   *(1-IFERROR(_xlfn.XLOOKUP(1,(DESC_PROV[LINEA]=$B$2)*(DESC_PROV[LISTA]=$C$2),DESC_PROV[DESCUENTO]),0)),
   ((B21*(1+IFERROR(VLOOKUP($D$2,COLORES[],2,FALSE),0)))+(D21+I21+D21))
   *(1-IFERROR(_xlfn.XLOOKUP(1,(DESC_PROV[LINEA]=$B$2)*(DESC_PROV[LISTA]=$C$2),DESC_PROV[DESCUENTO]),0))
   *(1+VLOOKUP($C$2,LISTAS[],2,FALSE))
   *(1+VLOOKUP($C$2,LISTAS[],3,FALSE))
)
/5,0)*5,0)</f>
        <v>179680</v>
      </c>
    </row>
    <row r="22" spans="1:18">
      <c r="A22" s="133" t="s">
        <v>157</v>
      </c>
      <c r="B22" s="125">
        <v>106774</v>
      </c>
      <c r="C22" s="125">
        <v>5131</v>
      </c>
      <c r="D22" s="125">
        <v>6208</v>
      </c>
      <c r="E22" s="125">
        <v>8208</v>
      </c>
      <c r="F22" s="125">
        <v>17711</v>
      </c>
      <c r="G22" s="125">
        <v>6842</v>
      </c>
      <c r="H22" s="125">
        <v>26509</v>
      </c>
      <c r="I22" s="125">
        <v>32155</v>
      </c>
      <c r="J22" s="124"/>
      <c r="K22" s="133" t="s">
        <v>157</v>
      </c>
      <c r="L22" s="125" cm="1">
        <f t="array" ref="L22">IFERROR(
ROUND(
IF($A$2="COSTO",
   ((B22*(1+IFERROR(VLOOKUP($D$2,COLORES[],2,FALSE),0)))+C22)
   *(1-IFERROR(_xlfn.XLOOKUP(1,(DESC_PROV[LINEA]=$B$2)*(DESC_PROV[LISTA]=$C$2),DESC_PROV[DESCUENTO]),0)),
   ((B22*(1+IFERROR(VLOOKUP($D$2,COLORES[],2,FALSE),0)))+C22)
   *(1-IFERROR(_xlfn.XLOOKUP(1,(DESC_PROV[LINEA]=$B$2)*(DESC_PROV[LISTA]=$C$2),DESC_PROV[DESCUENTO]),0))
   *(1+VLOOKUP($C$2,LISTAS[],2,FALSE))
   *(1+VLOOKUP($C$2,LISTAS[],3,FALSE))
)
/5,0)*5,0)</f>
        <v>143410</v>
      </c>
      <c r="M22" s="125" cm="1">
        <f t="array" ref="M22">IFERROR(
ROUND(
IF($A$2="COSTO",
   ((B22*(1+IFERROR(VLOOKUP($D$2,COLORES[],2,FALSE),0)))+D22)
   *(1-IFERROR(_xlfn.XLOOKUP(1,(DESC_PROV[LINEA]=$B$2)*(DESC_PROV[LISTA]=$C$2),DESC_PROV[DESCUENTO]),0)),
   ((B22*(1+IFERROR(VLOOKUP($D$2,COLORES[],2,FALSE),0)))+D22)
   *(1-IFERROR(_xlfn.XLOOKUP(1,(DESC_PROV[LINEA]=$B$2)*(DESC_PROV[LISTA]=$C$2),DESC_PROV[DESCUENTO]),0))
   *(1+VLOOKUP($C$2,LISTAS[],2,FALSE))
   *(1+VLOOKUP($C$2,LISTAS[],3,FALSE))
)
/5,0)*5,0)</f>
        <v>144790</v>
      </c>
      <c r="N22" s="125" cm="1">
        <f t="array" ref="N22">IFERROR(
ROUND(
IF($A$2="COSTO",
   ((B22*(1+IFERROR(VLOOKUP($D$2,COLORES[],2,FALSE),0)))+E22)
   *(1-IFERROR(_xlfn.XLOOKUP(1,(DESC_PROV[LINEA]=$B$2)*(DESC_PROV[LISTA]=$C$2),DESC_PROV[DESCUENTO]),0)),
   ((B22*(1+IFERROR(VLOOKUP($D$2,COLORES[],2,FALSE),0)))+E22)
   *(1-IFERROR(_xlfn.XLOOKUP(1,(DESC_PROV[LINEA]=$B$2)*(DESC_PROV[LISTA]=$C$2),DESC_PROV[DESCUENTO]),0))
   *(1+VLOOKUP($C$2,LISTAS[],2,FALSE))
   *(1+VLOOKUP($C$2,LISTAS[],3,FALSE))
)
/5,0)*5,0)</f>
        <v>147355</v>
      </c>
      <c r="O22" s="125" cm="1">
        <f t="array" ref="O22">IFERROR(
ROUND(
IF($A$2="COSTO",
   ((B22*(1+IFERROR(VLOOKUP($D$2,COLORES[],2,FALSE),0)))+F22)
   *(1-IFERROR(_xlfn.XLOOKUP(1,(DESC_PROV[LINEA]=$B$2)*(DESC_PROV[LISTA]=$C$2),DESC_PROV[DESCUENTO]),0)),
   ((B22*(1+IFERROR(VLOOKUP($D$2,COLORES[],2,FALSE),0)))+F22)
   *(1-IFERROR(_xlfn.XLOOKUP(1,(DESC_PROV[LINEA]=$B$2)*(DESC_PROV[LISTA]=$C$2),DESC_PROV[DESCUENTO]),0))
   *(1+VLOOKUP($C$2,LISTAS[],2,FALSE))
   *(1+VLOOKUP($C$2,LISTAS[],3,FALSE))
)
/5,0)*5,0)</f>
        <v>159535</v>
      </c>
      <c r="P22" s="125" cm="1">
        <f t="array" ref="P22">IFERROR(
ROUND(
IF($A$2="COSTO",
   ((B22*(1+IFERROR(VLOOKUP($D$2,COLORES[],2,FALSE),0)))+G22)
   *(1-IFERROR(_xlfn.XLOOKUP(1,(DESC_PROV[LINEA]=$B$2)*(DESC_PROV[LISTA]=$C$2),DESC_PROV[DESCUENTO]),0)),
   ((B22*(1+IFERROR(VLOOKUP($D$2,COLORES[],2,FALSE),0)))+G22)
   *(1-IFERROR(_xlfn.XLOOKUP(1,(DESC_PROV[LINEA]=$B$2)*(DESC_PROV[LISTA]=$C$2),DESC_PROV[DESCUENTO]),0))
   *(1+VLOOKUP($C$2,LISTAS[],2,FALSE))
   *(1+VLOOKUP($C$2,LISTAS[],3,FALSE))
)
/5,0)*5,0)</f>
        <v>145605</v>
      </c>
      <c r="Q22" s="125" cm="1">
        <f t="array" ref="Q22">IFERROR(
ROUND(
IF($A$2="COSTO",
   ((B22*(1+IFERROR(VLOOKUP($D$2,COLORES[],2,FALSE),0)))+H22)
   *(1-IFERROR(_xlfn.XLOOKUP(1,(DESC_PROV[LINEA]=$B$2)*(DESC_PROV[LISTA]=$C$2),DESC_PROV[DESCUENTO]),0)),
   ((B22*(1+IFERROR(VLOOKUP($D$2,COLORES[],2,FALSE),0)))+H22)
   *(1-IFERROR(_xlfn.XLOOKUP(1,(DESC_PROV[LINEA]=$B$2)*(DESC_PROV[LISTA]=$C$2),DESC_PROV[DESCUENTO]),0))
   *(1+VLOOKUP($C$2,LISTAS[],2,FALSE))
   *(1+VLOOKUP($C$2,LISTAS[],3,FALSE))
)
/5,0)*5,0)</f>
        <v>170805</v>
      </c>
      <c r="R22" s="126" cm="1">
        <f t="array" ref="R22">IFERROR(
ROUND(
IF($A$2="COSTO",
   ((B22*(1+IFERROR(VLOOKUP($D$2,COLORES[],2,FALSE),0)))+(D22+I22+D22))
   *(1-IFERROR(_xlfn.XLOOKUP(1,(DESC_PROV[LINEA]=$B$2)*(DESC_PROV[LISTA]=$C$2),DESC_PROV[DESCUENTO]),0)),
   ((B22*(1+IFERROR(VLOOKUP($D$2,COLORES[],2,FALSE),0)))+(D22+I22+D22))
   *(1-IFERROR(_xlfn.XLOOKUP(1,(DESC_PROV[LINEA]=$B$2)*(DESC_PROV[LISTA]=$C$2),DESC_PROV[DESCUENTO]),0))
   *(1+VLOOKUP($C$2,LISTAS[],2,FALSE))
   *(1+VLOOKUP($C$2,LISTAS[],3,FALSE))
)
/5,0)*5,0)</f>
        <v>193955</v>
      </c>
    </row>
    <row r="23" spans="1:18">
      <c r="A23" s="133" t="s">
        <v>158</v>
      </c>
      <c r="B23" s="125">
        <v>111894</v>
      </c>
      <c r="C23" s="125">
        <v>6407</v>
      </c>
      <c r="D23" s="125">
        <v>7756</v>
      </c>
      <c r="E23" s="125">
        <v>10272</v>
      </c>
      <c r="F23" s="125">
        <v>22127</v>
      </c>
      <c r="G23" s="125">
        <v>8543</v>
      </c>
      <c r="H23" s="125">
        <v>33123</v>
      </c>
      <c r="I23" s="125">
        <v>35078</v>
      </c>
      <c r="J23" s="124"/>
      <c r="K23" s="133" t="s">
        <v>158</v>
      </c>
      <c r="L23" s="125" cm="1">
        <f t="array" ref="L23">IFERROR(
ROUND(
IF($A$2="COSTO",
   ((B23*(1+IFERROR(VLOOKUP($D$2,COLORES[],2,FALSE),0)))+C23)
   *(1-IFERROR(_xlfn.XLOOKUP(1,(DESC_PROV[LINEA]=$B$2)*(DESC_PROV[LISTA]=$C$2),DESC_PROV[DESCUENTO]),0)),
   ((B23*(1+IFERROR(VLOOKUP($D$2,COLORES[],2,FALSE),0)))+C23)
   *(1-IFERROR(_xlfn.XLOOKUP(1,(DESC_PROV[LINEA]=$B$2)*(DESC_PROV[LISTA]=$C$2),DESC_PROV[DESCUENTO]),0))
   *(1+VLOOKUP($C$2,LISTAS[],2,FALSE))
   *(1+VLOOKUP($C$2,LISTAS[],3,FALSE))
)
/5,0)*5,0)</f>
        <v>151605</v>
      </c>
      <c r="M23" s="125" cm="1">
        <f t="array" ref="M23">IFERROR(
ROUND(
IF($A$2="COSTO",
   ((B23*(1+IFERROR(VLOOKUP($D$2,COLORES[],2,FALSE),0)))+D23)
   *(1-IFERROR(_xlfn.XLOOKUP(1,(DESC_PROV[LINEA]=$B$2)*(DESC_PROV[LISTA]=$C$2),DESC_PROV[DESCUENTO]),0)),
   ((B23*(1+IFERROR(VLOOKUP($D$2,COLORES[],2,FALSE),0)))+D23)
   *(1-IFERROR(_xlfn.XLOOKUP(1,(DESC_PROV[LINEA]=$B$2)*(DESC_PROV[LISTA]=$C$2),DESC_PROV[DESCUENTO]),0))
   *(1+VLOOKUP($C$2,LISTAS[],2,FALSE))
   *(1+VLOOKUP($C$2,LISTAS[],3,FALSE))
)
/5,0)*5,0)</f>
        <v>153335</v>
      </c>
      <c r="N23" s="125" cm="1">
        <f t="array" ref="N23">IFERROR(
ROUND(
IF($A$2="COSTO",
   ((B23*(1+IFERROR(VLOOKUP($D$2,COLORES[],2,FALSE),0)))+E23)
   *(1-IFERROR(_xlfn.XLOOKUP(1,(DESC_PROV[LINEA]=$B$2)*(DESC_PROV[LISTA]=$C$2),DESC_PROV[DESCUENTO]),0)),
   ((B23*(1+IFERROR(VLOOKUP($D$2,COLORES[],2,FALSE),0)))+E23)
   *(1-IFERROR(_xlfn.XLOOKUP(1,(DESC_PROV[LINEA]=$B$2)*(DESC_PROV[LISTA]=$C$2),DESC_PROV[DESCUENTO]),0))
   *(1+VLOOKUP($C$2,LISTAS[],2,FALSE))
   *(1+VLOOKUP($C$2,LISTAS[],3,FALSE))
)
/5,0)*5,0)</f>
        <v>156560</v>
      </c>
      <c r="O23" s="125" cm="1">
        <f t="array" ref="O23">IFERROR(
ROUND(
IF($A$2="COSTO",
   ((B23*(1+IFERROR(VLOOKUP($D$2,COLORES[],2,FALSE),0)))+F23)
   *(1-IFERROR(_xlfn.XLOOKUP(1,(DESC_PROV[LINEA]=$B$2)*(DESC_PROV[LISTA]=$C$2),DESC_PROV[DESCUENTO]),0)),
   ((B23*(1+IFERROR(VLOOKUP($D$2,COLORES[],2,FALSE),0)))+F23)
   *(1-IFERROR(_xlfn.XLOOKUP(1,(DESC_PROV[LINEA]=$B$2)*(DESC_PROV[LISTA]=$C$2),DESC_PROV[DESCUENTO]),0))
   *(1+VLOOKUP($C$2,LISTAS[],2,FALSE))
   *(1+VLOOKUP($C$2,LISTAS[],3,FALSE))
)
/5,0)*5,0)</f>
        <v>171755</v>
      </c>
      <c r="P23" s="125" cm="1">
        <f t="array" ref="P23">IFERROR(
ROUND(
IF($A$2="COSTO",
   ((B23*(1+IFERROR(VLOOKUP($D$2,COLORES[],2,FALSE),0)))+G23)
   *(1-IFERROR(_xlfn.XLOOKUP(1,(DESC_PROV[LINEA]=$B$2)*(DESC_PROV[LISTA]=$C$2),DESC_PROV[DESCUENTO]),0)),
   ((B23*(1+IFERROR(VLOOKUP($D$2,COLORES[],2,FALSE),0)))+G23)
   *(1-IFERROR(_xlfn.XLOOKUP(1,(DESC_PROV[LINEA]=$B$2)*(DESC_PROV[LISTA]=$C$2),DESC_PROV[DESCUENTO]),0))
   *(1+VLOOKUP($C$2,LISTAS[],2,FALSE))
   *(1+VLOOKUP($C$2,LISTAS[],3,FALSE))
)
/5,0)*5,0)</f>
        <v>154345</v>
      </c>
      <c r="Q23" s="125" cm="1">
        <f t="array" ref="Q23">IFERROR(
ROUND(
IF($A$2="COSTO",
   ((B23*(1+IFERROR(VLOOKUP($D$2,COLORES[],2,FALSE),0)))+H23)
   *(1-IFERROR(_xlfn.XLOOKUP(1,(DESC_PROV[LINEA]=$B$2)*(DESC_PROV[LISTA]=$C$2),DESC_PROV[DESCUENTO]),0)),
   ((B23*(1+IFERROR(VLOOKUP($D$2,COLORES[],2,FALSE),0)))+H23)
   *(1-IFERROR(_xlfn.XLOOKUP(1,(DESC_PROV[LINEA]=$B$2)*(DESC_PROV[LISTA]=$C$2),DESC_PROV[DESCUENTO]),0))
   *(1+VLOOKUP($C$2,LISTAS[],2,FALSE))
   *(1+VLOOKUP($C$2,LISTAS[],3,FALSE))
)
/5,0)*5,0)</f>
        <v>185845</v>
      </c>
      <c r="R23" s="126" cm="1">
        <f t="array" ref="R23">IFERROR(
ROUND(
IF($A$2="COSTO",
   ((B23*(1+IFERROR(VLOOKUP($D$2,COLORES[],2,FALSE),0)))+(D23+I23+D23))
   *(1-IFERROR(_xlfn.XLOOKUP(1,(DESC_PROV[LINEA]=$B$2)*(DESC_PROV[LISTA]=$C$2),DESC_PROV[DESCUENTO]),0)),
   ((B23*(1+IFERROR(VLOOKUP($D$2,COLORES[],2,FALSE),0)))+(D23+I23+D23))
   *(1-IFERROR(_xlfn.XLOOKUP(1,(DESC_PROV[LINEA]=$B$2)*(DESC_PROV[LISTA]=$C$2),DESC_PROV[DESCUENTO]),0))
   *(1+VLOOKUP($C$2,LISTAS[],2,FALSE))
   *(1+VLOOKUP($C$2,LISTAS[],3,FALSE))
)
/5,0)*5,0)</f>
        <v>208230</v>
      </c>
    </row>
    <row r="24" spans="1:18">
      <c r="A24" s="133" t="s">
        <v>159</v>
      </c>
      <c r="B24" s="125">
        <v>117035</v>
      </c>
      <c r="C24" s="125">
        <v>7693</v>
      </c>
      <c r="D24" s="125">
        <v>9303</v>
      </c>
      <c r="E24" s="125">
        <v>12335</v>
      </c>
      <c r="F24" s="125">
        <v>26634</v>
      </c>
      <c r="G24" s="125">
        <v>10245</v>
      </c>
      <c r="H24" s="125">
        <v>39737</v>
      </c>
      <c r="I24" s="125">
        <v>38001</v>
      </c>
      <c r="J24" s="124"/>
      <c r="K24" s="133" t="s">
        <v>159</v>
      </c>
      <c r="L24" s="125" cm="1">
        <f t="array" ref="L24">IFERROR(
ROUND(
IF($A$2="COSTO",
   ((B24*(1+IFERROR(VLOOKUP($D$2,COLORES[],2,FALSE),0)))+C24)
   *(1-IFERROR(_xlfn.XLOOKUP(1,(DESC_PROV[LINEA]=$B$2)*(DESC_PROV[LISTA]=$C$2),DESC_PROV[DESCUENTO]),0)),
   ((B24*(1+IFERROR(VLOOKUP($D$2,COLORES[],2,FALSE),0)))+C24)
   *(1-IFERROR(_xlfn.XLOOKUP(1,(DESC_PROV[LINEA]=$B$2)*(DESC_PROV[LISTA]=$C$2),DESC_PROV[DESCUENTO]),0))
   *(1+VLOOKUP($C$2,LISTAS[],2,FALSE))
   *(1+VLOOKUP($C$2,LISTAS[],3,FALSE))
)
/5,0)*5,0)</f>
        <v>159845</v>
      </c>
      <c r="M24" s="125" cm="1">
        <f t="array" ref="M24">IFERROR(
ROUND(
IF($A$2="COSTO",
   ((B24*(1+IFERROR(VLOOKUP($D$2,COLORES[],2,FALSE),0)))+D24)
   *(1-IFERROR(_xlfn.XLOOKUP(1,(DESC_PROV[LINEA]=$B$2)*(DESC_PROV[LISTA]=$C$2),DESC_PROV[DESCUENTO]),0)),
   ((B24*(1+IFERROR(VLOOKUP($D$2,COLORES[],2,FALSE),0)))+D24)
   *(1-IFERROR(_xlfn.XLOOKUP(1,(DESC_PROV[LINEA]=$B$2)*(DESC_PROV[LISTA]=$C$2),DESC_PROV[DESCUENTO]),0))
   *(1+VLOOKUP($C$2,LISTAS[],2,FALSE))
   *(1+VLOOKUP($C$2,LISTAS[],3,FALSE))
)
/5,0)*5,0)</f>
        <v>161905</v>
      </c>
      <c r="N24" s="125" cm="1">
        <f t="array" ref="N24">IFERROR(
ROUND(
IF($A$2="COSTO",
   ((B24*(1+IFERROR(VLOOKUP($D$2,COLORES[],2,FALSE),0)))+E24)
   *(1-IFERROR(_xlfn.XLOOKUP(1,(DESC_PROV[LINEA]=$B$2)*(DESC_PROV[LISTA]=$C$2),DESC_PROV[DESCUENTO]),0)),
   ((B24*(1+IFERROR(VLOOKUP($D$2,COLORES[],2,FALSE),0)))+E24)
   *(1-IFERROR(_xlfn.XLOOKUP(1,(DESC_PROV[LINEA]=$B$2)*(DESC_PROV[LISTA]=$C$2),DESC_PROV[DESCUENTO]),0))
   *(1+VLOOKUP($C$2,LISTAS[],2,FALSE))
   *(1+VLOOKUP($C$2,LISTAS[],3,FALSE))
)
/5,0)*5,0)</f>
        <v>165795</v>
      </c>
      <c r="O24" s="125" cm="1">
        <f t="array" ref="O24">IFERROR(
ROUND(
IF($A$2="COSTO",
   ((B24*(1+IFERROR(VLOOKUP($D$2,COLORES[],2,FALSE),0)))+F24)
   *(1-IFERROR(_xlfn.XLOOKUP(1,(DESC_PROV[LINEA]=$B$2)*(DESC_PROV[LISTA]=$C$2),DESC_PROV[DESCUENTO]),0)),
   ((B24*(1+IFERROR(VLOOKUP($D$2,COLORES[],2,FALSE),0)))+F24)
   *(1-IFERROR(_xlfn.XLOOKUP(1,(DESC_PROV[LINEA]=$B$2)*(DESC_PROV[LISTA]=$C$2),DESC_PROV[DESCUENTO]),0))
   *(1+VLOOKUP($C$2,LISTAS[],2,FALSE))
   *(1+VLOOKUP($C$2,LISTAS[],3,FALSE))
)
/5,0)*5,0)</f>
        <v>184120</v>
      </c>
      <c r="P24" s="125" cm="1">
        <f t="array" ref="P24">IFERROR(
ROUND(
IF($A$2="COSTO",
   ((B24*(1+IFERROR(VLOOKUP($D$2,COLORES[],2,FALSE),0)))+G24)
   *(1-IFERROR(_xlfn.XLOOKUP(1,(DESC_PROV[LINEA]=$B$2)*(DESC_PROV[LISTA]=$C$2),DESC_PROV[DESCUENTO]),0)),
   ((B24*(1+IFERROR(VLOOKUP($D$2,COLORES[],2,FALSE),0)))+G24)
   *(1-IFERROR(_xlfn.XLOOKUP(1,(DESC_PROV[LINEA]=$B$2)*(DESC_PROV[LISTA]=$C$2),DESC_PROV[DESCUENTO]),0))
   *(1+VLOOKUP($C$2,LISTAS[],2,FALSE))
   *(1+VLOOKUP($C$2,LISTAS[],3,FALSE))
)
/5,0)*5,0)</f>
        <v>163115</v>
      </c>
      <c r="Q24" s="125" cm="1">
        <f t="array" ref="Q24">IFERROR(
ROUND(
IF($A$2="COSTO",
   ((B24*(1+IFERROR(VLOOKUP($D$2,COLORES[],2,FALSE),0)))+H24)
   *(1-IFERROR(_xlfn.XLOOKUP(1,(DESC_PROV[LINEA]=$B$2)*(DESC_PROV[LISTA]=$C$2),DESC_PROV[DESCUENTO]),0)),
   ((B24*(1+IFERROR(VLOOKUP($D$2,COLORES[],2,FALSE),0)))+H24)
   *(1-IFERROR(_xlfn.XLOOKUP(1,(DESC_PROV[LINEA]=$B$2)*(DESC_PROV[LISTA]=$C$2),DESC_PROV[DESCUENTO]),0))
   *(1+VLOOKUP($C$2,LISTAS[],2,FALSE))
   *(1+VLOOKUP($C$2,LISTAS[],3,FALSE))
)
/5,0)*5,0)</f>
        <v>200910</v>
      </c>
      <c r="R24" s="126" cm="1">
        <f t="array" ref="R24">IFERROR(
ROUND(
IF($A$2="COSTO",
   ((B24*(1+IFERROR(VLOOKUP($D$2,COLORES[],2,FALSE),0)))+(D24+I24+D24))
   *(1-IFERROR(_xlfn.XLOOKUP(1,(DESC_PROV[LINEA]=$B$2)*(DESC_PROV[LISTA]=$C$2),DESC_PROV[DESCUENTO]),0)),
   ((B24*(1+IFERROR(VLOOKUP($D$2,COLORES[],2,FALSE),0)))+(D24+I24+D24))
   *(1-IFERROR(_xlfn.XLOOKUP(1,(DESC_PROV[LINEA]=$B$2)*(DESC_PROV[LISTA]=$C$2),DESC_PROV[DESCUENTO]),0))
   *(1+VLOOKUP($C$2,LISTAS[],2,FALSE))
   *(1+VLOOKUP($C$2,LISTAS[],3,FALSE))
)
/5,0)*5,0)</f>
        <v>222530</v>
      </c>
    </row>
    <row r="25" spans="1:18">
      <c r="A25" s="133" t="s">
        <v>160</v>
      </c>
      <c r="B25" s="125">
        <v>122155</v>
      </c>
      <c r="C25" s="125">
        <v>8978</v>
      </c>
      <c r="D25" s="125">
        <v>10851</v>
      </c>
      <c r="E25" s="125">
        <v>14399</v>
      </c>
      <c r="F25" s="125">
        <v>31141</v>
      </c>
      <c r="G25" s="125">
        <v>11946</v>
      </c>
      <c r="H25" s="125">
        <v>46350</v>
      </c>
      <c r="I25" s="125">
        <v>40924</v>
      </c>
      <c r="J25" s="124"/>
      <c r="K25" s="133" t="s">
        <v>160</v>
      </c>
      <c r="L25" s="125" cm="1">
        <f t="array" ref="L25">IFERROR(
ROUND(
IF($A$2="COSTO",
   ((B25*(1+IFERROR(VLOOKUP($D$2,COLORES[],2,FALSE),0)))+C25)
   *(1-IFERROR(_xlfn.XLOOKUP(1,(DESC_PROV[LINEA]=$B$2)*(DESC_PROV[LISTA]=$C$2),DESC_PROV[DESCUENTO]),0)),
   ((B25*(1+IFERROR(VLOOKUP($D$2,COLORES[],2,FALSE),0)))+C25)
   *(1-IFERROR(_xlfn.XLOOKUP(1,(DESC_PROV[LINEA]=$B$2)*(DESC_PROV[LISTA]=$C$2),DESC_PROV[DESCUENTO]),0))
   *(1+VLOOKUP($C$2,LISTAS[],2,FALSE))
   *(1+VLOOKUP($C$2,LISTAS[],3,FALSE))
)
/5,0)*5,0)</f>
        <v>168050</v>
      </c>
      <c r="M25" s="125" cm="1">
        <f t="array" ref="M25">IFERROR(
ROUND(
IF($A$2="COSTO",
   ((B25*(1+IFERROR(VLOOKUP($D$2,COLORES[],2,FALSE),0)))+D25)
   *(1-IFERROR(_xlfn.XLOOKUP(1,(DESC_PROV[LINEA]=$B$2)*(DESC_PROV[LISTA]=$C$2),DESC_PROV[DESCUENTO]),0)),
   ((B25*(1+IFERROR(VLOOKUP($D$2,COLORES[],2,FALSE),0)))+D25)
   *(1-IFERROR(_xlfn.XLOOKUP(1,(DESC_PROV[LINEA]=$B$2)*(DESC_PROV[LISTA]=$C$2),DESC_PROV[DESCUENTO]),0))
   *(1+VLOOKUP($C$2,LISTAS[],2,FALSE))
   *(1+VLOOKUP($C$2,LISTAS[],3,FALSE))
)
/5,0)*5,0)</f>
        <v>170455</v>
      </c>
      <c r="N25" s="125" cm="1">
        <f t="array" ref="N25">IFERROR(
ROUND(
IF($A$2="COSTO",
   ((B25*(1+IFERROR(VLOOKUP($D$2,COLORES[],2,FALSE),0)))+E25)
   *(1-IFERROR(_xlfn.XLOOKUP(1,(DESC_PROV[LINEA]=$B$2)*(DESC_PROV[LISTA]=$C$2),DESC_PROV[DESCUENTO]),0)),
   ((B25*(1+IFERROR(VLOOKUP($D$2,COLORES[],2,FALSE),0)))+E25)
   *(1-IFERROR(_xlfn.XLOOKUP(1,(DESC_PROV[LINEA]=$B$2)*(DESC_PROV[LISTA]=$C$2),DESC_PROV[DESCUENTO]),0))
   *(1+VLOOKUP($C$2,LISTAS[],2,FALSE))
   *(1+VLOOKUP($C$2,LISTAS[],3,FALSE))
)
/5,0)*5,0)</f>
        <v>175000</v>
      </c>
      <c r="O25" s="125" cm="1">
        <f t="array" ref="O25">IFERROR(
ROUND(
IF($A$2="COSTO",
   ((B25*(1+IFERROR(VLOOKUP($D$2,COLORES[],2,FALSE),0)))+F25)
   *(1-IFERROR(_xlfn.XLOOKUP(1,(DESC_PROV[LINEA]=$B$2)*(DESC_PROV[LISTA]=$C$2),DESC_PROV[DESCUENTO]),0)),
   ((B25*(1+IFERROR(VLOOKUP($D$2,COLORES[],2,FALSE),0)))+F25)
   *(1-IFERROR(_xlfn.XLOOKUP(1,(DESC_PROV[LINEA]=$B$2)*(DESC_PROV[LISTA]=$C$2),DESC_PROV[DESCUENTO]),0))
   *(1+VLOOKUP($C$2,LISTAS[],2,FALSE))
   *(1+VLOOKUP($C$2,LISTAS[],3,FALSE))
)
/5,0)*5,0)</f>
        <v>196455</v>
      </c>
      <c r="P25" s="125" cm="1">
        <f t="array" ref="P25">IFERROR(
ROUND(
IF($A$2="COSTO",
   ((B25*(1+IFERROR(VLOOKUP($D$2,COLORES[],2,FALSE),0)))+G25)
   *(1-IFERROR(_xlfn.XLOOKUP(1,(DESC_PROV[LINEA]=$B$2)*(DESC_PROV[LISTA]=$C$2),DESC_PROV[DESCUENTO]),0)),
   ((B25*(1+IFERROR(VLOOKUP($D$2,COLORES[],2,FALSE),0)))+G25)
   *(1-IFERROR(_xlfn.XLOOKUP(1,(DESC_PROV[LINEA]=$B$2)*(DESC_PROV[LISTA]=$C$2),DESC_PROV[DESCUENTO]),0))
   *(1+VLOOKUP($C$2,LISTAS[],2,FALSE))
   *(1+VLOOKUP($C$2,LISTAS[],3,FALSE))
)
/5,0)*5,0)</f>
        <v>171855</v>
      </c>
      <c r="Q25" s="125" cm="1">
        <f t="array" ref="Q25">IFERROR(
ROUND(
IF($A$2="COSTO",
   ((B25*(1+IFERROR(VLOOKUP($D$2,COLORES[],2,FALSE),0)))+H25)
   *(1-IFERROR(_xlfn.XLOOKUP(1,(DESC_PROV[LINEA]=$B$2)*(DESC_PROV[LISTA]=$C$2),DESC_PROV[DESCUENTO]),0)),
   ((B25*(1+IFERROR(VLOOKUP($D$2,COLORES[],2,FALSE),0)))+H25)
   *(1-IFERROR(_xlfn.XLOOKUP(1,(DESC_PROV[LINEA]=$B$2)*(DESC_PROV[LISTA]=$C$2),DESC_PROV[DESCUENTO]),0))
   *(1+VLOOKUP($C$2,LISTAS[],2,FALSE))
   *(1+VLOOKUP($C$2,LISTAS[],3,FALSE))
)
/5,0)*5,0)</f>
        <v>215945</v>
      </c>
      <c r="R25" s="126" cm="1">
        <f t="array" ref="R25">IFERROR(
ROUND(
IF($A$2="COSTO",
   ((B25*(1+IFERROR(VLOOKUP($D$2,COLORES[],2,FALSE),0)))+(D25+I25+D25))
   *(1-IFERROR(_xlfn.XLOOKUP(1,(DESC_PROV[LINEA]=$B$2)*(DESC_PROV[LISTA]=$C$2),DESC_PROV[DESCUENTO]),0)),
   ((B25*(1+IFERROR(VLOOKUP($D$2,COLORES[],2,FALSE),0)))+(D25+I25+D25))
   *(1-IFERROR(_xlfn.XLOOKUP(1,(DESC_PROV[LINEA]=$B$2)*(DESC_PROV[LISTA]=$C$2),DESC_PROV[DESCUENTO]),0))
   *(1+VLOOKUP($C$2,LISTAS[],2,FALSE))
   *(1+VLOOKUP($C$2,LISTAS[],3,FALSE))
)
/5,0)*5,0)</f>
        <v>236805</v>
      </c>
    </row>
    <row r="26" spans="1:18">
      <c r="A26" s="133" t="s">
        <v>161</v>
      </c>
      <c r="B26" s="125">
        <v>127276</v>
      </c>
      <c r="C26" s="125">
        <v>10263</v>
      </c>
      <c r="D26" s="125">
        <v>12399</v>
      </c>
      <c r="E26" s="125">
        <v>16462</v>
      </c>
      <c r="F26" s="125">
        <v>35648</v>
      </c>
      <c r="G26" s="125">
        <v>13647</v>
      </c>
      <c r="H26" s="125">
        <v>52964</v>
      </c>
      <c r="I26" s="125">
        <v>43847</v>
      </c>
      <c r="J26" s="124"/>
      <c r="K26" s="133" t="s">
        <v>161</v>
      </c>
      <c r="L26" s="125" cm="1">
        <f t="array" ref="L26">IFERROR(
ROUND(
IF($A$2="COSTO",
   ((B26*(1+IFERROR(VLOOKUP($D$2,COLORES[],2,FALSE),0)))+C26)
   *(1-IFERROR(_xlfn.XLOOKUP(1,(DESC_PROV[LINEA]=$B$2)*(DESC_PROV[LISTA]=$C$2),DESC_PROV[DESCUENTO]),0)),
   ((B26*(1+IFERROR(VLOOKUP($D$2,COLORES[],2,FALSE),0)))+C26)
   *(1-IFERROR(_xlfn.XLOOKUP(1,(DESC_PROV[LINEA]=$B$2)*(DESC_PROV[LISTA]=$C$2),DESC_PROV[DESCUENTO]),0))
   *(1+VLOOKUP($C$2,LISTAS[],2,FALSE))
   *(1+VLOOKUP($C$2,LISTAS[],3,FALSE))
)
/5,0)*5,0)</f>
        <v>176260</v>
      </c>
      <c r="M26" s="125" cm="1">
        <f t="array" ref="M26">IFERROR(
ROUND(
IF($A$2="COSTO",
   ((B26*(1+IFERROR(VLOOKUP($D$2,COLORES[],2,FALSE),0)))+D26)
   *(1-IFERROR(_xlfn.XLOOKUP(1,(DESC_PROV[LINEA]=$B$2)*(DESC_PROV[LISTA]=$C$2),DESC_PROV[DESCUENTO]),0)),
   ((B26*(1+IFERROR(VLOOKUP($D$2,COLORES[],2,FALSE),0)))+D26)
   *(1-IFERROR(_xlfn.XLOOKUP(1,(DESC_PROV[LINEA]=$B$2)*(DESC_PROV[LISTA]=$C$2),DESC_PROV[DESCUENTO]),0))
   *(1+VLOOKUP($C$2,LISTAS[],2,FALSE))
   *(1+VLOOKUP($C$2,LISTAS[],3,FALSE))
)
/5,0)*5,0)</f>
        <v>179000</v>
      </c>
      <c r="N26" s="125" cm="1">
        <f t="array" ref="N26">IFERROR(
ROUND(
IF($A$2="COSTO",
   ((B26*(1+IFERROR(VLOOKUP($D$2,COLORES[],2,FALSE),0)))+E26)
   *(1-IFERROR(_xlfn.XLOOKUP(1,(DESC_PROV[LINEA]=$B$2)*(DESC_PROV[LISTA]=$C$2),DESC_PROV[DESCUENTO]),0)),
   ((B26*(1+IFERROR(VLOOKUP($D$2,COLORES[],2,FALSE),0)))+E26)
   *(1-IFERROR(_xlfn.XLOOKUP(1,(DESC_PROV[LINEA]=$B$2)*(DESC_PROV[LISTA]=$C$2),DESC_PROV[DESCUENTO]),0))
   *(1+VLOOKUP($C$2,LISTAS[],2,FALSE))
   *(1+VLOOKUP($C$2,LISTAS[],3,FALSE))
)
/5,0)*5,0)</f>
        <v>184205</v>
      </c>
      <c r="O26" s="125" cm="1">
        <f t="array" ref="O26">IFERROR(
ROUND(
IF($A$2="COSTO",
   ((B26*(1+IFERROR(VLOOKUP($D$2,COLORES[],2,FALSE),0)))+F26)
   *(1-IFERROR(_xlfn.XLOOKUP(1,(DESC_PROV[LINEA]=$B$2)*(DESC_PROV[LISTA]=$C$2),DESC_PROV[DESCUENTO]),0)),
   ((B26*(1+IFERROR(VLOOKUP($D$2,COLORES[],2,FALSE),0)))+F26)
   *(1-IFERROR(_xlfn.XLOOKUP(1,(DESC_PROV[LINEA]=$B$2)*(DESC_PROV[LISTA]=$C$2),DESC_PROV[DESCUENTO]),0))
   *(1+VLOOKUP($C$2,LISTAS[],2,FALSE))
   *(1+VLOOKUP($C$2,LISTAS[],3,FALSE))
)
/5,0)*5,0)</f>
        <v>208795</v>
      </c>
      <c r="P26" s="125" cm="1">
        <f t="array" ref="P26">IFERROR(
ROUND(
IF($A$2="COSTO",
   ((B26*(1+IFERROR(VLOOKUP($D$2,COLORES[],2,FALSE),0)))+G26)
   *(1-IFERROR(_xlfn.XLOOKUP(1,(DESC_PROV[LINEA]=$B$2)*(DESC_PROV[LISTA]=$C$2),DESC_PROV[DESCUENTO]),0)),
   ((B26*(1+IFERROR(VLOOKUP($D$2,COLORES[],2,FALSE),0)))+G26)
   *(1-IFERROR(_xlfn.XLOOKUP(1,(DESC_PROV[LINEA]=$B$2)*(DESC_PROV[LISTA]=$C$2),DESC_PROV[DESCUENTO]),0))
   *(1+VLOOKUP($C$2,LISTAS[],2,FALSE))
   *(1+VLOOKUP($C$2,LISTAS[],3,FALSE))
)
/5,0)*5,0)</f>
        <v>180600</v>
      </c>
      <c r="Q26" s="125" cm="1">
        <f t="array" ref="Q26">IFERROR(
ROUND(
IF($A$2="COSTO",
   ((B26*(1+IFERROR(VLOOKUP($D$2,COLORES[],2,FALSE),0)))+H26)
   *(1-IFERROR(_xlfn.XLOOKUP(1,(DESC_PROV[LINEA]=$B$2)*(DESC_PROV[LISTA]=$C$2),DESC_PROV[DESCUENTO]),0)),
   ((B26*(1+IFERROR(VLOOKUP($D$2,COLORES[],2,FALSE),0)))+H26)
   *(1-IFERROR(_xlfn.XLOOKUP(1,(DESC_PROV[LINEA]=$B$2)*(DESC_PROV[LISTA]=$C$2),DESC_PROV[DESCUENTO]),0))
   *(1+VLOOKUP($C$2,LISTAS[],2,FALSE))
   *(1+VLOOKUP($C$2,LISTAS[],3,FALSE))
)
/5,0)*5,0)</f>
        <v>230985</v>
      </c>
      <c r="R26" s="126" cm="1">
        <f t="array" ref="R26">IFERROR(
ROUND(
IF($A$2="COSTO",
   ((B26*(1+IFERROR(VLOOKUP($D$2,COLORES[],2,FALSE),0)))+(D26+I26+D26))
   *(1-IFERROR(_xlfn.XLOOKUP(1,(DESC_PROV[LINEA]=$B$2)*(DESC_PROV[LISTA]=$C$2),DESC_PROV[DESCUENTO]),0)),
   ((B26*(1+IFERROR(VLOOKUP($D$2,COLORES[],2,FALSE),0)))+(D26+I26+D26))
   *(1-IFERROR(_xlfn.XLOOKUP(1,(DESC_PROV[LINEA]=$B$2)*(DESC_PROV[LISTA]=$C$2),DESC_PROV[DESCUENTO]),0))
   *(1+VLOOKUP($C$2,LISTAS[],2,FALSE))
   *(1+VLOOKUP($C$2,LISTAS[],3,FALSE))
)
/5,0)*5,0)</f>
        <v>251080</v>
      </c>
    </row>
    <row r="27" spans="1:18">
      <c r="A27" s="133" t="s">
        <v>162</v>
      </c>
      <c r="B27" s="125">
        <v>132403</v>
      </c>
      <c r="C27" s="125">
        <v>11548</v>
      </c>
      <c r="D27" s="125">
        <v>13946</v>
      </c>
      <c r="E27" s="125">
        <v>18525</v>
      </c>
      <c r="F27" s="125">
        <v>40155</v>
      </c>
      <c r="G27" s="125">
        <v>15349</v>
      </c>
      <c r="H27" s="125">
        <v>59578</v>
      </c>
      <c r="I27" s="125">
        <v>46770</v>
      </c>
      <c r="J27" s="124"/>
      <c r="K27" s="133" t="s">
        <v>162</v>
      </c>
      <c r="L27" s="125" cm="1">
        <f t="array" ref="L27">IFERROR(
ROUND(
IF($A$2="COSTO",
   ((B27*(1+IFERROR(VLOOKUP($D$2,COLORES[],2,FALSE),0)))+C27)
   *(1-IFERROR(_xlfn.XLOOKUP(1,(DESC_PROV[LINEA]=$B$2)*(DESC_PROV[LISTA]=$C$2),DESC_PROV[DESCUENTO]),0)),
   ((B27*(1+IFERROR(VLOOKUP($D$2,COLORES[],2,FALSE),0)))+C27)
   *(1-IFERROR(_xlfn.XLOOKUP(1,(DESC_PROV[LINEA]=$B$2)*(DESC_PROV[LISTA]=$C$2),DESC_PROV[DESCUENTO]),0))
   *(1+VLOOKUP($C$2,LISTAS[],2,FALSE))
   *(1+VLOOKUP($C$2,LISTAS[],3,FALSE))
)
/5,0)*5,0)</f>
        <v>184480</v>
      </c>
      <c r="M27" s="125" cm="1">
        <f t="array" ref="M27">IFERROR(
ROUND(
IF($A$2="COSTO",
   ((B27*(1+IFERROR(VLOOKUP($D$2,COLORES[],2,FALSE),0)))+D27)
   *(1-IFERROR(_xlfn.XLOOKUP(1,(DESC_PROV[LINEA]=$B$2)*(DESC_PROV[LISTA]=$C$2),DESC_PROV[DESCUENTO]),0)),
   ((B27*(1+IFERROR(VLOOKUP($D$2,COLORES[],2,FALSE),0)))+D27)
   *(1-IFERROR(_xlfn.XLOOKUP(1,(DESC_PROV[LINEA]=$B$2)*(DESC_PROV[LISTA]=$C$2),DESC_PROV[DESCUENTO]),0))
   *(1+VLOOKUP($C$2,LISTAS[],2,FALSE))
   *(1+VLOOKUP($C$2,LISTAS[],3,FALSE))
)
/5,0)*5,0)</f>
        <v>187550</v>
      </c>
      <c r="N27" s="125" cm="1">
        <f t="array" ref="N27">IFERROR(
ROUND(
IF($A$2="COSTO",
   ((B27*(1+IFERROR(VLOOKUP($D$2,COLORES[],2,FALSE),0)))+E27)
   *(1-IFERROR(_xlfn.XLOOKUP(1,(DESC_PROV[LINEA]=$B$2)*(DESC_PROV[LISTA]=$C$2),DESC_PROV[DESCUENTO]),0)),
   ((B27*(1+IFERROR(VLOOKUP($D$2,COLORES[],2,FALSE),0)))+E27)
   *(1-IFERROR(_xlfn.XLOOKUP(1,(DESC_PROV[LINEA]=$B$2)*(DESC_PROV[LISTA]=$C$2),DESC_PROV[DESCUENTO]),0))
   *(1+VLOOKUP($C$2,LISTAS[],2,FALSE))
   *(1+VLOOKUP($C$2,LISTAS[],3,FALSE))
)
/5,0)*5,0)</f>
        <v>193420</v>
      </c>
      <c r="O27" s="125" cm="1">
        <f t="array" ref="O27">IFERROR(
ROUND(
IF($A$2="COSTO",
   ((B27*(1+IFERROR(VLOOKUP($D$2,COLORES[],2,FALSE),0)))+F27)
   *(1-IFERROR(_xlfn.XLOOKUP(1,(DESC_PROV[LINEA]=$B$2)*(DESC_PROV[LISTA]=$C$2),DESC_PROV[DESCUENTO]),0)),
   ((B27*(1+IFERROR(VLOOKUP($D$2,COLORES[],2,FALSE),0)))+F27)
   *(1-IFERROR(_xlfn.XLOOKUP(1,(DESC_PROV[LINEA]=$B$2)*(DESC_PROV[LISTA]=$C$2),DESC_PROV[DESCUENTO]),0))
   *(1+VLOOKUP($C$2,LISTAS[],2,FALSE))
   *(1+VLOOKUP($C$2,LISTAS[],3,FALSE))
)
/5,0)*5,0)</f>
        <v>221140</v>
      </c>
      <c r="P27" s="125" cm="1">
        <f t="array" ref="P27">IFERROR(
ROUND(
IF($A$2="COSTO",
   ((B27*(1+IFERROR(VLOOKUP($D$2,COLORES[],2,FALSE),0)))+G27)
   *(1-IFERROR(_xlfn.XLOOKUP(1,(DESC_PROV[LINEA]=$B$2)*(DESC_PROV[LISTA]=$C$2),DESC_PROV[DESCUENTO]),0)),
   ((B27*(1+IFERROR(VLOOKUP($D$2,COLORES[],2,FALSE),0)))+G27)
   *(1-IFERROR(_xlfn.XLOOKUP(1,(DESC_PROV[LINEA]=$B$2)*(DESC_PROV[LISTA]=$C$2),DESC_PROV[DESCUENTO]),0))
   *(1+VLOOKUP($C$2,LISTAS[],2,FALSE))
   *(1+VLOOKUP($C$2,LISTAS[],3,FALSE))
)
/5,0)*5,0)</f>
        <v>189350</v>
      </c>
      <c r="Q27" s="125" cm="1">
        <f t="array" ref="Q27">IFERROR(
ROUND(
IF($A$2="COSTO",
   ((B27*(1+IFERROR(VLOOKUP($D$2,COLORES[],2,FALSE),0)))+H27)
   *(1-IFERROR(_xlfn.XLOOKUP(1,(DESC_PROV[LINEA]=$B$2)*(DESC_PROV[LISTA]=$C$2),DESC_PROV[DESCUENTO]),0)),
   ((B27*(1+IFERROR(VLOOKUP($D$2,COLORES[],2,FALSE),0)))+H27)
   *(1-IFERROR(_xlfn.XLOOKUP(1,(DESC_PROV[LINEA]=$B$2)*(DESC_PROV[LISTA]=$C$2),DESC_PROV[DESCUENTO]),0))
   *(1+VLOOKUP($C$2,LISTAS[],2,FALSE))
   *(1+VLOOKUP($C$2,LISTAS[],3,FALSE))
)
/5,0)*5,0)</f>
        <v>246030</v>
      </c>
      <c r="R27" s="126" cm="1">
        <f t="array" ref="R27">IFERROR(
ROUND(
IF($A$2="COSTO",
   ((B27*(1+IFERROR(VLOOKUP($D$2,COLORES[],2,FALSE),0)))+(D27+I27+D27))
   *(1-IFERROR(_xlfn.XLOOKUP(1,(DESC_PROV[LINEA]=$B$2)*(DESC_PROV[LISTA]=$C$2),DESC_PROV[DESCUENTO]),0)),
   ((B27*(1+IFERROR(VLOOKUP($D$2,COLORES[],2,FALSE),0)))+(D27+I27+D27))
   *(1-IFERROR(_xlfn.XLOOKUP(1,(DESC_PROV[LINEA]=$B$2)*(DESC_PROV[LISTA]=$C$2),DESC_PROV[DESCUENTO]),0))
   *(1+VLOOKUP($C$2,LISTAS[],2,FALSE))
   *(1+VLOOKUP($C$2,LISTAS[],3,FALSE))
)
/5,0)*5,0)</f>
        <v>265360</v>
      </c>
    </row>
    <row r="28" spans="1:18">
      <c r="A28" s="133" t="s">
        <v>163</v>
      </c>
      <c r="B28" s="125">
        <v>106774</v>
      </c>
      <c r="C28" s="125">
        <v>4616</v>
      </c>
      <c r="D28" s="125">
        <v>5593</v>
      </c>
      <c r="E28" s="125">
        <v>7376</v>
      </c>
      <c r="F28" s="125">
        <v>15955</v>
      </c>
      <c r="G28" s="125">
        <v>6172</v>
      </c>
      <c r="H28" s="125">
        <v>23881</v>
      </c>
      <c r="I28" s="125">
        <v>32155</v>
      </c>
      <c r="J28" s="124"/>
      <c r="K28" s="133" t="s">
        <v>163</v>
      </c>
      <c r="L28" s="125" cm="1">
        <f t="array" ref="L28">IFERROR(
ROUND(
IF($A$2="COSTO",
   ((B28*(1+IFERROR(VLOOKUP($D$2,COLORES[],2,FALSE),0)))+C28)
   *(1-IFERROR(_xlfn.XLOOKUP(1,(DESC_PROV[LINEA]=$B$2)*(DESC_PROV[LISTA]=$C$2),DESC_PROV[DESCUENTO]),0)),
   ((B28*(1+IFERROR(VLOOKUP($D$2,COLORES[],2,FALSE),0)))+C28)
   *(1-IFERROR(_xlfn.XLOOKUP(1,(DESC_PROV[LINEA]=$B$2)*(DESC_PROV[LISTA]=$C$2),DESC_PROV[DESCUENTO]),0))
   *(1+VLOOKUP($C$2,LISTAS[],2,FALSE))
   *(1+VLOOKUP($C$2,LISTAS[],3,FALSE))
)
/5,0)*5,0)</f>
        <v>142750</v>
      </c>
      <c r="M28" s="125" cm="1">
        <f t="array" ref="M28">IFERROR(
ROUND(
IF($A$2="COSTO",
   ((B28*(1+IFERROR(VLOOKUP($D$2,COLORES[],2,FALSE),0)))+D28)
   *(1-IFERROR(_xlfn.XLOOKUP(1,(DESC_PROV[LINEA]=$B$2)*(DESC_PROV[LISTA]=$C$2),DESC_PROV[DESCUENTO]),0)),
   ((B28*(1+IFERROR(VLOOKUP($D$2,COLORES[],2,FALSE),0)))+D28)
   *(1-IFERROR(_xlfn.XLOOKUP(1,(DESC_PROV[LINEA]=$B$2)*(DESC_PROV[LISTA]=$C$2),DESC_PROV[DESCUENTO]),0))
   *(1+VLOOKUP($C$2,LISTAS[],2,FALSE))
   *(1+VLOOKUP($C$2,LISTAS[],3,FALSE))
)
/5,0)*5,0)</f>
        <v>144005</v>
      </c>
      <c r="N28" s="125" cm="1">
        <f t="array" ref="N28">IFERROR(
ROUND(
IF($A$2="COSTO",
   ((B28*(1+IFERROR(VLOOKUP($D$2,COLORES[],2,FALSE),0)))+E28)
   *(1-IFERROR(_xlfn.XLOOKUP(1,(DESC_PROV[LINEA]=$B$2)*(DESC_PROV[LISTA]=$C$2),DESC_PROV[DESCUENTO]),0)),
   ((B28*(1+IFERROR(VLOOKUP($D$2,COLORES[],2,FALSE),0)))+E28)
   *(1-IFERROR(_xlfn.XLOOKUP(1,(DESC_PROV[LINEA]=$B$2)*(DESC_PROV[LISTA]=$C$2),DESC_PROV[DESCUENTO]),0))
   *(1+VLOOKUP($C$2,LISTAS[],2,FALSE))
   *(1+VLOOKUP($C$2,LISTAS[],3,FALSE))
)
/5,0)*5,0)</f>
        <v>146290</v>
      </c>
      <c r="O28" s="125" cm="1">
        <f t="array" ref="O28">IFERROR(
ROUND(
IF($A$2="COSTO",
   ((B28*(1+IFERROR(VLOOKUP($D$2,COLORES[],2,FALSE),0)))+F28)
   *(1-IFERROR(_xlfn.XLOOKUP(1,(DESC_PROV[LINEA]=$B$2)*(DESC_PROV[LISTA]=$C$2),DESC_PROV[DESCUENTO]),0)),
   ((B28*(1+IFERROR(VLOOKUP($D$2,COLORES[],2,FALSE),0)))+F28)
   *(1-IFERROR(_xlfn.XLOOKUP(1,(DESC_PROV[LINEA]=$B$2)*(DESC_PROV[LISTA]=$C$2),DESC_PROV[DESCUENTO]),0))
   *(1+VLOOKUP($C$2,LISTAS[],2,FALSE))
   *(1+VLOOKUP($C$2,LISTAS[],3,FALSE))
)
/5,0)*5,0)</f>
        <v>157280</v>
      </c>
      <c r="P28" s="125" cm="1">
        <f t="array" ref="P28">IFERROR(
ROUND(
IF($A$2="COSTO",
   ((B28*(1+IFERROR(VLOOKUP($D$2,COLORES[],2,FALSE),0)))+G28)
   *(1-IFERROR(_xlfn.XLOOKUP(1,(DESC_PROV[LINEA]=$B$2)*(DESC_PROV[LISTA]=$C$2),DESC_PROV[DESCUENTO]),0)),
   ((B28*(1+IFERROR(VLOOKUP($D$2,COLORES[],2,FALSE),0)))+G28)
   *(1-IFERROR(_xlfn.XLOOKUP(1,(DESC_PROV[LINEA]=$B$2)*(DESC_PROV[LISTA]=$C$2),DESC_PROV[DESCUENTO]),0))
   *(1+VLOOKUP($C$2,LISTAS[],2,FALSE))
   *(1+VLOOKUP($C$2,LISTAS[],3,FALSE))
)
/5,0)*5,0)</f>
        <v>144745</v>
      </c>
      <c r="Q28" s="125" cm="1">
        <f t="array" ref="Q28">IFERROR(
ROUND(
IF($A$2="COSTO",
   ((B28*(1+IFERROR(VLOOKUP($D$2,COLORES[],2,FALSE),0)))+H28)
   *(1-IFERROR(_xlfn.XLOOKUP(1,(DESC_PROV[LINEA]=$B$2)*(DESC_PROV[LISTA]=$C$2),DESC_PROV[DESCUENTO]),0)),
   ((B28*(1+IFERROR(VLOOKUP($D$2,COLORES[],2,FALSE),0)))+H28)
   *(1-IFERROR(_xlfn.XLOOKUP(1,(DESC_PROV[LINEA]=$B$2)*(DESC_PROV[LISTA]=$C$2),DESC_PROV[DESCUENTO]),0))
   *(1+VLOOKUP($C$2,LISTAS[],2,FALSE))
   *(1+VLOOKUP($C$2,LISTAS[],3,FALSE))
)
/5,0)*5,0)</f>
        <v>167440</v>
      </c>
      <c r="R28" s="126" cm="1">
        <f t="array" ref="R28">IFERROR(
ROUND(
IF($A$2="COSTO",
   ((B28*(1+IFERROR(VLOOKUP($D$2,COLORES[],2,FALSE),0)))+(D28+I28+D28))
   *(1-IFERROR(_xlfn.XLOOKUP(1,(DESC_PROV[LINEA]=$B$2)*(DESC_PROV[LISTA]=$C$2),DESC_PROV[DESCUENTO]),0)),
   ((B28*(1+IFERROR(VLOOKUP($D$2,COLORES[],2,FALSE),0)))+(D28+I28+D28))
   *(1-IFERROR(_xlfn.XLOOKUP(1,(DESC_PROV[LINEA]=$B$2)*(DESC_PROV[LISTA]=$C$2),DESC_PROV[DESCUENTO]),0))
   *(1+VLOOKUP($C$2,LISTAS[],2,FALSE))
   *(1+VLOOKUP($C$2,LISTAS[],3,FALSE))
)
/5,0)*5,0)</f>
        <v>192380</v>
      </c>
    </row>
    <row r="29" spans="1:18">
      <c r="A29" s="133" t="s">
        <v>164</v>
      </c>
      <c r="B29" s="125">
        <v>111894</v>
      </c>
      <c r="C29" s="125">
        <v>6154</v>
      </c>
      <c r="D29" s="125">
        <v>7448</v>
      </c>
      <c r="E29" s="125">
        <v>9855</v>
      </c>
      <c r="F29" s="125">
        <v>21249</v>
      </c>
      <c r="G29" s="125">
        <v>8208</v>
      </c>
      <c r="H29" s="125">
        <v>31809</v>
      </c>
      <c r="I29" s="125">
        <v>35078</v>
      </c>
      <c r="J29" s="124"/>
      <c r="K29" s="133" t="s">
        <v>164</v>
      </c>
      <c r="L29" s="125" cm="1">
        <f t="array" ref="L29">IFERROR(
ROUND(
IF($A$2="COSTO",
   ((B29*(1+IFERROR(VLOOKUP($D$2,COLORES[],2,FALSE),0)))+C29)
   *(1-IFERROR(_xlfn.XLOOKUP(1,(DESC_PROV[LINEA]=$B$2)*(DESC_PROV[LISTA]=$C$2),DESC_PROV[DESCUENTO]),0)),
   ((B29*(1+IFERROR(VLOOKUP($D$2,COLORES[],2,FALSE),0)))+C29)
   *(1-IFERROR(_xlfn.XLOOKUP(1,(DESC_PROV[LINEA]=$B$2)*(DESC_PROV[LISTA]=$C$2),DESC_PROV[DESCUENTO]),0))
   *(1+VLOOKUP($C$2,LISTAS[],2,FALSE))
   *(1+VLOOKUP($C$2,LISTAS[],3,FALSE))
)
/5,0)*5,0)</f>
        <v>151285</v>
      </c>
      <c r="M29" s="125" cm="1">
        <f t="array" ref="M29">IFERROR(
ROUND(
IF($A$2="COSTO",
   ((B29*(1+IFERROR(VLOOKUP($D$2,COLORES[],2,FALSE),0)))+D29)
   *(1-IFERROR(_xlfn.XLOOKUP(1,(DESC_PROV[LINEA]=$B$2)*(DESC_PROV[LISTA]=$C$2),DESC_PROV[DESCUENTO]),0)),
   ((B29*(1+IFERROR(VLOOKUP($D$2,COLORES[],2,FALSE),0)))+D29)
   *(1-IFERROR(_xlfn.XLOOKUP(1,(DESC_PROV[LINEA]=$B$2)*(DESC_PROV[LISTA]=$C$2),DESC_PROV[DESCUENTO]),0))
   *(1+VLOOKUP($C$2,LISTAS[],2,FALSE))
   *(1+VLOOKUP($C$2,LISTAS[],3,FALSE))
)
/5,0)*5,0)</f>
        <v>152940</v>
      </c>
      <c r="N29" s="125" cm="1">
        <f t="array" ref="N29">IFERROR(
ROUND(
IF($A$2="COSTO",
   ((B29*(1+IFERROR(VLOOKUP($D$2,COLORES[],2,FALSE),0)))+E29)
   *(1-IFERROR(_xlfn.XLOOKUP(1,(DESC_PROV[LINEA]=$B$2)*(DESC_PROV[LISTA]=$C$2),DESC_PROV[DESCUENTO]),0)),
   ((B29*(1+IFERROR(VLOOKUP($D$2,COLORES[],2,FALSE),0)))+E29)
   *(1-IFERROR(_xlfn.XLOOKUP(1,(DESC_PROV[LINEA]=$B$2)*(DESC_PROV[LISTA]=$C$2),DESC_PROV[DESCUENTO]),0))
   *(1+VLOOKUP($C$2,LISTAS[],2,FALSE))
   *(1+VLOOKUP($C$2,LISTAS[],3,FALSE))
)
/5,0)*5,0)</f>
        <v>156025</v>
      </c>
      <c r="O29" s="125" cm="1">
        <f t="array" ref="O29">IFERROR(
ROUND(
IF($A$2="COSTO",
   ((B29*(1+IFERROR(VLOOKUP($D$2,COLORES[],2,FALSE),0)))+F29)
   *(1-IFERROR(_xlfn.XLOOKUP(1,(DESC_PROV[LINEA]=$B$2)*(DESC_PROV[LISTA]=$C$2),DESC_PROV[DESCUENTO]),0)),
   ((B29*(1+IFERROR(VLOOKUP($D$2,COLORES[],2,FALSE),0)))+F29)
   *(1-IFERROR(_xlfn.XLOOKUP(1,(DESC_PROV[LINEA]=$B$2)*(DESC_PROV[LISTA]=$C$2),DESC_PROV[DESCUENTO]),0))
   *(1+VLOOKUP($C$2,LISTAS[],2,FALSE))
   *(1+VLOOKUP($C$2,LISTAS[],3,FALSE))
)
/5,0)*5,0)</f>
        <v>170630</v>
      </c>
      <c r="P29" s="125" cm="1">
        <f t="array" ref="P29">IFERROR(
ROUND(
IF($A$2="COSTO",
   ((B29*(1+IFERROR(VLOOKUP($D$2,COLORES[],2,FALSE),0)))+G29)
   *(1-IFERROR(_xlfn.XLOOKUP(1,(DESC_PROV[LINEA]=$B$2)*(DESC_PROV[LISTA]=$C$2),DESC_PROV[DESCUENTO]),0)),
   ((B29*(1+IFERROR(VLOOKUP($D$2,COLORES[],2,FALSE),0)))+G29)
   *(1-IFERROR(_xlfn.XLOOKUP(1,(DESC_PROV[LINEA]=$B$2)*(DESC_PROV[LISTA]=$C$2),DESC_PROV[DESCUENTO]),0))
   *(1+VLOOKUP($C$2,LISTAS[],2,FALSE))
   *(1+VLOOKUP($C$2,LISTAS[],3,FALSE))
)
/5,0)*5,0)</f>
        <v>153915</v>
      </c>
      <c r="Q29" s="125" cm="1">
        <f t="array" ref="Q29">IFERROR(
ROUND(
IF($A$2="COSTO",
   ((B29*(1+IFERROR(VLOOKUP($D$2,COLORES[],2,FALSE),0)))+H29)
   *(1-IFERROR(_xlfn.XLOOKUP(1,(DESC_PROV[LINEA]=$B$2)*(DESC_PROV[LISTA]=$C$2),DESC_PROV[DESCUENTO]),0)),
   ((B29*(1+IFERROR(VLOOKUP($D$2,COLORES[],2,FALSE),0)))+H29)
   *(1-IFERROR(_xlfn.XLOOKUP(1,(DESC_PROV[LINEA]=$B$2)*(DESC_PROV[LISTA]=$C$2),DESC_PROV[DESCUENTO]),0))
   *(1+VLOOKUP($C$2,LISTAS[],2,FALSE))
   *(1+VLOOKUP($C$2,LISTAS[],3,FALSE))
)
/5,0)*5,0)</f>
        <v>184160</v>
      </c>
      <c r="R29" s="126" cm="1">
        <f t="array" ref="R29">IFERROR(
ROUND(
IF($A$2="COSTO",
   ((B29*(1+IFERROR(VLOOKUP($D$2,COLORES[],2,FALSE),0)))+(D29+I29+D29))
   *(1-IFERROR(_xlfn.XLOOKUP(1,(DESC_PROV[LINEA]=$B$2)*(DESC_PROV[LISTA]=$C$2),DESC_PROV[DESCUENTO]),0)),
   ((B29*(1+IFERROR(VLOOKUP($D$2,COLORES[],2,FALSE),0)))+(D29+I29+D29))
   *(1-IFERROR(_xlfn.XLOOKUP(1,(DESC_PROV[LINEA]=$B$2)*(DESC_PROV[LISTA]=$C$2),DESC_PROV[DESCUENTO]),0))
   *(1+VLOOKUP($C$2,LISTAS[],2,FALSE))
   *(1+VLOOKUP($C$2,LISTAS[],3,FALSE))
)
/5,0)*5,0)</f>
        <v>207440</v>
      </c>
    </row>
    <row r="30" spans="1:18">
      <c r="A30" s="133" t="s">
        <v>165</v>
      </c>
      <c r="B30" s="125">
        <v>117035</v>
      </c>
      <c r="C30" s="125">
        <v>7693</v>
      </c>
      <c r="D30" s="125">
        <v>9303</v>
      </c>
      <c r="E30" s="125">
        <v>12335</v>
      </c>
      <c r="F30" s="125">
        <v>26634</v>
      </c>
      <c r="G30" s="125">
        <v>10245</v>
      </c>
      <c r="H30" s="125">
        <v>39737</v>
      </c>
      <c r="I30" s="125">
        <v>38001</v>
      </c>
      <c r="J30" s="124"/>
      <c r="K30" s="133" t="s">
        <v>165</v>
      </c>
      <c r="L30" s="125" cm="1">
        <f t="array" ref="L30">IFERROR(
ROUND(
IF($A$2="COSTO",
   ((B30*(1+IFERROR(VLOOKUP($D$2,COLORES[],2,FALSE),0)))+C30)
   *(1-IFERROR(_xlfn.XLOOKUP(1,(DESC_PROV[LINEA]=$B$2)*(DESC_PROV[LISTA]=$C$2),DESC_PROV[DESCUENTO]),0)),
   ((B30*(1+IFERROR(VLOOKUP($D$2,COLORES[],2,FALSE),0)))+C30)
   *(1-IFERROR(_xlfn.XLOOKUP(1,(DESC_PROV[LINEA]=$B$2)*(DESC_PROV[LISTA]=$C$2),DESC_PROV[DESCUENTO]),0))
   *(1+VLOOKUP($C$2,LISTAS[],2,FALSE))
   *(1+VLOOKUP($C$2,LISTAS[],3,FALSE))
)
/5,0)*5,0)</f>
        <v>159845</v>
      </c>
      <c r="M30" s="125" cm="1">
        <f t="array" ref="M30">IFERROR(
ROUND(
IF($A$2="COSTO",
   ((B30*(1+IFERROR(VLOOKUP($D$2,COLORES[],2,FALSE),0)))+D30)
   *(1-IFERROR(_xlfn.XLOOKUP(1,(DESC_PROV[LINEA]=$B$2)*(DESC_PROV[LISTA]=$C$2),DESC_PROV[DESCUENTO]),0)),
   ((B30*(1+IFERROR(VLOOKUP($D$2,COLORES[],2,FALSE),0)))+D30)
   *(1-IFERROR(_xlfn.XLOOKUP(1,(DESC_PROV[LINEA]=$B$2)*(DESC_PROV[LISTA]=$C$2),DESC_PROV[DESCUENTO]),0))
   *(1+VLOOKUP($C$2,LISTAS[],2,FALSE))
   *(1+VLOOKUP($C$2,LISTAS[],3,FALSE))
)
/5,0)*5,0)</f>
        <v>161905</v>
      </c>
      <c r="N30" s="125" cm="1">
        <f t="array" ref="N30">IFERROR(
ROUND(
IF($A$2="COSTO",
   ((B30*(1+IFERROR(VLOOKUP($D$2,COLORES[],2,FALSE),0)))+E30)
   *(1-IFERROR(_xlfn.XLOOKUP(1,(DESC_PROV[LINEA]=$B$2)*(DESC_PROV[LISTA]=$C$2),DESC_PROV[DESCUENTO]),0)),
   ((B30*(1+IFERROR(VLOOKUP($D$2,COLORES[],2,FALSE),0)))+E30)
   *(1-IFERROR(_xlfn.XLOOKUP(1,(DESC_PROV[LINEA]=$B$2)*(DESC_PROV[LISTA]=$C$2),DESC_PROV[DESCUENTO]),0))
   *(1+VLOOKUP($C$2,LISTAS[],2,FALSE))
   *(1+VLOOKUP($C$2,LISTAS[],3,FALSE))
)
/5,0)*5,0)</f>
        <v>165795</v>
      </c>
      <c r="O30" s="125" cm="1">
        <f t="array" ref="O30">IFERROR(
ROUND(
IF($A$2="COSTO",
   ((B30*(1+IFERROR(VLOOKUP($D$2,COLORES[],2,FALSE),0)))+F30)
   *(1-IFERROR(_xlfn.XLOOKUP(1,(DESC_PROV[LINEA]=$B$2)*(DESC_PROV[LISTA]=$C$2),DESC_PROV[DESCUENTO]),0)),
   ((B30*(1+IFERROR(VLOOKUP($D$2,COLORES[],2,FALSE),0)))+F30)
   *(1-IFERROR(_xlfn.XLOOKUP(1,(DESC_PROV[LINEA]=$B$2)*(DESC_PROV[LISTA]=$C$2),DESC_PROV[DESCUENTO]),0))
   *(1+VLOOKUP($C$2,LISTAS[],2,FALSE))
   *(1+VLOOKUP($C$2,LISTAS[],3,FALSE))
)
/5,0)*5,0)</f>
        <v>184120</v>
      </c>
      <c r="P30" s="125" cm="1">
        <f t="array" ref="P30">IFERROR(
ROUND(
IF($A$2="COSTO",
   ((B30*(1+IFERROR(VLOOKUP($D$2,COLORES[],2,FALSE),0)))+G30)
   *(1-IFERROR(_xlfn.XLOOKUP(1,(DESC_PROV[LINEA]=$B$2)*(DESC_PROV[LISTA]=$C$2),DESC_PROV[DESCUENTO]),0)),
   ((B30*(1+IFERROR(VLOOKUP($D$2,COLORES[],2,FALSE),0)))+G30)
   *(1-IFERROR(_xlfn.XLOOKUP(1,(DESC_PROV[LINEA]=$B$2)*(DESC_PROV[LISTA]=$C$2),DESC_PROV[DESCUENTO]),0))
   *(1+VLOOKUP($C$2,LISTAS[],2,FALSE))
   *(1+VLOOKUP($C$2,LISTAS[],3,FALSE))
)
/5,0)*5,0)</f>
        <v>163115</v>
      </c>
      <c r="Q30" s="125" cm="1">
        <f t="array" ref="Q30">IFERROR(
ROUND(
IF($A$2="COSTO",
   ((B30*(1+IFERROR(VLOOKUP($D$2,COLORES[],2,FALSE),0)))+H30)
   *(1-IFERROR(_xlfn.XLOOKUP(1,(DESC_PROV[LINEA]=$B$2)*(DESC_PROV[LISTA]=$C$2),DESC_PROV[DESCUENTO]),0)),
   ((B30*(1+IFERROR(VLOOKUP($D$2,COLORES[],2,FALSE),0)))+H30)
   *(1-IFERROR(_xlfn.XLOOKUP(1,(DESC_PROV[LINEA]=$B$2)*(DESC_PROV[LISTA]=$C$2),DESC_PROV[DESCUENTO]),0))
   *(1+VLOOKUP($C$2,LISTAS[],2,FALSE))
   *(1+VLOOKUP($C$2,LISTAS[],3,FALSE))
)
/5,0)*5,0)</f>
        <v>200910</v>
      </c>
      <c r="R30" s="126" cm="1">
        <f t="array" ref="R30">IFERROR(
ROUND(
IF($A$2="COSTO",
   ((B30*(1+IFERROR(VLOOKUP($D$2,COLORES[],2,FALSE),0)))+(D30+I30+D30))
   *(1-IFERROR(_xlfn.XLOOKUP(1,(DESC_PROV[LINEA]=$B$2)*(DESC_PROV[LISTA]=$C$2),DESC_PROV[DESCUENTO]),0)),
   ((B30*(1+IFERROR(VLOOKUP($D$2,COLORES[],2,FALSE),0)))+(D30+I30+D30))
   *(1-IFERROR(_xlfn.XLOOKUP(1,(DESC_PROV[LINEA]=$B$2)*(DESC_PROV[LISTA]=$C$2),DESC_PROV[DESCUENTO]),0))
   *(1+VLOOKUP($C$2,LISTAS[],2,FALSE))
   *(1+VLOOKUP($C$2,LISTAS[],3,FALSE))
)
/5,0)*5,0)</f>
        <v>222530</v>
      </c>
    </row>
    <row r="31" spans="1:18">
      <c r="A31" s="133" t="s">
        <v>166</v>
      </c>
      <c r="B31" s="125">
        <v>122155</v>
      </c>
      <c r="C31" s="125">
        <v>9240</v>
      </c>
      <c r="D31" s="125">
        <v>11159</v>
      </c>
      <c r="E31" s="125">
        <v>14815</v>
      </c>
      <c r="F31" s="125">
        <v>32019</v>
      </c>
      <c r="G31" s="125">
        <v>12281</v>
      </c>
      <c r="H31" s="125">
        <v>47665</v>
      </c>
      <c r="I31" s="125">
        <v>40924</v>
      </c>
      <c r="J31" s="124"/>
      <c r="K31" s="133" t="s">
        <v>166</v>
      </c>
      <c r="L31" s="125" cm="1">
        <f t="array" ref="L31">IFERROR(
ROUND(
IF($A$2="COSTO",
   ((B31*(1+IFERROR(VLOOKUP($D$2,COLORES[],2,FALSE),0)))+C31)
   *(1-IFERROR(_xlfn.XLOOKUP(1,(DESC_PROV[LINEA]=$B$2)*(DESC_PROV[LISTA]=$C$2),DESC_PROV[DESCUENTO]),0)),
   ((B31*(1+IFERROR(VLOOKUP($D$2,COLORES[],2,FALSE),0)))+C31)
   *(1-IFERROR(_xlfn.XLOOKUP(1,(DESC_PROV[LINEA]=$B$2)*(DESC_PROV[LISTA]=$C$2),DESC_PROV[DESCUENTO]),0))
   *(1+VLOOKUP($C$2,LISTAS[],2,FALSE))
   *(1+VLOOKUP($C$2,LISTAS[],3,FALSE))
)
/5,0)*5,0)</f>
        <v>168390</v>
      </c>
      <c r="M31" s="125" cm="1">
        <f t="array" ref="M31">IFERROR(
ROUND(
IF($A$2="COSTO",
   ((B31*(1+IFERROR(VLOOKUP($D$2,COLORES[],2,FALSE),0)))+D31)
   *(1-IFERROR(_xlfn.XLOOKUP(1,(DESC_PROV[LINEA]=$B$2)*(DESC_PROV[LISTA]=$C$2),DESC_PROV[DESCUENTO]),0)),
   ((B31*(1+IFERROR(VLOOKUP($D$2,COLORES[],2,FALSE),0)))+D31)
   *(1-IFERROR(_xlfn.XLOOKUP(1,(DESC_PROV[LINEA]=$B$2)*(DESC_PROV[LISTA]=$C$2),DESC_PROV[DESCUENTO]),0))
   *(1+VLOOKUP($C$2,LISTAS[],2,FALSE))
   *(1+VLOOKUP($C$2,LISTAS[],3,FALSE))
)
/5,0)*5,0)</f>
        <v>170845</v>
      </c>
      <c r="N31" s="125" cm="1">
        <f t="array" ref="N31">IFERROR(
ROUND(
IF($A$2="COSTO",
   ((B31*(1+IFERROR(VLOOKUP($D$2,COLORES[],2,FALSE),0)))+E31)
   *(1-IFERROR(_xlfn.XLOOKUP(1,(DESC_PROV[LINEA]=$B$2)*(DESC_PROV[LISTA]=$C$2),DESC_PROV[DESCUENTO]),0)),
   ((B31*(1+IFERROR(VLOOKUP($D$2,COLORES[],2,FALSE),0)))+E31)
   *(1-IFERROR(_xlfn.XLOOKUP(1,(DESC_PROV[LINEA]=$B$2)*(DESC_PROV[LISTA]=$C$2),DESC_PROV[DESCUENTO]),0))
   *(1+VLOOKUP($C$2,LISTAS[],2,FALSE))
   *(1+VLOOKUP($C$2,LISTAS[],3,FALSE))
)
/5,0)*5,0)</f>
        <v>175535</v>
      </c>
      <c r="O31" s="125" cm="1">
        <f t="array" ref="O31">IFERROR(
ROUND(
IF($A$2="COSTO",
   ((B31*(1+IFERROR(VLOOKUP($D$2,COLORES[],2,FALSE),0)))+F31)
   *(1-IFERROR(_xlfn.XLOOKUP(1,(DESC_PROV[LINEA]=$B$2)*(DESC_PROV[LISTA]=$C$2),DESC_PROV[DESCUENTO]),0)),
   ((B31*(1+IFERROR(VLOOKUP($D$2,COLORES[],2,FALSE),0)))+F31)
   *(1-IFERROR(_xlfn.XLOOKUP(1,(DESC_PROV[LINEA]=$B$2)*(DESC_PROV[LISTA]=$C$2),DESC_PROV[DESCUENTO]),0))
   *(1+VLOOKUP($C$2,LISTAS[],2,FALSE))
   *(1+VLOOKUP($C$2,LISTAS[],3,FALSE))
)
/5,0)*5,0)</f>
        <v>197580</v>
      </c>
      <c r="P31" s="125" cm="1">
        <f t="array" ref="P31">IFERROR(
ROUND(
IF($A$2="COSTO",
   ((B31*(1+IFERROR(VLOOKUP($D$2,COLORES[],2,FALSE),0)))+G31)
   *(1-IFERROR(_xlfn.XLOOKUP(1,(DESC_PROV[LINEA]=$B$2)*(DESC_PROV[LISTA]=$C$2),DESC_PROV[DESCUENTO]),0)),
   ((B31*(1+IFERROR(VLOOKUP($D$2,COLORES[],2,FALSE),0)))+G31)
   *(1-IFERROR(_xlfn.XLOOKUP(1,(DESC_PROV[LINEA]=$B$2)*(DESC_PROV[LISTA]=$C$2),DESC_PROV[DESCUENTO]),0))
   *(1+VLOOKUP($C$2,LISTAS[],2,FALSE))
   *(1+VLOOKUP($C$2,LISTAS[],3,FALSE))
)
/5,0)*5,0)</f>
        <v>172285</v>
      </c>
      <c r="Q31" s="125" cm="1">
        <f t="array" ref="Q31">IFERROR(
ROUND(
IF($A$2="COSTO",
   ((B31*(1+IFERROR(VLOOKUP($D$2,COLORES[],2,FALSE),0)))+H31)
   *(1-IFERROR(_xlfn.XLOOKUP(1,(DESC_PROV[LINEA]=$B$2)*(DESC_PROV[LISTA]=$C$2),DESC_PROV[DESCUENTO]),0)),
   ((B31*(1+IFERROR(VLOOKUP($D$2,COLORES[],2,FALSE),0)))+H31)
   *(1-IFERROR(_xlfn.XLOOKUP(1,(DESC_PROV[LINEA]=$B$2)*(DESC_PROV[LISTA]=$C$2),DESC_PROV[DESCUENTO]),0))
   *(1+VLOOKUP($C$2,LISTAS[],2,FALSE))
   *(1+VLOOKUP($C$2,LISTAS[],3,FALSE))
)
/5,0)*5,0)</f>
        <v>217630</v>
      </c>
      <c r="R31" s="126" cm="1">
        <f t="array" ref="R31">IFERROR(
ROUND(
IF($A$2="COSTO",
   ((B31*(1+IFERROR(VLOOKUP($D$2,COLORES[],2,FALSE),0)))+(D31+I31+D31))
   *(1-IFERROR(_xlfn.XLOOKUP(1,(DESC_PROV[LINEA]=$B$2)*(DESC_PROV[LISTA]=$C$2),DESC_PROV[DESCUENTO]),0)),
   ((B31*(1+IFERROR(VLOOKUP($D$2,COLORES[],2,FALSE),0)))+(D31+I31+D31))
   *(1-IFERROR(_xlfn.XLOOKUP(1,(DESC_PROV[LINEA]=$B$2)*(DESC_PROV[LISTA]=$C$2),DESC_PROV[DESCUENTO]),0))
   *(1+VLOOKUP($C$2,LISTAS[],2,FALSE))
   *(1+VLOOKUP($C$2,LISTAS[],3,FALSE))
)
/5,0)*5,0)</f>
        <v>237595</v>
      </c>
    </row>
    <row r="32" spans="1:18">
      <c r="A32" s="133" t="s">
        <v>167</v>
      </c>
      <c r="B32" s="125">
        <v>127276</v>
      </c>
      <c r="C32" s="125">
        <v>10779</v>
      </c>
      <c r="D32" s="125">
        <v>13014</v>
      </c>
      <c r="E32" s="125">
        <v>17295</v>
      </c>
      <c r="F32" s="125">
        <v>37404</v>
      </c>
      <c r="G32" s="125">
        <v>14317</v>
      </c>
      <c r="H32" s="125">
        <v>55592</v>
      </c>
      <c r="I32" s="125">
        <v>43847</v>
      </c>
      <c r="J32" s="124"/>
      <c r="K32" s="133" t="s">
        <v>167</v>
      </c>
      <c r="L32" s="125" cm="1">
        <f t="array" ref="L32">IFERROR(
ROUND(
IF($A$2="COSTO",
   ((B32*(1+IFERROR(VLOOKUP($D$2,COLORES[],2,FALSE),0)))+C32)
   *(1-IFERROR(_xlfn.XLOOKUP(1,(DESC_PROV[LINEA]=$B$2)*(DESC_PROV[LISTA]=$C$2),DESC_PROV[DESCUENTO]),0)),
   ((B32*(1+IFERROR(VLOOKUP($D$2,COLORES[],2,FALSE),0)))+C32)
   *(1-IFERROR(_xlfn.XLOOKUP(1,(DESC_PROV[LINEA]=$B$2)*(DESC_PROV[LISTA]=$C$2),DESC_PROV[DESCUENTO]),0))
   *(1+VLOOKUP($C$2,LISTAS[],2,FALSE))
   *(1+VLOOKUP($C$2,LISTAS[],3,FALSE))
)
/5,0)*5,0)</f>
        <v>176925</v>
      </c>
      <c r="M32" s="125" cm="1">
        <f t="array" ref="M32">IFERROR(
ROUND(
IF($A$2="COSTO",
   ((B32*(1+IFERROR(VLOOKUP($D$2,COLORES[],2,FALSE),0)))+D32)
   *(1-IFERROR(_xlfn.XLOOKUP(1,(DESC_PROV[LINEA]=$B$2)*(DESC_PROV[LISTA]=$C$2),DESC_PROV[DESCUENTO]),0)),
   ((B32*(1+IFERROR(VLOOKUP($D$2,COLORES[],2,FALSE),0)))+D32)
   *(1-IFERROR(_xlfn.XLOOKUP(1,(DESC_PROV[LINEA]=$B$2)*(DESC_PROV[LISTA]=$C$2),DESC_PROV[DESCUENTO]),0))
   *(1+VLOOKUP($C$2,LISTAS[],2,FALSE))
   *(1+VLOOKUP($C$2,LISTAS[],3,FALSE))
)
/5,0)*5,0)</f>
        <v>179785</v>
      </c>
      <c r="N32" s="125" cm="1">
        <f t="array" ref="N32">IFERROR(
ROUND(
IF($A$2="COSTO",
   ((B32*(1+IFERROR(VLOOKUP($D$2,COLORES[],2,FALSE),0)))+E32)
   *(1-IFERROR(_xlfn.XLOOKUP(1,(DESC_PROV[LINEA]=$B$2)*(DESC_PROV[LISTA]=$C$2),DESC_PROV[DESCUENTO]),0)),
   ((B32*(1+IFERROR(VLOOKUP($D$2,COLORES[],2,FALSE),0)))+E32)
   *(1-IFERROR(_xlfn.XLOOKUP(1,(DESC_PROV[LINEA]=$B$2)*(DESC_PROV[LISTA]=$C$2),DESC_PROV[DESCUENTO]),0))
   *(1+VLOOKUP($C$2,LISTAS[],2,FALSE))
   *(1+VLOOKUP($C$2,LISTAS[],3,FALSE))
)
/5,0)*5,0)</f>
        <v>185275</v>
      </c>
      <c r="O32" s="125" cm="1">
        <f t="array" ref="O32">IFERROR(
ROUND(
IF($A$2="COSTO",
   ((B32*(1+IFERROR(VLOOKUP($D$2,COLORES[],2,FALSE),0)))+F32)
   *(1-IFERROR(_xlfn.XLOOKUP(1,(DESC_PROV[LINEA]=$B$2)*(DESC_PROV[LISTA]=$C$2),DESC_PROV[DESCUENTO]),0)),
   ((B32*(1+IFERROR(VLOOKUP($D$2,COLORES[],2,FALSE),0)))+F32)
   *(1-IFERROR(_xlfn.XLOOKUP(1,(DESC_PROV[LINEA]=$B$2)*(DESC_PROV[LISTA]=$C$2),DESC_PROV[DESCUENTO]),0))
   *(1+VLOOKUP($C$2,LISTAS[],2,FALSE))
   *(1+VLOOKUP($C$2,LISTAS[],3,FALSE))
)
/5,0)*5,0)</f>
        <v>211045</v>
      </c>
      <c r="P32" s="125" cm="1">
        <f t="array" ref="P32">IFERROR(
ROUND(
IF($A$2="COSTO",
   ((B32*(1+IFERROR(VLOOKUP($D$2,COLORES[],2,FALSE),0)))+G32)
   *(1-IFERROR(_xlfn.XLOOKUP(1,(DESC_PROV[LINEA]=$B$2)*(DESC_PROV[LISTA]=$C$2),DESC_PROV[DESCUENTO]),0)),
   ((B32*(1+IFERROR(VLOOKUP($D$2,COLORES[],2,FALSE),0)))+G32)
   *(1-IFERROR(_xlfn.XLOOKUP(1,(DESC_PROV[LINEA]=$B$2)*(DESC_PROV[LISTA]=$C$2),DESC_PROV[DESCUENTO]),0))
   *(1+VLOOKUP($C$2,LISTAS[],2,FALSE))
   *(1+VLOOKUP($C$2,LISTAS[],3,FALSE))
)
/5,0)*5,0)</f>
        <v>181455</v>
      </c>
      <c r="Q32" s="125" cm="1">
        <f t="array" ref="Q32">IFERROR(
ROUND(
IF($A$2="COSTO",
   ((B32*(1+IFERROR(VLOOKUP($D$2,COLORES[],2,FALSE),0)))+H32)
   *(1-IFERROR(_xlfn.XLOOKUP(1,(DESC_PROV[LINEA]=$B$2)*(DESC_PROV[LISTA]=$C$2),DESC_PROV[DESCUENTO]),0)),
   ((B32*(1+IFERROR(VLOOKUP($D$2,COLORES[],2,FALSE),0)))+H32)
   *(1-IFERROR(_xlfn.XLOOKUP(1,(DESC_PROV[LINEA]=$B$2)*(DESC_PROV[LISTA]=$C$2),DESC_PROV[DESCUENTO]),0))
   *(1+VLOOKUP($C$2,LISTAS[],2,FALSE))
   *(1+VLOOKUP($C$2,LISTAS[],3,FALSE))
)
/5,0)*5,0)</f>
        <v>234355</v>
      </c>
      <c r="R32" s="126" cm="1">
        <f t="array" ref="R32">IFERROR(
ROUND(
IF($A$2="COSTO",
   ((B32*(1+IFERROR(VLOOKUP($D$2,COLORES[],2,FALSE),0)))+(D32+I32+D32))
   *(1-IFERROR(_xlfn.XLOOKUP(1,(DESC_PROV[LINEA]=$B$2)*(DESC_PROV[LISTA]=$C$2),DESC_PROV[DESCUENTO]),0)),
   ((B32*(1+IFERROR(VLOOKUP($D$2,COLORES[],2,FALSE),0)))+(D32+I32+D32))
   *(1-IFERROR(_xlfn.XLOOKUP(1,(DESC_PROV[LINEA]=$B$2)*(DESC_PROV[LISTA]=$C$2),DESC_PROV[DESCUENTO]),0))
   *(1+VLOOKUP($C$2,LISTAS[],2,FALSE))
   *(1+VLOOKUP($C$2,LISTAS[],3,FALSE))
)
/5,0)*5,0)</f>
        <v>252655</v>
      </c>
    </row>
    <row r="33" spans="1:18">
      <c r="A33" s="133" t="s">
        <v>168</v>
      </c>
      <c r="B33" s="125">
        <v>132403</v>
      </c>
      <c r="C33" s="125">
        <v>12317</v>
      </c>
      <c r="D33" s="125">
        <v>14869</v>
      </c>
      <c r="E33" s="125">
        <v>19774</v>
      </c>
      <c r="F33" s="125">
        <v>42788</v>
      </c>
      <c r="G33" s="125">
        <v>16353</v>
      </c>
      <c r="H33" s="125">
        <v>63520</v>
      </c>
      <c r="I33" s="125">
        <v>46770</v>
      </c>
      <c r="J33" s="124"/>
      <c r="K33" s="133" t="s">
        <v>168</v>
      </c>
      <c r="L33" s="125" cm="1">
        <f t="array" ref="L33">IFERROR(
ROUND(
IF($A$2="COSTO",
   ((B33*(1+IFERROR(VLOOKUP($D$2,COLORES[],2,FALSE),0)))+C33)
   *(1-IFERROR(_xlfn.XLOOKUP(1,(DESC_PROV[LINEA]=$B$2)*(DESC_PROV[LISTA]=$C$2),DESC_PROV[DESCUENTO]),0)),
   ((B33*(1+IFERROR(VLOOKUP($D$2,COLORES[],2,FALSE),0)))+C33)
   *(1-IFERROR(_xlfn.XLOOKUP(1,(DESC_PROV[LINEA]=$B$2)*(DESC_PROV[LISTA]=$C$2),DESC_PROV[DESCUENTO]),0))
   *(1+VLOOKUP($C$2,LISTAS[],2,FALSE))
   *(1+VLOOKUP($C$2,LISTAS[],3,FALSE))
)
/5,0)*5,0)</f>
        <v>185465</v>
      </c>
      <c r="M33" s="125" cm="1">
        <f t="array" ref="M33">IFERROR(
ROUND(
IF($A$2="COSTO",
   ((B33*(1+IFERROR(VLOOKUP($D$2,COLORES[],2,FALSE),0)))+D33)
   *(1-IFERROR(_xlfn.XLOOKUP(1,(DESC_PROV[LINEA]=$B$2)*(DESC_PROV[LISTA]=$C$2),DESC_PROV[DESCUENTO]),0)),
   ((B33*(1+IFERROR(VLOOKUP($D$2,COLORES[],2,FALSE),0)))+D33)
   *(1-IFERROR(_xlfn.XLOOKUP(1,(DESC_PROV[LINEA]=$B$2)*(DESC_PROV[LISTA]=$C$2),DESC_PROV[DESCUENTO]),0))
   *(1+VLOOKUP($C$2,LISTAS[],2,FALSE))
   *(1+VLOOKUP($C$2,LISTAS[],3,FALSE))
)
/5,0)*5,0)</f>
        <v>188735</v>
      </c>
      <c r="N33" s="125" cm="1">
        <f t="array" ref="N33">IFERROR(
ROUND(
IF($A$2="COSTO",
   ((B33*(1+IFERROR(VLOOKUP($D$2,COLORES[],2,FALSE),0)))+E33)
   *(1-IFERROR(_xlfn.XLOOKUP(1,(DESC_PROV[LINEA]=$B$2)*(DESC_PROV[LISTA]=$C$2),DESC_PROV[DESCUENTO]),0)),
   ((B33*(1+IFERROR(VLOOKUP($D$2,COLORES[],2,FALSE),0)))+E33)
   *(1-IFERROR(_xlfn.XLOOKUP(1,(DESC_PROV[LINEA]=$B$2)*(DESC_PROV[LISTA]=$C$2),DESC_PROV[DESCUENTO]),0))
   *(1+VLOOKUP($C$2,LISTAS[],2,FALSE))
   *(1+VLOOKUP($C$2,LISTAS[],3,FALSE))
)
/5,0)*5,0)</f>
        <v>195020</v>
      </c>
      <c r="O33" s="125" cm="1">
        <f t="array" ref="O33">IFERROR(
ROUND(
IF($A$2="COSTO",
   ((B33*(1+IFERROR(VLOOKUP($D$2,COLORES[],2,FALSE),0)))+F33)
   *(1-IFERROR(_xlfn.XLOOKUP(1,(DESC_PROV[LINEA]=$B$2)*(DESC_PROV[LISTA]=$C$2),DESC_PROV[DESCUENTO]),0)),
   ((B33*(1+IFERROR(VLOOKUP($D$2,COLORES[],2,FALSE),0)))+F33)
   *(1-IFERROR(_xlfn.XLOOKUP(1,(DESC_PROV[LINEA]=$B$2)*(DESC_PROV[LISTA]=$C$2),DESC_PROV[DESCUENTO]),0))
   *(1+VLOOKUP($C$2,LISTAS[],2,FALSE))
   *(1+VLOOKUP($C$2,LISTAS[],3,FALSE))
)
/5,0)*5,0)</f>
        <v>224515</v>
      </c>
      <c r="P33" s="125" cm="1">
        <f t="array" ref="P33">IFERROR(
ROUND(
IF($A$2="COSTO",
   ((B33*(1+IFERROR(VLOOKUP($D$2,COLORES[],2,FALSE),0)))+G33)
   *(1-IFERROR(_xlfn.XLOOKUP(1,(DESC_PROV[LINEA]=$B$2)*(DESC_PROV[LISTA]=$C$2),DESC_PROV[DESCUENTO]),0)),
   ((B33*(1+IFERROR(VLOOKUP($D$2,COLORES[],2,FALSE),0)))+G33)
   *(1-IFERROR(_xlfn.XLOOKUP(1,(DESC_PROV[LINEA]=$B$2)*(DESC_PROV[LISTA]=$C$2),DESC_PROV[DESCUENTO]),0))
   *(1+VLOOKUP($C$2,LISTAS[],2,FALSE))
   *(1+VLOOKUP($C$2,LISTAS[],3,FALSE))
)
/5,0)*5,0)</f>
        <v>190635</v>
      </c>
      <c r="Q33" s="125" cm="1">
        <f t="array" ref="Q33">IFERROR(
ROUND(
IF($A$2="COSTO",
   ((B33*(1+IFERROR(VLOOKUP($D$2,COLORES[],2,FALSE),0)))+H33)
   *(1-IFERROR(_xlfn.XLOOKUP(1,(DESC_PROV[LINEA]=$B$2)*(DESC_PROV[LISTA]=$C$2),DESC_PROV[DESCUENTO]),0)),
   ((B33*(1+IFERROR(VLOOKUP($D$2,COLORES[],2,FALSE),0)))+H33)
   *(1-IFERROR(_xlfn.XLOOKUP(1,(DESC_PROV[LINEA]=$B$2)*(DESC_PROV[LISTA]=$C$2),DESC_PROV[DESCUENTO]),0))
   *(1+VLOOKUP($C$2,LISTAS[],2,FALSE))
   *(1+VLOOKUP($C$2,LISTAS[],3,FALSE))
)
/5,0)*5,0)</f>
        <v>251085</v>
      </c>
      <c r="R33" s="126" cm="1">
        <f t="array" ref="R33">IFERROR(
ROUND(
IF($A$2="COSTO",
   ((B33*(1+IFERROR(VLOOKUP($D$2,COLORES[],2,FALSE),0)))+(D33+I33+D33))
   *(1-IFERROR(_xlfn.XLOOKUP(1,(DESC_PROV[LINEA]=$B$2)*(DESC_PROV[LISTA]=$C$2),DESC_PROV[DESCUENTO]),0)),
   ((B33*(1+IFERROR(VLOOKUP($D$2,COLORES[],2,FALSE),0)))+(D33+I33+D33))
   *(1-IFERROR(_xlfn.XLOOKUP(1,(DESC_PROV[LINEA]=$B$2)*(DESC_PROV[LISTA]=$C$2),DESC_PROV[DESCUENTO]),0))
   *(1+VLOOKUP($C$2,LISTAS[],2,FALSE))
   *(1+VLOOKUP($C$2,LISTAS[],3,FALSE))
)
/5,0)*5,0)</f>
        <v>267730</v>
      </c>
    </row>
    <row r="34" spans="1:18">
      <c r="A34" s="133" t="s">
        <v>169</v>
      </c>
      <c r="B34" s="125">
        <v>137537</v>
      </c>
      <c r="C34" s="125">
        <v>13856</v>
      </c>
      <c r="D34" s="125">
        <v>16724</v>
      </c>
      <c r="E34" s="125">
        <v>22254</v>
      </c>
      <c r="F34" s="125">
        <v>48173</v>
      </c>
      <c r="G34" s="125">
        <v>18390</v>
      </c>
      <c r="H34" s="125">
        <v>71448</v>
      </c>
      <c r="I34" s="125">
        <v>49694</v>
      </c>
      <c r="J34" s="124"/>
      <c r="K34" s="133" t="s">
        <v>169</v>
      </c>
      <c r="L34" s="125" cm="1">
        <f t="array" ref="L34">IFERROR(
ROUND(
IF($A$2="COSTO",
   ((B34*(1+IFERROR(VLOOKUP($D$2,COLORES[],2,FALSE),0)))+C34)
   *(1-IFERROR(_xlfn.XLOOKUP(1,(DESC_PROV[LINEA]=$B$2)*(DESC_PROV[LISTA]=$C$2),DESC_PROV[DESCUENTO]),0)),
   ((B34*(1+IFERROR(VLOOKUP($D$2,COLORES[],2,FALSE),0)))+C34)
   *(1-IFERROR(_xlfn.XLOOKUP(1,(DESC_PROV[LINEA]=$B$2)*(DESC_PROV[LISTA]=$C$2),DESC_PROV[DESCUENTO]),0))
   *(1+VLOOKUP($C$2,LISTAS[],2,FALSE))
   *(1+VLOOKUP($C$2,LISTAS[],3,FALSE))
)
/5,0)*5,0)</f>
        <v>194015</v>
      </c>
      <c r="M34" s="125" cm="1">
        <f t="array" ref="M34">IFERROR(
ROUND(
IF($A$2="COSTO",
   ((B34*(1+IFERROR(VLOOKUP($D$2,COLORES[],2,FALSE),0)))+D34)
   *(1-IFERROR(_xlfn.XLOOKUP(1,(DESC_PROV[LINEA]=$B$2)*(DESC_PROV[LISTA]=$C$2),DESC_PROV[DESCUENTO]),0)),
   ((B34*(1+IFERROR(VLOOKUP($D$2,COLORES[],2,FALSE),0)))+D34)
   *(1-IFERROR(_xlfn.XLOOKUP(1,(DESC_PROV[LINEA]=$B$2)*(DESC_PROV[LISTA]=$C$2),DESC_PROV[DESCUENTO]),0))
   *(1+VLOOKUP($C$2,LISTAS[],2,FALSE))
   *(1+VLOOKUP($C$2,LISTAS[],3,FALSE))
)
/5,0)*5,0)</f>
        <v>197690</v>
      </c>
      <c r="N34" s="125" cm="1">
        <f t="array" ref="N34">IFERROR(
ROUND(
IF($A$2="COSTO",
   ((B34*(1+IFERROR(VLOOKUP($D$2,COLORES[],2,FALSE),0)))+E34)
   *(1-IFERROR(_xlfn.XLOOKUP(1,(DESC_PROV[LINEA]=$B$2)*(DESC_PROV[LISTA]=$C$2),DESC_PROV[DESCUENTO]),0)),
   ((B34*(1+IFERROR(VLOOKUP($D$2,COLORES[],2,FALSE),0)))+E34)
   *(1-IFERROR(_xlfn.XLOOKUP(1,(DESC_PROV[LINEA]=$B$2)*(DESC_PROV[LISTA]=$C$2),DESC_PROV[DESCUENTO]),0))
   *(1+VLOOKUP($C$2,LISTAS[],2,FALSE))
   *(1+VLOOKUP($C$2,LISTAS[],3,FALSE))
)
/5,0)*5,0)</f>
        <v>204780</v>
      </c>
      <c r="O34" s="125" cm="1">
        <f t="array" ref="O34">IFERROR(
ROUND(
IF($A$2="COSTO",
   ((B34*(1+IFERROR(VLOOKUP($D$2,COLORES[],2,FALSE),0)))+F34)
   *(1-IFERROR(_xlfn.XLOOKUP(1,(DESC_PROV[LINEA]=$B$2)*(DESC_PROV[LISTA]=$C$2),DESC_PROV[DESCUENTO]),0)),
   ((B34*(1+IFERROR(VLOOKUP($D$2,COLORES[],2,FALSE),0)))+F34)
   *(1-IFERROR(_xlfn.XLOOKUP(1,(DESC_PROV[LINEA]=$B$2)*(DESC_PROV[LISTA]=$C$2),DESC_PROV[DESCUENTO]),0))
   *(1+VLOOKUP($C$2,LISTAS[],2,FALSE))
   *(1+VLOOKUP($C$2,LISTAS[],3,FALSE))
)
/5,0)*5,0)</f>
        <v>237995</v>
      </c>
      <c r="P34" s="125" cm="1">
        <f t="array" ref="P34">IFERROR(
ROUND(
IF($A$2="COSTO",
   ((B34*(1+IFERROR(VLOOKUP($D$2,COLORES[],2,FALSE),0)))+G34)
   *(1-IFERROR(_xlfn.XLOOKUP(1,(DESC_PROV[LINEA]=$B$2)*(DESC_PROV[LISTA]=$C$2),DESC_PROV[DESCUENTO]),0)),
   ((B34*(1+IFERROR(VLOOKUP($D$2,COLORES[],2,FALSE),0)))+G34)
   *(1-IFERROR(_xlfn.XLOOKUP(1,(DESC_PROV[LINEA]=$B$2)*(DESC_PROV[LISTA]=$C$2),DESC_PROV[DESCUENTO]),0))
   *(1+VLOOKUP($C$2,LISTAS[],2,FALSE))
   *(1+VLOOKUP($C$2,LISTAS[],3,FALSE))
)
/5,0)*5,0)</f>
        <v>199825</v>
      </c>
      <c r="Q34" s="125" cm="1">
        <f t="array" ref="Q34">IFERROR(
ROUND(
IF($A$2="COSTO",
   ((B34*(1+IFERROR(VLOOKUP($D$2,COLORES[],2,FALSE),0)))+H34)
   *(1-IFERROR(_xlfn.XLOOKUP(1,(DESC_PROV[LINEA]=$B$2)*(DESC_PROV[LISTA]=$C$2),DESC_PROV[DESCUENTO]),0)),
   ((B34*(1+IFERROR(VLOOKUP($D$2,COLORES[],2,FALSE),0)))+H34)
   *(1-IFERROR(_xlfn.XLOOKUP(1,(DESC_PROV[LINEA]=$B$2)*(DESC_PROV[LISTA]=$C$2),DESC_PROV[DESCUENTO]),0))
   *(1+VLOOKUP($C$2,LISTAS[],2,FALSE))
   *(1+VLOOKUP($C$2,LISTAS[],3,FALSE))
)
/5,0)*5,0)</f>
        <v>267825</v>
      </c>
      <c r="R34" s="126" cm="1">
        <f t="array" ref="R34">IFERROR(
ROUND(
IF($A$2="COSTO",
   ((B34*(1+IFERROR(VLOOKUP($D$2,COLORES[],2,FALSE),0)))+(D34+I34+D34))
   *(1-IFERROR(_xlfn.XLOOKUP(1,(DESC_PROV[LINEA]=$B$2)*(DESC_PROV[LISTA]=$C$2),DESC_PROV[DESCUENTO]),0)),
   ((B34*(1+IFERROR(VLOOKUP($D$2,COLORES[],2,FALSE),0)))+(D34+I34+D34))
   *(1-IFERROR(_xlfn.XLOOKUP(1,(DESC_PROV[LINEA]=$B$2)*(DESC_PROV[LISTA]=$C$2),DESC_PROV[DESCUENTO]),0))
   *(1+VLOOKUP($C$2,LISTAS[],2,FALSE))
   *(1+VLOOKUP($C$2,LISTAS[],3,FALSE))
)
/5,0)*5,0)</f>
        <v>282810</v>
      </c>
    </row>
    <row r="35" spans="1:18">
      <c r="A35" s="133" t="s">
        <v>170</v>
      </c>
      <c r="B35" s="125">
        <v>111894</v>
      </c>
      <c r="C35" s="125">
        <v>5385</v>
      </c>
      <c r="D35" s="125">
        <v>6525</v>
      </c>
      <c r="E35" s="125">
        <v>8607</v>
      </c>
      <c r="F35" s="125">
        <v>18616</v>
      </c>
      <c r="G35" s="125">
        <v>7204</v>
      </c>
      <c r="H35" s="125">
        <v>27867</v>
      </c>
      <c r="I35" s="125">
        <v>35078</v>
      </c>
      <c r="J35" s="124"/>
      <c r="K35" s="133" t="s">
        <v>170</v>
      </c>
      <c r="L35" s="125" cm="1">
        <f t="array" ref="L35">IFERROR(
ROUND(
IF($A$2="COSTO",
   ((B35*(1+IFERROR(VLOOKUP($D$2,COLORES[],2,FALSE),0)))+C35)
   *(1-IFERROR(_xlfn.XLOOKUP(1,(DESC_PROV[LINEA]=$B$2)*(DESC_PROV[LISTA]=$C$2),DESC_PROV[DESCUENTO]),0)),
   ((B35*(1+IFERROR(VLOOKUP($D$2,COLORES[],2,FALSE),0)))+C35)
   *(1-IFERROR(_xlfn.XLOOKUP(1,(DESC_PROV[LINEA]=$B$2)*(DESC_PROV[LISTA]=$C$2),DESC_PROV[DESCUENTO]),0))
   *(1+VLOOKUP($C$2,LISTAS[],2,FALSE))
   *(1+VLOOKUP($C$2,LISTAS[],3,FALSE))
)
/5,0)*5,0)</f>
        <v>150300</v>
      </c>
      <c r="M35" s="125" cm="1">
        <f t="array" ref="M35">IFERROR(
ROUND(
IF($A$2="COSTO",
   ((B35*(1+IFERROR(VLOOKUP($D$2,COLORES[],2,FALSE),0)))+D35)
   *(1-IFERROR(_xlfn.XLOOKUP(1,(DESC_PROV[LINEA]=$B$2)*(DESC_PROV[LISTA]=$C$2),DESC_PROV[DESCUENTO]),0)),
   ((B35*(1+IFERROR(VLOOKUP($D$2,COLORES[],2,FALSE),0)))+D35)
   *(1-IFERROR(_xlfn.XLOOKUP(1,(DESC_PROV[LINEA]=$B$2)*(DESC_PROV[LISTA]=$C$2),DESC_PROV[DESCUENTO]),0))
   *(1+VLOOKUP($C$2,LISTAS[],2,FALSE))
   *(1+VLOOKUP($C$2,LISTAS[],3,FALSE))
)
/5,0)*5,0)</f>
        <v>151760</v>
      </c>
      <c r="N35" s="125" cm="1">
        <f t="array" ref="N35">IFERROR(
ROUND(
IF($A$2="COSTO",
   ((B35*(1+IFERROR(VLOOKUP($D$2,COLORES[],2,FALSE),0)))+E35)
   *(1-IFERROR(_xlfn.XLOOKUP(1,(DESC_PROV[LINEA]=$B$2)*(DESC_PROV[LISTA]=$C$2),DESC_PROV[DESCUENTO]),0)),
   ((B35*(1+IFERROR(VLOOKUP($D$2,COLORES[],2,FALSE),0)))+E35)
   *(1-IFERROR(_xlfn.XLOOKUP(1,(DESC_PROV[LINEA]=$B$2)*(DESC_PROV[LISTA]=$C$2),DESC_PROV[DESCUENTO]),0))
   *(1+VLOOKUP($C$2,LISTAS[],2,FALSE))
   *(1+VLOOKUP($C$2,LISTAS[],3,FALSE))
)
/5,0)*5,0)</f>
        <v>154425</v>
      </c>
      <c r="O35" s="125" cm="1">
        <f t="array" ref="O35">IFERROR(
ROUND(
IF($A$2="COSTO",
   ((B35*(1+IFERROR(VLOOKUP($D$2,COLORES[],2,FALSE),0)))+F35)
   *(1-IFERROR(_xlfn.XLOOKUP(1,(DESC_PROV[LINEA]=$B$2)*(DESC_PROV[LISTA]=$C$2),DESC_PROV[DESCUENTO]),0)),
   ((B35*(1+IFERROR(VLOOKUP($D$2,COLORES[],2,FALSE),0)))+F35)
   *(1-IFERROR(_xlfn.XLOOKUP(1,(DESC_PROV[LINEA]=$B$2)*(DESC_PROV[LISTA]=$C$2),DESC_PROV[DESCUENTO]),0))
   *(1+VLOOKUP($C$2,LISTAS[],2,FALSE))
   *(1+VLOOKUP($C$2,LISTAS[],3,FALSE))
)
/5,0)*5,0)</f>
        <v>167255</v>
      </c>
      <c r="P35" s="125" cm="1">
        <f t="array" ref="P35">IFERROR(
ROUND(
IF($A$2="COSTO",
   ((B35*(1+IFERROR(VLOOKUP($D$2,COLORES[],2,FALSE),0)))+G35)
   *(1-IFERROR(_xlfn.XLOOKUP(1,(DESC_PROV[LINEA]=$B$2)*(DESC_PROV[LISTA]=$C$2),DESC_PROV[DESCUENTO]),0)),
   ((B35*(1+IFERROR(VLOOKUP($D$2,COLORES[],2,FALSE),0)))+G35)
   *(1-IFERROR(_xlfn.XLOOKUP(1,(DESC_PROV[LINEA]=$B$2)*(DESC_PROV[LISTA]=$C$2),DESC_PROV[DESCUENTO]),0))
   *(1+VLOOKUP($C$2,LISTAS[],2,FALSE))
   *(1+VLOOKUP($C$2,LISTAS[],3,FALSE))
)
/5,0)*5,0)</f>
        <v>152630</v>
      </c>
      <c r="Q35" s="125" cm="1">
        <f t="array" ref="Q35">IFERROR(
ROUND(
IF($A$2="COSTO",
   ((B35*(1+IFERROR(VLOOKUP($D$2,COLORES[],2,FALSE),0)))+H35)
   *(1-IFERROR(_xlfn.XLOOKUP(1,(DESC_PROV[LINEA]=$B$2)*(DESC_PROV[LISTA]=$C$2),DESC_PROV[DESCUENTO]),0)),
   ((B35*(1+IFERROR(VLOOKUP($D$2,COLORES[],2,FALSE),0)))+H35)
   *(1-IFERROR(_xlfn.XLOOKUP(1,(DESC_PROV[LINEA]=$B$2)*(DESC_PROV[LISTA]=$C$2),DESC_PROV[DESCUENTO]),0))
   *(1+VLOOKUP($C$2,LISTAS[],2,FALSE))
   *(1+VLOOKUP($C$2,LISTAS[],3,FALSE))
)
/5,0)*5,0)</f>
        <v>179110</v>
      </c>
      <c r="R35" s="126" cm="1">
        <f t="array" ref="R35">IFERROR(
ROUND(
IF($A$2="COSTO",
   ((B35*(1+IFERROR(VLOOKUP($D$2,COLORES[],2,FALSE),0)))+(D35+I35+D35))
   *(1-IFERROR(_xlfn.XLOOKUP(1,(DESC_PROV[LINEA]=$B$2)*(DESC_PROV[LISTA]=$C$2),DESC_PROV[DESCUENTO]),0)),
   ((B35*(1+IFERROR(VLOOKUP($D$2,COLORES[],2,FALSE),0)))+(D35+I35+D35))
   *(1-IFERROR(_xlfn.XLOOKUP(1,(DESC_PROV[LINEA]=$B$2)*(DESC_PROV[LISTA]=$C$2),DESC_PROV[DESCUENTO]),0))
   *(1+VLOOKUP($C$2,LISTAS[],2,FALSE))
   *(1+VLOOKUP($C$2,LISTAS[],3,FALSE))
)
/5,0)*5,0)</f>
        <v>205075</v>
      </c>
    </row>
    <row r="36" spans="1:18">
      <c r="A36" s="133" t="s">
        <v>260</v>
      </c>
      <c r="B36" s="125">
        <v>122155</v>
      </c>
      <c r="C36" s="125">
        <v>8978</v>
      </c>
      <c r="D36" s="125">
        <v>10851</v>
      </c>
      <c r="E36" s="125">
        <v>14399</v>
      </c>
      <c r="F36" s="125">
        <v>31141</v>
      </c>
      <c r="G36" s="125">
        <v>11946</v>
      </c>
      <c r="H36" s="125">
        <v>46350</v>
      </c>
      <c r="I36" s="125">
        <v>40924</v>
      </c>
      <c r="J36" s="124"/>
      <c r="K36" s="133" t="s">
        <v>260</v>
      </c>
      <c r="L36" s="125" cm="1">
        <f t="array" ref="L36">IFERROR(
ROUND(
IF($A$2="COSTO",
   ((B36*(1+IFERROR(VLOOKUP($D$2,COLORES[],2,FALSE),0)))+C36)
   *(1-IFERROR(_xlfn.XLOOKUP(1,(DESC_PROV[LINEA]=$B$2)*(DESC_PROV[LISTA]=$C$2),DESC_PROV[DESCUENTO]),0)),
   ((B36*(1+IFERROR(VLOOKUP($D$2,COLORES[],2,FALSE),0)))+C36)
   *(1-IFERROR(_xlfn.XLOOKUP(1,(DESC_PROV[LINEA]=$B$2)*(DESC_PROV[LISTA]=$C$2),DESC_PROV[DESCUENTO]),0))
   *(1+VLOOKUP($C$2,LISTAS[],2,FALSE))
   *(1+VLOOKUP($C$2,LISTAS[],3,FALSE))
)
/5,0)*5,0)</f>
        <v>168050</v>
      </c>
      <c r="M36" s="125" cm="1">
        <f t="array" ref="M36">IFERROR(
ROUND(
IF($A$2="COSTO",
   ((B36*(1+IFERROR(VLOOKUP($D$2,COLORES[],2,FALSE),0)))+D36)
   *(1-IFERROR(_xlfn.XLOOKUP(1,(DESC_PROV[LINEA]=$B$2)*(DESC_PROV[LISTA]=$C$2),DESC_PROV[DESCUENTO]),0)),
   ((B36*(1+IFERROR(VLOOKUP($D$2,COLORES[],2,FALSE),0)))+D36)
   *(1-IFERROR(_xlfn.XLOOKUP(1,(DESC_PROV[LINEA]=$B$2)*(DESC_PROV[LISTA]=$C$2),DESC_PROV[DESCUENTO]),0))
   *(1+VLOOKUP($C$2,LISTAS[],2,FALSE))
   *(1+VLOOKUP($C$2,LISTAS[],3,FALSE))
)
/5,0)*5,0)</f>
        <v>170455</v>
      </c>
      <c r="N36" s="125" cm="1">
        <f t="array" ref="N36">IFERROR(
ROUND(
IF($A$2="COSTO",
   ((B36*(1+IFERROR(VLOOKUP($D$2,COLORES[],2,FALSE),0)))+E36)
   *(1-IFERROR(_xlfn.XLOOKUP(1,(DESC_PROV[LINEA]=$B$2)*(DESC_PROV[LISTA]=$C$2),DESC_PROV[DESCUENTO]),0)),
   ((B36*(1+IFERROR(VLOOKUP($D$2,COLORES[],2,FALSE),0)))+E36)
   *(1-IFERROR(_xlfn.XLOOKUP(1,(DESC_PROV[LINEA]=$B$2)*(DESC_PROV[LISTA]=$C$2),DESC_PROV[DESCUENTO]),0))
   *(1+VLOOKUP($C$2,LISTAS[],2,FALSE))
   *(1+VLOOKUP($C$2,LISTAS[],3,FALSE))
)
/5,0)*5,0)</f>
        <v>175000</v>
      </c>
      <c r="O36" s="125" cm="1">
        <f t="array" ref="O36">IFERROR(
ROUND(
IF($A$2="COSTO",
   ((B36*(1+IFERROR(VLOOKUP($D$2,COLORES[],2,FALSE),0)))+F36)
   *(1-IFERROR(_xlfn.XLOOKUP(1,(DESC_PROV[LINEA]=$B$2)*(DESC_PROV[LISTA]=$C$2),DESC_PROV[DESCUENTO]),0)),
   ((B36*(1+IFERROR(VLOOKUP($D$2,COLORES[],2,FALSE),0)))+F36)
   *(1-IFERROR(_xlfn.XLOOKUP(1,(DESC_PROV[LINEA]=$B$2)*(DESC_PROV[LISTA]=$C$2),DESC_PROV[DESCUENTO]),0))
   *(1+VLOOKUP($C$2,LISTAS[],2,FALSE))
   *(1+VLOOKUP($C$2,LISTAS[],3,FALSE))
)
/5,0)*5,0)</f>
        <v>196455</v>
      </c>
      <c r="P36" s="125" cm="1">
        <f t="array" ref="P36">IFERROR(
ROUND(
IF($A$2="COSTO",
   ((B36*(1+IFERROR(VLOOKUP($D$2,COLORES[],2,FALSE),0)))+G36)
   *(1-IFERROR(_xlfn.XLOOKUP(1,(DESC_PROV[LINEA]=$B$2)*(DESC_PROV[LISTA]=$C$2),DESC_PROV[DESCUENTO]),0)),
   ((B36*(1+IFERROR(VLOOKUP($D$2,COLORES[],2,FALSE),0)))+G36)
   *(1-IFERROR(_xlfn.XLOOKUP(1,(DESC_PROV[LINEA]=$B$2)*(DESC_PROV[LISTA]=$C$2),DESC_PROV[DESCUENTO]),0))
   *(1+VLOOKUP($C$2,LISTAS[],2,FALSE))
   *(1+VLOOKUP($C$2,LISTAS[],3,FALSE))
)
/5,0)*5,0)</f>
        <v>171855</v>
      </c>
      <c r="Q36" s="125" cm="1">
        <f t="array" ref="Q36">IFERROR(
ROUND(
IF($A$2="COSTO",
   ((B36*(1+IFERROR(VLOOKUP($D$2,COLORES[],2,FALSE),0)))+H36)
   *(1-IFERROR(_xlfn.XLOOKUP(1,(DESC_PROV[LINEA]=$B$2)*(DESC_PROV[LISTA]=$C$2),DESC_PROV[DESCUENTO]),0)),
   ((B36*(1+IFERROR(VLOOKUP($D$2,COLORES[],2,FALSE),0)))+H36)
   *(1-IFERROR(_xlfn.XLOOKUP(1,(DESC_PROV[LINEA]=$B$2)*(DESC_PROV[LISTA]=$C$2),DESC_PROV[DESCUENTO]),0))
   *(1+VLOOKUP($C$2,LISTAS[],2,FALSE))
   *(1+VLOOKUP($C$2,LISTAS[],3,FALSE))
)
/5,0)*5,0)</f>
        <v>215945</v>
      </c>
      <c r="R36" s="126" cm="1">
        <f t="array" ref="R36">IFERROR(
ROUND(
IF($A$2="COSTO",
   ((B36*(1+IFERROR(VLOOKUP($D$2,COLORES[],2,FALSE),0)))+(D36+I36+D36))
   *(1-IFERROR(_xlfn.XLOOKUP(1,(DESC_PROV[LINEA]=$B$2)*(DESC_PROV[LISTA]=$C$2),DESC_PROV[DESCUENTO]),0)),
   ((B36*(1+IFERROR(VLOOKUP($D$2,COLORES[],2,FALSE),0)))+(D36+I36+D36))
   *(1-IFERROR(_xlfn.XLOOKUP(1,(DESC_PROV[LINEA]=$B$2)*(DESC_PROV[LISTA]=$C$2),DESC_PROV[DESCUENTO]),0))
   *(1+VLOOKUP($C$2,LISTAS[],2,FALSE))
   *(1+VLOOKUP($C$2,LISTAS[],3,FALSE))
)
/5,0)*5,0)</f>
        <v>236805</v>
      </c>
    </row>
    <row r="37" spans="1:18">
      <c r="A37" s="133" t="s">
        <v>172</v>
      </c>
      <c r="B37" s="125">
        <v>127276</v>
      </c>
      <c r="C37" s="125">
        <v>10779</v>
      </c>
      <c r="D37" s="125">
        <v>13014</v>
      </c>
      <c r="E37" s="125">
        <v>17295</v>
      </c>
      <c r="F37" s="125">
        <v>37404</v>
      </c>
      <c r="G37" s="125">
        <v>14317</v>
      </c>
      <c r="H37" s="125">
        <v>55592</v>
      </c>
      <c r="I37" s="125">
        <v>43847</v>
      </c>
      <c r="J37" s="124"/>
      <c r="K37" s="133" t="s">
        <v>172</v>
      </c>
      <c r="L37" s="125" cm="1">
        <f t="array" ref="L37">IFERROR(
ROUND(
IF($A$2="COSTO",
   ((B37*(1+IFERROR(VLOOKUP($D$2,COLORES[],2,FALSE),0)))+C37)
   *(1-IFERROR(_xlfn.XLOOKUP(1,(DESC_PROV[LINEA]=$B$2)*(DESC_PROV[LISTA]=$C$2),DESC_PROV[DESCUENTO]),0)),
   ((B37*(1+IFERROR(VLOOKUP($D$2,COLORES[],2,FALSE),0)))+C37)
   *(1-IFERROR(_xlfn.XLOOKUP(1,(DESC_PROV[LINEA]=$B$2)*(DESC_PROV[LISTA]=$C$2),DESC_PROV[DESCUENTO]),0))
   *(1+VLOOKUP($C$2,LISTAS[],2,FALSE))
   *(1+VLOOKUP($C$2,LISTAS[],3,FALSE))
)
/5,0)*5,0)</f>
        <v>176925</v>
      </c>
      <c r="M37" s="125" cm="1">
        <f t="array" ref="M37">IFERROR(
ROUND(
IF($A$2="COSTO",
   ((B37*(1+IFERROR(VLOOKUP($D$2,COLORES[],2,FALSE),0)))+D37)
   *(1-IFERROR(_xlfn.XLOOKUP(1,(DESC_PROV[LINEA]=$B$2)*(DESC_PROV[LISTA]=$C$2),DESC_PROV[DESCUENTO]),0)),
   ((B37*(1+IFERROR(VLOOKUP($D$2,COLORES[],2,FALSE),0)))+D37)
   *(1-IFERROR(_xlfn.XLOOKUP(1,(DESC_PROV[LINEA]=$B$2)*(DESC_PROV[LISTA]=$C$2),DESC_PROV[DESCUENTO]),0))
   *(1+VLOOKUP($C$2,LISTAS[],2,FALSE))
   *(1+VLOOKUP($C$2,LISTAS[],3,FALSE))
)
/5,0)*5,0)</f>
        <v>179785</v>
      </c>
      <c r="N37" s="125" cm="1">
        <f t="array" ref="N37">IFERROR(
ROUND(
IF($A$2="COSTO",
   ((B37*(1+IFERROR(VLOOKUP($D$2,COLORES[],2,FALSE),0)))+E37)
   *(1-IFERROR(_xlfn.XLOOKUP(1,(DESC_PROV[LINEA]=$B$2)*(DESC_PROV[LISTA]=$C$2),DESC_PROV[DESCUENTO]),0)),
   ((B37*(1+IFERROR(VLOOKUP($D$2,COLORES[],2,FALSE),0)))+E37)
   *(1-IFERROR(_xlfn.XLOOKUP(1,(DESC_PROV[LINEA]=$B$2)*(DESC_PROV[LISTA]=$C$2),DESC_PROV[DESCUENTO]),0))
   *(1+VLOOKUP($C$2,LISTAS[],2,FALSE))
   *(1+VLOOKUP($C$2,LISTAS[],3,FALSE))
)
/5,0)*5,0)</f>
        <v>185275</v>
      </c>
      <c r="O37" s="125" cm="1">
        <f t="array" ref="O37">IFERROR(
ROUND(
IF($A$2="COSTO",
   ((B37*(1+IFERROR(VLOOKUP($D$2,COLORES[],2,FALSE),0)))+F37)
   *(1-IFERROR(_xlfn.XLOOKUP(1,(DESC_PROV[LINEA]=$B$2)*(DESC_PROV[LISTA]=$C$2),DESC_PROV[DESCUENTO]),0)),
   ((B37*(1+IFERROR(VLOOKUP($D$2,COLORES[],2,FALSE),0)))+F37)
   *(1-IFERROR(_xlfn.XLOOKUP(1,(DESC_PROV[LINEA]=$B$2)*(DESC_PROV[LISTA]=$C$2),DESC_PROV[DESCUENTO]),0))
   *(1+VLOOKUP($C$2,LISTAS[],2,FALSE))
   *(1+VLOOKUP($C$2,LISTAS[],3,FALSE))
)
/5,0)*5,0)</f>
        <v>211045</v>
      </c>
      <c r="P37" s="125" cm="1">
        <f t="array" ref="P37">IFERROR(
ROUND(
IF($A$2="COSTO",
   ((B37*(1+IFERROR(VLOOKUP($D$2,COLORES[],2,FALSE),0)))+G37)
   *(1-IFERROR(_xlfn.XLOOKUP(1,(DESC_PROV[LINEA]=$B$2)*(DESC_PROV[LISTA]=$C$2),DESC_PROV[DESCUENTO]),0)),
   ((B37*(1+IFERROR(VLOOKUP($D$2,COLORES[],2,FALSE),0)))+G37)
   *(1-IFERROR(_xlfn.XLOOKUP(1,(DESC_PROV[LINEA]=$B$2)*(DESC_PROV[LISTA]=$C$2),DESC_PROV[DESCUENTO]),0))
   *(1+VLOOKUP($C$2,LISTAS[],2,FALSE))
   *(1+VLOOKUP($C$2,LISTAS[],3,FALSE))
)
/5,0)*5,0)</f>
        <v>181455</v>
      </c>
      <c r="Q37" s="125" cm="1">
        <f t="array" ref="Q37">IFERROR(
ROUND(
IF($A$2="COSTO",
   ((B37*(1+IFERROR(VLOOKUP($D$2,COLORES[],2,FALSE),0)))+H37)
   *(1-IFERROR(_xlfn.XLOOKUP(1,(DESC_PROV[LINEA]=$B$2)*(DESC_PROV[LISTA]=$C$2),DESC_PROV[DESCUENTO]),0)),
   ((B37*(1+IFERROR(VLOOKUP($D$2,COLORES[],2,FALSE),0)))+H37)
   *(1-IFERROR(_xlfn.XLOOKUP(1,(DESC_PROV[LINEA]=$B$2)*(DESC_PROV[LISTA]=$C$2),DESC_PROV[DESCUENTO]),0))
   *(1+VLOOKUP($C$2,LISTAS[],2,FALSE))
   *(1+VLOOKUP($C$2,LISTAS[],3,FALSE))
)
/5,0)*5,0)</f>
        <v>234355</v>
      </c>
      <c r="R37" s="126" cm="1">
        <f t="array" ref="R37">IFERROR(
ROUND(
IF($A$2="COSTO",
   ((B37*(1+IFERROR(VLOOKUP($D$2,COLORES[],2,FALSE),0)))+(D37+I37+D37))
   *(1-IFERROR(_xlfn.XLOOKUP(1,(DESC_PROV[LINEA]=$B$2)*(DESC_PROV[LISTA]=$C$2),DESC_PROV[DESCUENTO]),0)),
   ((B37*(1+IFERROR(VLOOKUP($D$2,COLORES[],2,FALSE),0)))+(D37+I37+D37))
   *(1-IFERROR(_xlfn.XLOOKUP(1,(DESC_PROV[LINEA]=$B$2)*(DESC_PROV[LISTA]=$C$2),DESC_PROV[DESCUENTO]),0))
   *(1+VLOOKUP($C$2,LISTAS[],2,FALSE))
   *(1+VLOOKUP($C$2,LISTAS[],3,FALSE))
)
/5,0)*5,0)</f>
        <v>252655</v>
      </c>
    </row>
    <row r="38" spans="1:18">
      <c r="A38" s="133" t="s">
        <v>173</v>
      </c>
      <c r="B38" s="125">
        <v>132403</v>
      </c>
      <c r="C38" s="125">
        <v>12570</v>
      </c>
      <c r="D38" s="125">
        <v>15177</v>
      </c>
      <c r="E38" s="125">
        <v>20191</v>
      </c>
      <c r="F38" s="125">
        <v>43666</v>
      </c>
      <c r="G38" s="125">
        <v>16688</v>
      </c>
      <c r="H38" s="125">
        <v>64834</v>
      </c>
      <c r="I38" s="125">
        <v>46770</v>
      </c>
      <c r="J38" s="124"/>
      <c r="K38" s="133" t="s">
        <v>173</v>
      </c>
      <c r="L38" s="125" cm="1">
        <f t="array" ref="L38">IFERROR(
ROUND(
IF($A$2="COSTO",
   ((B38*(1+IFERROR(VLOOKUP($D$2,COLORES[],2,FALSE),0)))+C38)
   *(1-IFERROR(_xlfn.XLOOKUP(1,(DESC_PROV[LINEA]=$B$2)*(DESC_PROV[LISTA]=$C$2),DESC_PROV[DESCUENTO]),0)),
   ((B38*(1+IFERROR(VLOOKUP($D$2,COLORES[],2,FALSE),0)))+C38)
   *(1-IFERROR(_xlfn.XLOOKUP(1,(DESC_PROV[LINEA]=$B$2)*(DESC_PROV[LISTA]=$C$2),DESC_PROV[DESCUENTO]),0))
   *(1+VLOOKUP($C$2,LISTAS[],2,FALSE))
   *(1+VLOOKUP($C$2,LISTAS[],3,FALSE))
)
/5,0)*5,0)</f>
        <v>185790</v>
      </c>
      <c r="M38" s="125" cm="1">
        <f t="array" ref="M38">IFERROR(
ROUND(
IF($A$2="COSTO",
   ((B38*(1+IFERROR(VLOOKUP($D$2,COLORES[],2,FALSE),0)))+D38)
   *(1-IFERROR(_xlfn.XLOOKUP(1,(DESC_PROV[LINEA]=$B$2)*(DESC_PROV[LISTA]=$C$2),DESC_PROV[DESCUENTO]),0)),
   ((B38*(1+IFERROR(VLOOKUP($D$2,COLORES[],2,FALSE),0)))+D38)
   *(1-IFERROR(_xlfn.XLOOKUP(1,(DESC_PROV[LINEA]=$B$2)*(DESC_PROV[LISTA]=$C$2),DESC_PROV[DESCUENTO]),0))
   *(1+VLOOKUP($C$2,LISTAS[],2,FALSE))
   *(1+VLOOKUP($C$2,LISTAS[],3,FALSE))
)
/5,0)*5,0)</f>
        <v>189130</v>
      </c>
      <c r="N38" s="125" cm="1">
        <f t="array" ref="N38">IFERROR(
ROUND(
IF($A$2="COSTO",
   ((B38*(1+IFERROR(VLOOKUP($D$2,COLORES[],2,FALSE),0)))+E38)
   *(1-IFERROR(_xlfn.XLOOKUP(1,(DESC_PROV[LINEA]=$B$2)*(DESC_PROV[LISTA]=$C$2),DESC_PROV[DESCUENTO]),0)),
   ((B38*(1+IFERROR(VLOOKUP($D$2,COLORES[],2,FALSE),0)))+E38)
   *(1-IFERROR(_xlfn.XLOOKUP(1,(DESC_PROV[LINEA]=$B$2)*(DESC_PROV[LISTA]=$C$2),DESC_PROV[DESCUENTO]),0))
   *(1+VLOOKUP($C$2,LISTAS[],2,FALSE))
   *(1+VLOOKUP($C$2,LISTAS[],3,FALSE))
)
/5,0)*5,0)</f>
        <v>195555</v>
      </c>
      <c r="O38" s="125" cm="1">
        <f t="array" ref="O38">IFERROR(
ROUND(
IF($A$2="COSTO",
   ((B38*(1+IFERROR(VLOOKUP($D$2,COLORES[],2,FALSE),0)))+F38)
   *(1-IFERROR(_xlfn.XLOOKUP(1,(DESC_PROV[LINEA]=$B$2)*(DESC_PROV[LISTA]=$C$2),DESC_PROV[DESCUENTO]),0)),
   ((B38*(1+IFERROR(VLOOKUP($D$2,COLORES[],2,FALSE),0)))+F38)
   *(1-IFERROR(_xlfn.XLOOKUP(1,(DESC_PROV[LINEA]=$B$2)*(DESC_PROV[LISTA]=$C$2),DESC_PROV[DESCUENTO]),0))
   *(1+VLOOKUP($C$2,LISTAS[],2,FALSE))
   *(1+VLOOKUP($C$2,LISTAS[],3,FALSE))
)
/5,0)*5,0)</f>
        <v>225640</v>
      </c>
      <c r="P38" s="125" cm="1">
        <f t="array" ref="P38">IFERROR(
ROUND(
IF($A$2="COSTO",
   ((B38*(1+IFERROR(VLOOKUP($D$2,COLORES[],2,FALSE),0)))+G38)
   *(1-IFERROR(_xlfn.XLOOKUP(1,(DESC_PROV[LINEA]=$B$2)*(DESC_PROV[LISTA]=$C$2),DESC_PROV[DESCUENTO]),0)),
   ((B38*(1+IFERROR(VLOOKUP($D$2,COLORES[],2,FALSE),0)))+G38)
   *(1-IFERROR(_xlfn.XLOOKUP(1,(DESC_PROV[LINEA]=$B$2)*(DESC_PROV[LISTA]=$C$2),DESC_PROV[DESCUENTO]),0))
   *(1+VLOOKUP($C$2,LISTAS[],2,FALSE))
   *(1+VLOOKUP($C$2,LISTAS[],3,FALSE))
)
/5,0)*5,0)</f>
        <v>191065</v>
      </c>
      <c r="Q38" s="125" cm="1">
        <f t="array" ref="Q38">IFERROR(
ROUND(
IF($A$2="COSTO",
   ((B38*(1+IFERROR(VLOOKUP($D$2,COLORES[],2,FALSE),0)))+H38)
   *(1-IFERROR(_xlfn.XLOOKUP(1,(DESC_PROV[LINEA]=$B$2)*(DESC_PROV[LISTA]=$C$2),DESC_PROV[DESCUENTO]),0)),
   ((B38*(1+IFERROR(VLOOKUP($D$2,COLORES[],2,FALSE),0)))+H38)
   *(1-IFERROR(_xlfn.XLOOKUP(1,(DESC_PROV[LINEA]=$B$2)*(DESC_PROV[LISTA]=$C$2),DESC_PROV[DESCUENTO]),0))
   *(1+VLOOKUP($C$2,LISTAS[],2,FALSE))
   *(1+VLOOKUP($C$2,LISTAS[],3,FALSE))
)
/5,0)*5,0)</f>
        <v>252765</v>
      </c>
      <c r="R38" s="126" cm="1">
        <f t="array" ref="R38">IFERROR(
ROUND(
IF($A$2="COSTO",
   ((B38*(1+IFERROR(VLOOKUP($D$2,COLORES[],2,FALSE),0)))+(D38+I38+D38))
   *(1-IFERROR(_xlfn.XLOOKUP(1,(DESC_PROV[LINEA]=$B$2)*(DESC_PROV[LISTA]=$C$2),DESC_PROV[DESCUENTO]),0)),
   ((B38*(1+IFERROR(VLOOKUP($D$2,COLORES[],2,FALSE),0)))+(D38+I38+D38))
   *(1-IFERROR(_xlfn.XLOOKUP(1,(DESC_PROV[LINEA]=$B$2)*(DESC_PROV[LISTA]=$C$2),DESC_PROV[DESCUENTO]),0))
   *(1+VLOOKUP($C$2,LISTAS[],2,FALSE))
   *(1+VLOOKUP($C$2,LISTAS[],3,FALSE))
)
/5,0)*5,0)</f>
        <v>268515</v>
      </c>
    </row>
    <row r="39" spans="1:18">
      <c r="A39" s="133" t="s">
        <v>174</v>
      </c>
      <c r="B39" s="125">
        <v>137537</v>
      </c>
      <c r="C39" s="125">
        <v>14362</v>
      </c>
      <c r="D39" s="125">
        <v>17340</v>
      </c>
      <c r="E39" s="125">
        <v>23087</v>
      </c>
      <c r="F39" s="125">
        <v>49929</v>
      </c>
      <c r="G39" s="125">
        <v>19059</v>
      </c>
      <c r="H39" s="125">
        <v>74076</v>
      </c>
      <c r="I39" s="125">
        <v>49694</v>
      </c>
      <c r="J39" s="124"/>
      <c r="K39" s="133" t="s">
        <v>174</v>
      </c>
      <c r="L39" s="125" cm="1">
        <f t="array" ref="L39">IFERROR(
ROUND(
IF($A$2="COSTO",
   ((B39*(1+IFERROR(VLOOKUP($D$2,COLORES[],2,FALSE),0)))+C39)
   *(1-IFERROR(_xlfn.XLOOKUP(1,(DESC_PROV[LINEA]=$B$2)*(DESC_PROV[LISTA]=$C$2),DESC_PROV[DESCUENTO]),0)),
   ((B39*(1+IFERROR(VLOOKUP($D$2,COLORES[],2,FALSE),0)))+C39)
   *(1-IFERROR(_xlfn.XLOOKUP(1,(DESC_PROV[LINEA]=$B$2)*(DESC_PROV[LISTA]=$C$2),DESC_PROV[DESCUENTO]),0))
   *(1+VLOOKUP($C$2,LISTAS[],2,FALSE))
   *(1+VLOOKUP($C$2,LISTAS[],3,FALSE))
)
/5,0)*5,0)</f>
        <v>194665</v>
      </c>
      <c r="M39" s="125" cm="1">
        <f t="array" ref="M39">IFERROR(
ROUND(
IF($A$2="COSTO",
   ((B39*(1+IFERROR(VLOOKUP($D$2,COLORES[],2,FALSE),0)))+D39)
   *(1-IFERROR(_xlfn.XLOOKUP(1,(DESC_PROV[LINEA]=$B$2)*(DESC_PROV[LISTA]=$C$2),DESC_PROV[DESCUENTO]),0)),
   ((B39*(1+IFERROR(VLOOKUP($D$2,COLORES[],2,FALSE),0)))+D39)
   *(1-IFERROR(_xlfn.XLOOKUP(1,(DESC_PROV[LINEA]=$B$2)*(DESC_PROV[LISTA]=$C$2),DESC_PROV[DESCUENTO]),0))
   *(1+VLOOKUP($C$2,LISTAS[],2,FALSE))
   *(1+VLOOKUP($C$2,LISTAS[],3,FALSE))
)
/5,0)*5,0)</f>
        <v>198480</v>
      </c>
      <c r="N39" s="125" cm="1">
        <f t="array" ref="N39">IFERROR(
ROUND(
IF($A$2="COSTO",
   ((B39*(1+IFERROR(VLOOKUP($D$2,COLORES[],2,FALSE),0)))+E39)
   *(1-IFERROR(_xlfn.XLOOKUP(1,(DESC_PROV[LINEA]=$B$2)*(DESC_PROV[LISTA]=$C$2),DESC_PROV[DESCUENTO]),0)),
   ((B39*(1+IFERROR(VLOOKUP($D$2,COLORES[],2,FALSE),0)))+E39)
   *(1-IFERROR(_xlfn.XLOOKUP(1,(DESC_PROV[LINEA]=$B$2)*(DESC_PROV[LISTA]=$C$2),DESC_PROV[DESCUENTO]),0))
   *(1+VLOOKUP($C$2,LISTAS[],2,FALSE))
   *(1+VLOOKUP($C$2,LISTAS[],3,FALSE))
)
/5,0)*5,0)</f>
        <v>205845</v>
      </c>
      <c r="O39" s="125" cm="1">
        <f t="array" ref="O39">IFERROR(
ROUND(
IF($A$2="COSTO",
   ((B39*(1+IFERROR(VLOOKUP($D$2,COLORES[],2,FALSE),0)))+F39)
   *(1-IFERROR(_xlfn.XLOOKUP(1,(DESC_PROV[LINEA]=$B$2)*(DESC_PROV[LISTA]=$C$2),DESC_PROV[DESCUENTO]),0)),
   ((B39*(1+IFERROR(VLOOKUP($D$2,COLORES[],2,FALSE),0)))+F39)
   *(1-IFERROR(_xlfn.XLOOKUP(1,(DESC_PROV[LINEA]=$B$2)*(DESC_PROV[LISTA]=$C$2),DESC_PROV[DESCUENTO]),0))
   *(1+VLOOKUP($C$2,LISTAS[],2,FALSE))
   *(1+VLOOKUP($C$2,LISTAS[],3,FALSE))
)
/5,0)*5,0)</f>
        <v>240245</v>
      </c>
      <c r="P39" s="125" cm="1">
        <f t="array" ref="P39">IFERROR(
ROUND(
IF($A$2="COSTO",
   ((B39*(1+IFERROR(VLOOKUP($D$2,COLORES[],2,FALSE),0)))+G39)
   *(1-IFERROR(_xlfn.XLOOKUP(1,(DESC_PROV[LINEA]=$B$2)*(DESC_PROV[LISTA]=$C$2),DESC_PROV[DESCUENTO]),0)),
   ((B39*(1+IFERROR(VLOOKUP($D$2,COLORES[],2,FALSE),0)))+G39)
   *(1-IFERROR(_xlfn.XLOOKUP(1,(DESC_PROV[LINEA]=$B$2)*(DESC_PROV[LISTA]=$C$2),DESC_PROV[DESCUENTO]),0))
   *(1+VLOOKUP($C$2,LISTAS[],2,FALSE))
   *(1+VLOOKUP($C$2,LISTAS[],3,FALSE))
)
/5,0)*5,0)</f>
        <v>200685</v>
      </c>
      <c r="Q39" s="125" cm="1">
        <f t="array" ref="Q39">IFERROR(
ROUND(
IF($A$2="COSTO",
   ((B39*(1+IFERROR(VLOOKUP($D$2,COLORES[],2,FALSE),0)))+H39)
   *(1-IFERROR(_xlfn.XLOOKUP(1,(DESC_PROV[LINEA]=$B$2)*(DESC_PROV[LISTA]=$C$2),DESC_PROV[DESCUENTO]),0)),
   ((B39*(1+IFERROR(VLOOKUP($D$2,COLORES[],2,FALSE),0)))+H39)
   *(1-IFERROR(_xlfn.XLOOKUP(1,(DESC_PROV[LINEA]=$B$2)*(DESC_PROV[LISTA]=$C$2),DESC_PROV[DESCUENTO]),0))
   *(1+VLOOKUP($C$2,LISTAS[],2,FALSE))
   *(1+VLOOKUP($C$2,LISTAS[],3,FALSE))
)
/5,0)*5,0)</f>
        <v>271190</v>
      </c>
      <c r="R39" s="126" cm="1">
        <f t="array" ref="R39">IFERROR(
ROUND(
IF($A$2="COSTO",
   ((B39*(1+IFERROR(VLOOKUP($D$2,COLORES[],2,FALSE),0)))+(D39+I39+D39))
   *(1-IFERROR(_xlfn.XLOOKUP(1,(DESC_PROV[LINEA]=$B$2)*(DESC_PROV[LISTA]=$C$2),DESC_PROV[DESCUENTO]),0)),
   ((B39*(1+IFERROR(VLOOKUP($D$2,COLORES[],2,FALSE),0)))+(D39+I39+D39))
   *(1-IFERROR(_xlfn.XLOOKUP(1,(DESC_PROV[LINEA]=$B$2)*(DESC_PROV[LISTA]=$C$2),DESC_PROV[DESCUENTO]),0))
   *(1+VLOOKUP($C$2,LISTAS[],2,FALSE))
   *(1+VLOOKUP($C$2,LISTAS[],3,FALSE))
)
/5,0)*5,0)</f>
        <v>284390</v>
      </c>
    </row>
    <row r="40" spans="1:18">
      <c r="A40" s="133" t="s">
        <v>175</v>
      </c>
      <c r="B40" s="125">
        <v>142657</v>
      </c>
      <c r="C40" s="125">
        <v>16154</v>
      </c>
      <c r="D40" s="125">
        <v>19503</v>
      </c>
      <c r="E40" s="125">
        <v>25983</v>
      </c>
      <c r="F40" s="125">
        <v>56191</v>
      </c>
      <c r="G40" s="125">
        <v>21430</v>
      </c>
      <c r="H40" s="125">
        <v>83318</v>
      </c>
      <c r="I40" s="125">
        <v>52617</v>
      </c>
      <c r="J40" s="124"/>
      <c r="K40" s="133" t="s">
        <v>175</v>
      </c>
      <c r="L40" s="125" cm="1">
        <f t="array" ref="L40">IFERROR(
ROUND(
IF($A$2="COSTO",
   ((B40*(1+IFERROR(VLOOKUP($D$2,COLORES[],2,FALSE),0)))+C40)
   *(1-IFERROR(_xlfn.XLOOKUP(1,(DESC_PROV[LINEA]=$B$2)*(DESC_PROV[LISTA]=$C$2),DESC_PROV[DESCUENTO]),0)),
   ((B40*(1+IFERROR(VLOOKUP($D$2,COLORES[],2,FALSE),0)))+C40)
   *(1-IFERROR(_xlfn.XLOOKUP(1,(DESC_PROV[LINEA]=$B$2)*(DESC_PROV[LISTA]=$C$2),DESC_PROV[DESCUENTO]),0))
   *(1+VLOOKUP($C$2,LISTAS[],2,FALSE))
   *(1+VLOOKUP($C$2,LISTAS[],3,FALSE))
)
/5,0)*5,0)</f>
        <v>203525</v>
      </c>
      <c r="M40" s="125" cm="1">
        <f t="array" ref="M40">IFERROR(
ROUND(
IF($A$2="COSTO",
   ((B40*(1+IFERROR(VLOOKUP($D$2,COLORES[],2,FALSE),0)))+D40)
   *(1-IFERROR(_xlfn.XLOOKUP(1,(DESC_PROV[LINEA]=$B$2)*(DESC_PROV[LISTA]=$C$2),DESC_PROV[DESCUENTO]),0)),
   ((B40*(1+IFERROR(VLOOKUP($D$2,COLORES[],2,FALSE),0)))+D40)
   *(1-IFERROR(_xlfn.XLOOKUP(1,(DESC_PROV[LINEA]=$B$2)*(DESC_PROV[LISTA]=$C$2),DESC_PROV[DESCUENTO]),0))
   *(1+VLOOKUP($C$2,LISTAS[],2,FALSE))
   *(1+VLOOKUP($C$2,LISTAS[],3,FALSE))
)
/5,0)*5,0)</f>
        <v>207815</v>
      </c>
      <c r="N40" s="125" cm="1">
        <f t="array" ref="N40">IFERROR(
ROUND(
IF($A$2="COSTO",
   ((B40*(1+IFERROR(VLOOKUP($D$2,COLORES[],2,FALSE),0)))+E40)
   *(1-IFERROR(_xlfn.XLOOKUP(1,(DESC_PROV[LINEA]=$B$2)*(DESC_PROV[LISTA]=$C$2),DESC_PROV[DESCUENTO]),0)),
   ((B40*(1+IFERROR(VLOOKUP($D$2,COLORES[],2,FALSE),0)))+E40)
   *(1-IFERROR(_xlfn.XLOOKUP(1,(DESC_PROV[LINEA]=$B$2)*(DESC_PROV[LISTA]=$C$2),DESC_PROV[DESCUENTO]),0))
   *(1+VLOOKUP($C$2,LISTAS[],2,FALSE))
   *(1+VLOOKUP($C$2,LISTAS[],3,FALSE))
)
/5,0)*5,0)</f>
        <v>216120</v>
      </c>
      <c r="O40" s="125" cm="1">
        <f t="array" ref="O40">IFERROR(
ROUND(
IF($A$2="COSTO",
   ((B40*(1+IFERROR(VLOOKUP($D$2,COLORES[],2,FALSE),0)))+F40)
   *(1-IFERROR(_xlfn.XLOOKUP(1,(DESC_PROV[LINEA]=$B$2)*(DESC_PROV[LISTA]=$C$2),DESC_PROV[DESCUENTO]),0)),
   ((B40*(1+IFERROR(VLOOKUP($D$2,COLORES[],2,FALSE),0)))+F40)
   *(1-IFERROR(_xlfn.XLOOKUP(1,(DESC_PROV[LINEA]=$B$2)*(DESC_PROV[LISTA]=$C$2),DESC_PROV[DESCUENTO]),0))
   *(1+VLOOKUP($C$2,LISTAS[],2,FALSE))
   *(1+VLOOKUP($C$2,LISTAS[],3,FALSE))
)
/5,0)*5,0)</f>
        <v>254830</v>
      </c>
      <c r="P40" s="125" cm="1">
        <f t="array" ref="P40">IFERROR(
ROUND(
IF($A$2="COSTO",
   ((B40*(1+IFERROR(VLOOKUP($D$2,COLORES[],2,FALSE),0)))+G40)
   *(1-IFERROR(_xlfn.XLOOKUP(1,(DESC_PROV[LINEA]=$B$2)*(DESC_PROV[LISTA]=$C$2),DESC_PROV[DESCUENTO]),0)),
   ((B40*(1+IFERROR(VLOOKUP($D$2,COLORES[],2,FALSE),0)))+G40)
   *(1-IFERROR(_xlfn.XLOOKUP(1,(DESC_PROV[LINEA]=$B$2)*(DESC_PROV[LISTA]=$C$2),DESC_PROV[DESCUENTO]),0))
   *(1+VLOOKUP($C$2,LISTAS[],2,FALSE))
   *(1+VLOOKUP($C$2,LISTAS[],3,FALSE))
)
/5,0)*5,0)</f>
        <v>210285</v>
      </c>
      <c r="Q40" s="125" cm="1">
        <f t="array" ref="Q40">IFERROR(
ROUND(
IF($A$2="COSTO",
   ((B40*(1+IFERROR(VLOOKUP($D$2,COLORES[],2,FALSE),0)))+H40)
   *(1-IFERROR(_xlfn.XLOOKUP(1,(DESC_PROV[LINEA]=$B$2)*(DESC_PROV[LISTA]=$C$2),DESC_PROV[DESCUENTO]),0)),
   ((B40*(1+IFERROR(VLOOKUP($D$2,COLORES[],2,FALSE),0)))+H40)
   *(1-IFERROR(_xlfn.XLOOKUP(1,(DESC_PROV[LINEA]=$B$2)*(DESC_PROV[LISTA]=$C$2),DESC_PROV[DESCUENTO]),0))
   *(1+VLOOKUP($C$2,LISTAS[],2,FALSE))
   *(1+VLOOKUP($C$2,LISTAS[],3,FALSE))
)
/5,0)*5,0)</f>
        <v>289595</v>
      </c>
      <c r="R40" s="126" cm="1">
        <f t="array" ref="R40">IFERROR(
ROUND(
IF($A$2="COSTO",
   ((B40*(1+IFERROR(VLOOKUP($D$2,COLORES[],2,FALSE),0)))+(D40+I40+D40))
   *(1-IFERROR(_xlfn.XLOOKUP(1,(DESC_PROV[LINEA]=$B$2)*(DESC_PROV[LISTA]=$C$2),DESC_PROV[DESCUENTO]),0)),
   ((B40*(1+IFERROR(VLOOKUP($D$2,COLORES[],2,FALSE),0)))+(D40+I40+D40))
   *(1-IFERROR(_xlfn.XLOOKUP(1,(DESC_PROV[LINEA]=$B$2)*(DESC_PROV[LISTA]=$C$2),DESC_PROV[DESCUENTO]),0))
   *(1+VLOOKUP($C$2,LISTAS[],2,FALSE))
   *(1+VLOOKUP($C$2,LISTAS[],3,FALSE))
)
/5,0)*5,0)</f>
        <v>300240</v>
      </c>
    </row>
    <row r="41" spans="1:18">
      <c r="A41" s="133" t="s">
        <v>176</v>
      </c>
      <c r="B41" s="125">
        <v>117035</v>
      </c>
      <c r="C41" s="125">
        <v>6154</v>
      </c>
      <c r="D41" s="125">
        <v>7457</v>
      </c>
      <c r="E41" s="125">
        <v>9837</v>
      </c>
      <c r="F41" s="125">
        <v>21277</v>
      </c>
      <c r="G41" s="125">
        <v>8236</v>
      </c>
      <c r="H41" s="125">
        <v>31852</v>
      </c>
      <c r="I41" s="125">
        <v>38001</v>
      </c>
      <c r="J41" s="124"/>
      <c r="K41" s="133" t="s">
        <v>176</v>
      </c>
      <c r="L41" s="125" cm="1">
        <f t="array" ref="L41">IFERROR(
ROUND(
IF($A$2="COSTO",
   ((B41*(1+IFERROR(VLOOKUP($D$2,COLORES[],2,FALSE),0)))+C41)
   *(1-IFERROR(_xlfn.XLOOKUP(1,(DESC_PROV[LINEA]=$B$2)*(DESC_PROV[LISTA]=$C$2),DESC_PROV[DESCUENTO]),0)),
   ((B41*(1+IFERROR(VLOOKUP($D$2,COLORES[],2,FALSE),0)))+C41)
   *(1-IFERROR(_xlfn.XLOOKUP(1,(DESC_PROV[LINEA]=$B$2)*(DESC_PROV[LISTA]=$C$2),DESC_PROV[DESCUENTO]),0))
   *(1+VLOOKUP($C$2,LISTAS[],2,FALSE))
   *(1+VLOOKUP($C$2,LISTAS[],3,FALSE))
)
/5,0)*5,0)</f>
        <v>157870</v>
      </c>
      <c r="M41" s="125" cm="1">
        <f t="array" ref="M41">IFERROR(
ROUND(
IF($A$2="COSTO",
   ((B41*(1+IFERROR(VLOOKUP($D$2,COLORES[],2,FALSE),0)))+D41)
   *(1-IFERROR(_xlfn.XLOOKUP(1,(DESC_PROV[LINEA]=$B$2)*(DESC_PROV[LISTA]=$C$2),DESC_PROV[DESCUENTO]),0)),
   ((B41*(1+IFERROR(VLOOKUP($D$2,COLORES[],2,FALSE),0)))+D41)
   *(1-IFERROR(_xlfn.XLOOKUP(1,(DESC_PROV[LINEA]=$B$2)*(DESC_PROV[LISTA]=$C$2),DESC_PROV[DESCUENTO]),0))
   *(1+VLOOKUP($C$2,LISTAS[],2,FALSE))
   *(1+VLOOKUP($C$2,LISTAS[],3,FALSE))
)
/5,0)*5,0)</f>
        <v>159540</v>
      </c>
      <c r="N41" s="125" cm="1">
        <f t="array" ref="N41">IFERROR(
ROUND(
IF($A$2="COSTO",
   ((B41*(1+IFERROR(VLOOKUP($D$2,COLORES[],2,FALSE),0)))+E41)
   *(1-IFERROR(_xlfn.XLOOKUP(1,(DESC_PROV[LINEA]=$B$2)*(DESC_PROV[LISTA]=$C$2),DESC_PROV[DESCUENTO]),0)),
   ((B41*(1+IFERROR(VLOOKUP($D$2,COLORES[],2,FALSE),0)))+E41)
   *(1-IFERROR(_xlfn.XLOOKUP(1,(DESC_PROV[LINEA]=$B$2)*(DESC_PROV[LISTA]=$C$2),DESC_PROV[DESCUENTO]),0))
   *(1+VLOOKUP($C$2,LISTAS[],2,FALSE))
   *(1+VLOOKUP($C$2,LISTAS[],3,FALSE))
)
/5,0)*5,0)</f>
        <v>162590</v>
      </c>
      <c r="O41" s="125" cm="1">
        <f t="array" ref="O41">IFERROR(
ROUND(
IF($A$2="COSTO",
   ((B41*(1+IFERROR(VLOOKUP($D$2,COLORES[],2,FALSE),0)))+F41)
   *(1-IFERROR(_xlfn.XLOOKUP(1,(DESC_PROV[LINEA]=$B$2)*(DESC_PROV[LISTA]=$C$2),DESC_PROV[DESCUENTO]),0)),
   ((B41*(1+IFERROR(VLOOKUP($D$2,COLORES[],2,FALSE),0)))+F41)
   *(1-IFERROR(_xlfn.XLOOKUP(1,(DESC_PROV[LINEA]=$B$2)*(DESC_PROV[LISTA]=$C$2),DESC_PROV[DESCUENTO]),0))
   *(1+VLOOKUP($C$2,LISTAS[],2,FALSE))
   *(1+VLOOKUP($C$2,LISTAS[],3,FALSE))
)
/5,0)*5,0)</f>
        <v>177250</v>
      </c>
      <c r="P41" s="125" cm="1">
        <f t="array" ref="P41">IFERROR(
ROUND(
IF($A$2="COSTO",
   ((B41*(1+IFERROR(VLOOKUP($D$2,COLORES[],2,FALSE),0)))+G41)
   *(1-IFERROR(_xlfn.XLOOKUP(1,(DESC_PROV[LINEA]=$B$2)*(DESC_PROV[LISTA]=$C$2),DESC_PROV[DESCUENTO]),0)),
   ((B41*(1+IFERROR(VLOOKUP($D$2,COLORES[],2,FALSE),0)))+G41)
   *(1-IFERROR(_xlfn.XLOOKUP(1,(DESC_PROV[LINEA]=$B$2)*(DESC_PROV[LISTA]=$C$2),DESC_PROV[DESCUENTO]),0))
   *(1+VLOOKUP($C$2,LISTAS[],2,FALSE))
   *(1+VLOOKUP($C$2,LISTAS[],3,FALSE))
)
/5,0)*5,0)</f>
        <v>160540</v>
      </c>
      <c r="Q41" s="125" cm="1">
        <f t="array" ref="Q41">IFERROR(
ROUND(
IF($A$2="COSTO",
   ((B41*(1+IFERROR(VLOOKUP($D$2,COLORES[],2,FALSE),0)))+H41)
   *(1-IFERROR(_xlfn.XLOOKUP(1,(DESC_PROV[LINEA]=$B$2)*(DESC_PROV[LISTA]=$C$2),DESC_PROV[DESCUENTO]),0)),
   ((B41*(1+IFERROR(VLOOKUP($D$2,COLORES[],2,FALSE),0)))+H41)
   *(1-IFERROR(_xlfn.XLOOKUP(1,(DESC_PROV[LINEA]=$B$2)*(DESC_PROV[LISTA]=$C$2),DESC_PROV[DESCUENTO]),0))
   *(1+VLOOKUP($C$2,LISTAS[],2,FALSE))
   *(1+VLOOKUP($C$2,LISTAS[],3,FALSE))
)
/5,0)*5,0)</f>
        <v>190805</v>
      </c>
      <c r="R41" s="126" cm="1">
        <f t="array" ref="R41">IFERROR(
ROUND(
IF($A$2="COSTO",
   ((B41*(1+IFERROR(VLOOKUP($D$2,COLORES[],2,FALSE),0)))+(D41+I41+D41))
   *(1-IFERROR(_xlfn.XLOOKUP(1,(DESC_PROV[LINEA]=$B$2)*(DESC_PROV[LISTA]=$C$2),DESC_PROV[DESCUENTO]),0)),
   ((B41*(1+IFERROR(VLOOKUP($D$2,COLORES[],2,FALSE),0)))+(D41+I41+D41))
   *(1-IFERROR(_xlfn.XLOOKUP(1,(DESC_PROV[LINEA]=$B$2)*(DESC_PROV[LISTA]=$C$2),DESC_PROV[DESCUENTO]),0))
   *(1+VLOOKUP($C$2,LISTAS[],2,FALSE))
   *(1+VLOOKUP($C$2,LISTAS[],3,FALSE))
)
/5,0)*5,0)</f>
        <v>217800</v>
      </c>
    </row>
    <row r="42" spans="1:18">
      <c r="A42" s="133" t="s">
        <v>177</v>
      </c>
      <c r="B42" s="125">
        <v>122155</v>
      </c>
      <c r="C42" s="125">
        <v>8208</v>
      </c>
      <c r="D42" s="125">
        <v>9928</v>
      </c>
      <c r="E42" s="125">
        <v>13150</v>
      </c>
      <c r="F42" s="125">
        <v>28327</v>
      </c>
      <c r="G42" s="125">
        <v>10941</v>
      </c>
      <c r="H42" s="125">
        <v>42408</v>
      </c>
      <c r="I42" s="125">
        <v>40924</v>
      </c>
      <c r="J42" s="124"/>
      <c r="K42" s="133" t="s">
        <v>177</v>
      </c>
      <c r="L42" s="125" cm="1">
        <f t="array" ref="L42">IFERROR(
ROUND(
IF($A$2="COSTO",
   ((B42*(1+IFERROR(VLOOKUP($D$2,COLORES[],2,FALSE),0)))+C42)
   *(1-IFERROR(_xlfn.XLOOKUP(1,(DESC_PROV[LINEA]=$B$2)*(DESC_PROV[LISTA]=$C$2),DESC_PROV[DESCUENTO]),0)),
   ((B42*(1+IFERROR(VLOOKUP($D$2,COLORES[],2,FALSE),0)))+C42)
   *(1-IFERROR(_xlfn.XLOOKUP(1,(DESC_PROV[LINEA]=$B$2)*(DESC_PROV[LISTA]=$C$2),DESC_PROV[DESCUENTO]),0))
   *(1+VLOOKUP($C$2,LISTAS[],2,FALSE))
   *(1+VLOOKUP($C$2,LISTAS[],3,FALSE))
)
/5,0)*5,0)</f>
        <v>167065</v>
      </c>
      <c r="M42" s="125" cm="1">
        <f t="array" ref="M42">IFERROR(
ROUND(
IF($A$2="COSTO",
   ((B42*(1+IFERROR(VLOOKUP($D$2,COLORES[],2,FALSE),0)))+D42)
   *(1-IFERROR(_xlfn.XLOOKUP(1,(DESC_PROV[LINEA]=$B$2)*(DESC_PROV[LISTA]=$C$2),DESC_PROV[DESCUENTO]),0)),
   ((B42*(1+IFERROR(VLOOKUP($D$2,COLORES[],2,FALSE),0)))+D42)
   *(1-IFERROR(_xlfn.XLOOKUP(1,(DESC_PROV[LINEA]=$B$2)*(DESC_PROV[LISTA]=$C$2),DESC_PROV[DESCUENTO]),0))
   *(1+VLOOKUP($C$2,LISTAS[],2,FALSE))
   *(1+VLOOKUP($C$2,LISTAS[],3,FALSE))
)
/5,0)*5,0)</f>
        <v>169270</v>
      </c>
      <c r="N42" s="125" cm="1">
        <f t="array" ref="N42">IFERROR(
ROUND(
IF($A$2="COSTO",
   ((B42*(1+IFERROR(VLOOKUP($D$2,COLORES[],2,FALSE),0)))+E42)
   *(1-IFERROR(_xlfn.XLOOKUP(1,(DESC_PROV[LINEA]=$B$2)*(DESC_PROV[LISTA]=$C$2),DESC_PROV[DESCUENTO]),0)),
   ((B42*(1+IFERROR(VLOOKUP($D$2,COLORES[],2,FALSE),0)))+E42)
   *(1-IFERROR(_xlfn.XLOOKUP(1,(DESC_PROV[LINEA]=$B$2)*(DESC_PROV[LISTA]=$C$2),DESC_PROV[DESCUENTO]),0))
   *(1+VLOOKUP($C$2,LISTAS[],2,FALSE))
   *(1+VLOOKUP($C$2,LISTAS[],3,FALSE))
)
/5,0)*5,0)</f>
        <v>173400</v>
      </c>
      <c r="O42" s="125" cm="1">
        <f t="array" ref="O42">IFERROR(
ROUND(
IF($A$2="COSTO",
   ((B42*(1+IFERROR(VLOOKUP($D$2,COLORES[],2,FALSE),0)))+F42)
   *(1-IFERROR(_xlfn.XLOOKUP(1,(DESC_PROV[LINEA]=$B$2)*(DESC_PROV[LISTA]=$C$2),DESC_PROV[DESCUENTO]),0)),
   ((B42*(1+IFERROR(VLOOKUP($D$2,COLORES[],2,FALSE),0)))+F42)
   *(1-IFERROR(_xlfn.XLOOKUP(1,(DESC_PROV[LINEA]=$B$2)*(DESC_PROV[LISTA]=$C$2),DESC_PROV[DESCUENTO]),0))
   *(1+VLOOKUP($C$2,LISTAS[],2,FALSE))
   *(1+VLOOKUP($C$2,LISTAS[],3,FALSE))
)
/5,0)*5,0)</f>
        <v>192850</v>
      </c>
      <c r="P42" s="125" cm="1">
        <f t="array" ref="P42">IFERROR(
ROUND(
IF($A$2="COSTO",
   ((B42*(1+IFERROR(VLOOKUP($D$2,COLORES[],2,FALSE),0)))+G42)
   *(1-IFERROR(_xlfn.XLOOKUP(1,(DESC_PROV[LINEA]=$B$2)*(DESC_PROV[LISTA]=$C$2),DESC_PROV[DESCUENTO]),0)),
   ((B42*(1+IFERROR(VLOOKUP($D$2,COLORES[],2,FALSE),0)))+G42)
   *(1-IFERROR(_xlfn.XLOOKUP(1,(DESC_PROV[LINEA]=$B$2)*(DESC_PROV[LISTA]=$C$2),DESC_PROV[DESCUENTO]),0))
   *(1+VLOOKUP($C$2,LISTAS[],2,FALSE))
   *(1+VLOOKUP($C$2,LISTAS[],3,FALSE))
)
/5,0)*5,0)</f>
        <v>170570</v>
      </c>
      <c r="Q42" s="125" cm="1">
        <f t="array" ref="Q42">IFERROR(
ROUND(
IF($A$2="COSTO",
   ((B42*(1+IFERROR(VLOOKUP($D$2,COLORES[],2,FALSE),0)))+H42)
   *(1-IFERROR(_xlfn.XLOOKUP(1,(DESC_PROV[LINEA]=$B$2)*(DESC_PROV[LISTA]=$C$2),DESC_PROV[DESCUENTO]),0)),
   ((B42*(1+IFERROR(VLOOKUP($D$2,COLORES[],2,FALSE),0)))+H42)
   *(1-IFERROR(_xlfn.XLOOKUP(1,(DESC_PROV[LINEA]=$B$2)*(DESC_PROV[LISTA]=$C$2),DESC_PROV[DESCUENTO]),0))
   *(1+VLOOKUP($C$2,LISTAS[],2,FALSE))
   *(1+VLOOKUP($C$2,LISTAS[],3,FALSE))
)
/5,0)*5,0)</f>
        <v>210895</v>
      </c>
      <c r="R42" s="126" cm="1">
        <f t="array" ref="R42">IFERROR(
ROUND(
IF($A$2="COSTO",
   ((B42*(1+IFERROR(VLOOKUP($D$2,COLORES[],2,FALSE),0)))+(D42+I42+D42))
   *(1-IFERROR(_xlfn.XLOOKUP(1,(DESC_PROV[LINEA]=$B$2)*(DESC_PROV[LISTA]=$C$2),DESC_PROV[DESCUENTO]),0)),
   ((B42*(1+IFERROR(VLOOKUP($D$2,COLORES[],2,FALSE),0)))+(D42+I42+D42))
   *(1-IFERROR(_xlfn.XLOOKUP(1,(DESC_PROV[LINEA]=$B$2)*(DESC_PROV[LISTA]=$C$2),DESC_PROV[DESCUENTO]),0))
   *(1+VLOOKUP($C$2,LISTAS[],2,FALSE))
   *(1+VLOOKUP($C$2,LISTAS[],3,FALSE))
)
/5,0)*5,0)</f>
        <v>234440</v>
      </c>
    </row>
    <row r="43" spans="1:18">
      <c r="A43" s="133" t="s">
        <v>178</v>
      </c>
      <c r="B43" s="125">
        <v>127276</v>
      </c>
      <c r="C43" s="125">
        <v>10263</v>
      </c>
      <c r="D43" s="125">
        <v>12399</v>
      </c>
      <c r="E43" s="125">
        <v>16462</v>
      </c>
      <c r="F43" s="125">
        <v>35648</v>
      </c>
      <c r="G43" s="125">
        <v>13647</v>
      </c>
      <c r="H43" s="125">
        <v>52964</v>
      </c>
      <c r="I43" s="125">
        <v>43847</v>
      </c>
      <c r="J43" s="124"/>
      <c r="K43" s="133" t="s">
        <v>178</v>
      </c>
      <c r="L43" s="125" cm="1">
        <f t="array" ref="L43">IFERROR(
ROUND(
IF($A$2="COSTO",
   ((B43*(1+IFERROR(VLOOKUP($D$2,COLORES[],2,FALSE),0)))+C43)
   *(1-IFERROR(_xlfn.XLOOKUP(1,(DESC_PROV[LINEA]=$B$2)*(DESC_PROV[LISTA]=$C$2),DESC_PROV[DESCUENTO]),0)),
   ((B43*(1+IFERROR(VLOOKUP($D$2,COLORES[],2,FALSE),0)))+C43)
   *(1-IFERROR(_xlfn.XLOOKUP(1,(DESC_PROV[LINEA]=$B$2)*(DESC_PROV[LISTA]=$C$2),DESC_PROV[DESCUENTO]),0))
   *(1+VLOOKUP($C$2,LISTAS[],2,FALSE))
   *(1+VLOOKUP($C$2,LISTAS[],3,FALSE))
)
/5,0)*5,0)</f>
        <v>176260</v>
      </c>
      <c r="M43" s="125" cm="1">
        <f t="array" ref="M43">IFERROR(
ROUND(
IF($A$2="COSTO",
   ((B43*(1+IFERROR(VLOOKUP($D$2,COLORES[],2,FALSE),0)))+D43)
   *(1-IFERROR(_xlfn.XLOOKUP(1,(DESC_PROV[LINEA]=$B$2)*(DESC_PROV[LISTA]=$C$2),DESC_PROV[DESCUENTO]),0)),
   ((B43*(1+IFERROR(VLOOKUP($D$2,COLORES[],2,FALSE),0)))+D43)
   *(1-IFERROR(_xlfn.XLOOKUP(1,(DESC_PROV[LINEA]=$B$2)*(DESC_PROV[LISTA]=$C$2),DESC_PROV[DESCUENTO]),0))
   *(1+VLOOKUP($C$2,LISTAS[],2,FALSE))
   *(1+VLOOKUP($C$2,LISTAS[],3,FALSE))
)
/5,0)*5,0)</f>
        <v>179000</v>
      </c>
      <c r="N43" s="125" cm="1">
        <f t="array" ref="N43">IFERROR(
ROUND(
IF($A$2="COSTO",
   ((B43*(1+IFERROR(VLOOKUP($D$2,COLORES[],2,FALSE),0)))+E43)
   *(1-IFERROR(_xlfn.XLOOKUP(1,(DESC_PROV[LINEA]=$B$2)*(DESC_PROV[LISTA]=$C$2),DESC_PROV[DESCUENTO]),0)),
   ((B43*(1+IFERROR(VLOOKUP($D$2,COLORES[],2,FALSE),0)))+E43)
   *(1-IFERROR(_xlfn.XLOOKUP(1,(DESC_PROV[LINEA]=$B$2)*(DESC_PROV[LISTA]=$C$2),DESC_PROV[DESCUENTO]),0))
   *(1+VLOOKUP($C$2,LISTAS[],2,FALSE))
   *(1+VLOOKUP($C$2,LISTAS[],3,FALSE))
)
/5,0)*5,0)</f>
        <v>184205</v>
      </c>
      <c r="O43" s="125" cm="1">
        <f t="array" ref="O43">IFERROR(
ROUND(
IF($A$2="COSTO",
   ((B43*(1+IFERROR(VLOOKUP($D$2,COLORES[],2,FALSE),0)))+F43)
   *(1-IFERROR(_xlfn.XLOOKUP(1,(DESC_PROV[LINEA]=$B$2)*(DESC_PROV[LISTA]=$C$2),DESC_PROV[DESCUENTO]),0)),
   ((B43*(1+IFERROR(VLOOKUP($D$2,COLORES[],2,FALSE),0)))+F43)
   *(1-IFERROR(_xlfn.XLOOKUP(1,(DESC_PROV[LINEA]=$B$2)*(DESC_PROV[LISTA]=$C$2),DESC_PROV[DESCUENTO]),0))
   *(1+VLOOKUP($C$2,LISTAS[],2,FALSE))
   *(1+VLOOKUP($C$2,LISTAS[],3,FALSE))
)
/5,0)*5,0)</f>
        <v>208795</v>
      </c>
      <c r="P43" s="125" cm="1">
        <f t="array" ref="P43">IFERROR(
ROUND(
IF($A$2="COSTO",
   ((B43*(1+IFERROR(VLOOKUP($D$2,COLORES[],2,FALSE),0)))+G43)
   *(1-IFERROR(_xlfn.XLOOKUP(1,(DESC_PROV[LINEA]=$B$2)*(DESC_PROV[LISTA]=$C$2),DESC_PROV[DESCUENTO]),0)),
   ((B43*(1+IFERROR(VLOOKUP($D$2,COLORES[],2,FALSE),0)))+G43)
   *(1-IFERROR(_xlfn.XLOOKUP(1,(DESC_PROV[LINEA]=$B$2)*(DESC_PROV[LISTA]=$C$2),DESC_PROV[DESCUENTO]),0))
   *(1+VLOOKUP($C$2,LISTAS[],2,FALSE))
   *(1+VLOOKUP($C$2,LISTAS[],3,FALSE))
)
/5,0)*5,0)</f>
        <v>180600</v>
      </c>
      <c r="Q43" s="125" cm="1">
        <f t="array" ref="Q43">IFERROR(
ROUND(
IF($A$2="COSTO",
   ((B43*(1+IFERROR(VLOOKUP($D$2,COLORES[],2,FALSE),0)))+H43)
   *(1-IFERROR(_xlfn.XLOOKUP(1,(DESC_PROV[LINEA]=$B$2)*(DESC_PROV[LISTA]=$C$2),DESC_PROV[DESCUENTO]),0)),
   ((B43*(1+IFERROR(VLOOKUP($D$2,COLORES[],2,FALSE),0)))+H43)
   *(1-IFERROR(_xlfn.XLOOKUP(1,(DESC_PROV[LINEA]=$B$2)*(DESC_PROV[LISTA]=$C$2),DESC_PROV[DESCUENTO]),0))
   *(1+VLOOKUP($C$2,LISTAS[],2,FALSE))
   *(1+VLOOKUP($C$2,LISTAS[],3,FALSE))
)
/5,0)*5,0)</f>
        <v>230985</v>
      </c>
      <c r="R43" s="126" cm="1">
        <f t="array" ref="R43">IFERROR(
ROUND(
IF($A$2="COSTO",
   ((B43*(1+IFERROR(VLOOKUP($D$2,COLORES[],2,FALSE),0)))+(D43+I43+D43))
   *(1-IFERROR(_xlfn.XLOOKUP(1,(DESC_PROV[LINEA]=$B$2)*(DESC_PROV[LISTA]=$C$2),DESC_PROV[DESCUENTO]),0)),
   ((B43*(1+IFERROR(VLOOKUP($D$2,COLORES[],2,FALSE),0)))+(D43+I43+D43))
   *(1-IFERROR(_xlfn.XLOOKUP(1,(DESC_PROV[LINEA]=$B$2)*(DESC_PROV[LISTA]=$C$2),DESC_PROV[DESCUENTO]),0))
   *(1+VLOOKUP($C$2,LISTAS[],2,FALSE))
   *(1+VLOOKUP($C$2,LISTAS[],3,FALSE))
)
/5,0)*5,0)</f>
        <v>251080</v>
      </c>
    </row>
    <row r="44" spans="1:18">
      <c r="A44" s="133" t="s">
        <v>179</v>
      </c>
      <c r="B44" s="125">
        <v>132403</v>
      </c>
      <c r="C44" s="125">
        <v>12317</v>
      </c>
      <c r="D44" s="125">
        <v>14869</v>
      </c>
      <c r="E44" s="125">
        <v>19774</v>
      </c>
      <c r="F44" s="125">
        <v>42788</v>
      </c>
      <c r="G44" s="125">
        <v>16353</v>
      </c>
      <c r="H44" s="125">
        <v>63520</v>
      </c>
      <c r="I44" s="125">
        <v>46770</v>
      </c>
      <c r="J44" s="124"/>
      <c r="K44" s="133" t="s">
        <v>179</v>
      </c>
      <c r="L44" s="125" cm="1">
        <f t="array" ref="L44">IFERROR(
ROUND(
IF($A$2="COSTO",
   ((B44*(1+IFERROR(VLOOKUP($D$2,COLORES[],2,FALSE),0)))+C44)
   *(1-IFERROR(_xlfn.XLOOKUP(1,(DESC_PROV[LINEA]=$B$2)*(DESC_PROV[LISTA]=$C$2),DESC_PROV[DESCUENTO]),0)),
   ((B44*(1+IFERROR(VLOOKUP($D$2,COLORES[],2,FALSE),0)))+C44)
   *(1-IFERROR(_xlfn.XLOOKUP(1,(DESC_PROV[LINEA]=$B$2)*(DESC_PROV[LISTA]=$C$2),DESC_PROV[DESCUENTO]),0))
   *(1+VLOOKUP($C$2,LISTAS[],2,FALSE))
   *(1+VLOOKUP($C$2,LISTAS[],3,FALSE))
)
/5,0)*5,0)</f>
        <v>185465</v>
      </c>
      <c r="M44" s="125" cm="1">
        <f t="array" ref="M44">IFERROR(
ROUND(
IF($A$2="COSTO",
   ((B44*(1+IFERROR(VLOOKUP($D$2,COLORES[],2,FALSE),0)))+D44)
   *(1-IFERROR(_xlfn.XLOOKUP(1,(DESC_PROV[LINEA]=$B$2)*(DESC_PROV[LISTA]=$C$2),DESC_PROV[DESCUENTO]),0)),
   ((B44*(1+IFERROR(VLOOKUP($D$2,COLORES[],2,FALSE),0)))+D44)
   *(1-IFERROR(_xlfn.XLOOKUP(1,(DESC_PROV[LINEA]=$B$2)*(DESC_PROV[LISTA]=$C$2),DESC_PROV[DESCUENTO]),0))
   *(1+VLOOKUP($C$2,LISTAS[],2,FALSE))
   *(1+VLOOKUP($C$2,LISTAS[],3,FALSE))
)
/5,0)*5,0)</f>
        <v>188735</v>
      </c>
      <c r="N44" s="125" cm="1">
        <f t="array" ref="N44">IFERROR(
ROUND(
IF($A$2="COSTO",
   ((B44*(1+IFERROR(VLOOKUP($D$2,COLORES[],2,FALSE),0)))+E44)
   *(1-IFERROR(_xlfn.XLOOKUP(1,(DESC_PROV[LINEA]=$B$2)*(DESC_PROV[LISTA]=$C$2),DESC_PROV[DESCUENTO]),0)),
   ((B44*(1+IFERROR(VLOOKUP($D$2,COLORES[],2,FALSE),0)))+E44)
   *(1-IFERROR(_xlfn.XLOOKUP(1,(DESC_PROV[LINEA]=$B$2)*(DESC_PROV[LISTA]=$C$2),DESC_PROV[DESCUENTO]),0))
   *(1+VLOOKUP($C$2,LISTAS[],2,FALSE))
   *(1+VLOOKUP($C$2,LISTAS[],3,FALSE))
)
/5,0)*5,0)</f>
        <v>195020</v>
      </c>
      <c r="O44" s="125" cm="1">
        <f t="array" ref="O44">IFERROR(
ROUND(
IF($A$2="COSTO",
   ((B44*(1+IFERROR(VLOOKUP($D$2,COLORES[],2,FALSE),0)))+F44)
   *(1-IFERROR(_xlfn.XLOOKUP(1,(DESC_PROV[LINEA]=$B$2)*(DESC_PROV[LISTA]=$C$2),DESC_PROV[DESCUENTO]),0)),
   ((B44*(1+IFERROR(VLOOKUP($D$2,COLORES[],2,FALSE),0)))+F44)
   *(1-IFERROR(_xlfn.XLOOKUP(1,(DESC_PROV[LINEA]=$B$2)*(DESC_PROV[LISTA]=$C$2),DESC_PROV[DESCUENTO]),0))
   *(1+VLOOKUP($C$2,LISTAS[],2,FALSE))
   *(1+VLOOKUP($C$2,LISTAS[],3,FALSE))
)
/5,0)*5,0)</f>
        <v>224515</v>
      </c>
      <c r="P44" s="125" cm="1">
        <f t="array" ref="P44">IFERROR(
ROUND(
IF($A$2="COSTO",
   ((B44*(1+IFERROR(VLOOKUP($D$2,COLORES[],2,FALSE),0)))+G44)
   *(1-IFERROR(_xlfn.XLOOKUP(1,(DESC_PROV[LINEA]=$B$2)*(DESC_PROV[LISTA]=$C$2),DESC_PROV[DESCUENTO]),0)),
   ((B44*(1+IFERROR(VLOOKUP($D$2,COLORES[],2,FALSE),0)))+G44)
   *(1-IFERROR(_xlfn.XLOOKUP(1,(DESC_PROV[LINEA]=$B$2)*(DESC_PROV[LISTA]=$C$2),DESC_PROV[DESCUENTO]),0))
   *(1+VLOOKUP($C$2,LISTAS[],2,FALSE))
   *(1+VLOOKUP($C$2,LISTAS[],3,FALSE))
)
/5,0)*5,0)</f>
        <v>190635</v>
      </c>
      <c r="Q44" s="125" cm="1">
        <f t="array" ref="Q44">IFERROR(
ROUND(
IF($A$2="COSTO",
   ((B44*(1+IFERROR(VLOOKUP($D$2,COLORES[],2,FALSE),0)))+H44)
   *(1-IFERROR(_xlfn.XLOOKUP(1,(DESC_PROV[LINEA]=$B$2)*(DESC_PROV[LISTA]=$C$2),DESC_PROV[DESCUENTO]),0)),
   ((B44*(1+IFERROR(VLOOKUP($D$2,COLORES[],2,FALSE),0)))+H44)
   *(1-IFERROR(_xlfn.XLOOKUP(1,(DESC_PROV[LINEA]=$B$2)*(DESC_PROV[LISTA]=$C$2),DESC_PROV[DESCUENTO]),0))
   *(1+VLOOKUP($C$2,LISTAS[],2,FALSE))
   *(1+VLOOKUP($C$2,LISTAS[],3,FALSE))
)
/5,0)*5,0)</f>
        <v>251085</v>
      </c>
      <c r="R44" s="126" cm="1">
        <f t="array" ref="R44">IFERROR(
ROUND(
IF($A$2="COSTO",
   ((B44*(1+IFERROR(VLOOKUP($D$2,COLORES[],2,FALSE),0)))+(D44+I44+D44))
   *(1-IFERROR(_xlfn.XLOOKUP(1,(DESC_PROV[LINEA]=$B$2)*(DESC_PROV[LISTA]=$C$2),DESC_PROV[DESCUENTO]),0)),
   ((B44*(1+IFERROR(VLOOKUP($D$2,COLORES[],2,FALSE),0)))+(D44+I44+D44))
   *(1-IFERROR(_xlfn.XLOOKUP(1,(DESC_PROV[LINEA]=$B$2)*(DESC_PROV[LISTA]=$C$2),DESC_PROV[DESCUENTO]),0))
   *(1+VLOOKUP($C$2,LISTAS[],2,FALSE))
   *(1+VLOOKUP($C$2,LISTAS[],3,FALSE))
)
/5,0)*5,0)</f>
        <v>267730</v>
      </c>
    </row>
    <row r="45" spans="1:18">
      <c r="A45" s="133" t="s">
        <v>180</v>
      </c>
      <c r="B45" s="125">
        <v>137537</v>
      </c>
      <c r="C45" s="125">
        <v>14362</v>
      </c>
      <c r="D45" s="125">
        <v>17340</v>
      </c>
      <c r="E45" s="125">
        <v>23087</v>
      </c>
      <c r="F45" s="125">
        <v>49929</v>
      </c>
      <c r="G45" s="125">
        <v>19059</v>
      </c>
      <c r="H45" s="125">
        <v>74076</v>
      </c>
      <c r="I45" s="125">
        <v>49694</v>
      </c>
      <c r="J45" s="124"/>
      <c r="K45" s="133" t="s">
        <v>180</v>
      </c>
      <c r="L45" s="125" cm="1">
        <f t="array" ref="L45">IFERROR(
ROUND(
IF($A$2="COSTO",
   ((B45*(1+IFERROR(VLOOKUP($D$2,COLORES[],2,FALSE),0)))+C45)
   *(1-IFERROR(_xlfn.XLOOKUP(1,(DESC_PROV[LINEA]=$B$2)*(DESC_PROV[LISTA]=$C$2),DESC_PROV[DESCUENTO]),0)),
   ((B45*(1+IFERROR(VLOOKUP($D$2,COLORES[],2,FALSE),0)))+C45)
   *(1-IFERROR(_xlfn.XLOOKUP(1,(DESC_PROV[LINEA]=$B$2)*(DESC_PROV[LISTA]=$C$2),DESC_PROV[DESCUENTO]),0))
   *(1+VLOOKUP($C$2,LISTAS[],2,FALSE))
   *(1+VLOOKUP($C$2,LISTAS[],3,FALSE))
)
/5,0)*5,0)</f>
        <v>194665</v>
      </c>
      <c r="M45" s="125" cm="1">
        <f t="array" ref="M45">IFERROR(
ROUND(
IF($A$2="COSTO",
   ((B45*(1+IFERROR(VLOOKUP($D$2,COLORES[],2,FALSE),0)))+D45)
   *(1-IFERROR(_xlfn.XLOOKUP(1,(DESC_PROV[LINEA]=$B$2)*(DESC_PROV[LISTA]=$C$2),DESC_PROV[DESCUENTO]),0)),
   ((B45*(1+IFERROR(VLOOKUP($D$2,COLORES[],2,FALSE),0)))+D45)
   *(1-IFERROR(_xlfn.XLOOKUP(1,(DESC_PROV[LINEA]=$B$2)*(DESC_PROV[LISTA]=$C$2),DESC_PROV[DESCUENTO]),0))
   *(1+VLOOKUP($C$2,LISTAS[],2,FALSE))
   *(1+VLOOKUP($C$2,LISTAS[],3,FALSE))
)
/5,0)*5,0)</f>
        <v>198480</v>
      </c>
      <c r="N45" s="125" cm="1">
        <f t="array" ref="N45">IFERROR(
ROUND(
IF($A$2="COSTO",
   ((B45*(1+IFERROR(VLOOKUP($D$2,COLORES[],2,FALSE),0)))+E45)
   *(1-IFERROR(_xlfn.XLOOKUP(1,(DESC_PROV[LINEA]=$B$2)*(DESC_PROV[LISTA]=$C$2),DESC_PROV[DESCUENTO]),0)),
   ((B45*(1+IFERROR(VLOOKUP($D$2,COLORES[],2,FALSE),0)))+E45)
   *(1-IFERROR(_xlfn.XLOOKUP(1,(DESC_PROV[LINEA]=$B$2)*(DESC_PROV[LISTA]=$C$2),DESC_PROV[DESCUENTO]),0))
   *(1+VLOOKUP($C$2,LISTAS[],2,FALSE))
   *(1+VLOOKUP($C$2,LISTAS[],3,FALSE))
)
/5,0)*5,0)</f>
        <v>205845</v>
      </c>
      <c r="O45" s="125" cm="1">
        <f t="array" ref="O45">IFERROR(
ROUND(
IF($A$2="COSTO",
   ((B45*(1+IFERROR(VLOOKUP($D$2,COLORES[],2,FALSE),0)))+F45)
   *(1-IFERROR(_xlfn.XLOOKUP(1,(DESC_PROV[LINEA]=$B$2)*(DESC_PROV[LISTA]=$C$2),DESC_PROV[DESCUENTO]),0)),
   ((B45*(1+IFERROR(VLOOKUP($D$2,COLORES[],2,FALSE),0)))+F45)
   *(1-IFERROR(_xlfn.XLOOKUP(1,(DESC_PROV[LINEA]=$B$2)*(DESC_PROV[LISTA]=$C$2),DESC_PROV[DESCUENTO]),0))
   *(1+VLOOKUP($C$2,LISTAS[],2,FALSE))
   *(1+VLOOKUP($C$2,LISTAS[],3,FALSE))
)
/5,0)*5,0)</f>
        <v>240245</v>
      </c>
      <c r="P45" s="125" cm="1">
        <f t="array" ref="P45">IFERROR(
ROUND(
IF($A$2="COSTO",
   ((B45*(1+IFERROR(VLOOKUP($D$2,COLORES[],2,FALSE),0)))+G45)
   *(1-IFERROR(_xlfn.XLOOKUP(1,(DESC_PROV[LINEA]=$B$2)*(DESC_PROV[LISTA]=$C$2),DESC_PROV[DESCUENTO]),0)),
   ((B45*(1+IFERROR(VLOOKUP($D$2,COLORES[],2,FALSE),0)))+G45)
   *(1-IFERROR(_xlfn.XLOOKUP(1,(DESC_PROV[LINEA]=$B$2)*(DESC_PROV[LISTA]=$C$2),DESC_PROV[DESCUENTO]),0))
   *(1+VLOOKUP($C$2,LISTAS[],2,FALSE))
   *(1+VLOOKUP($C$2,LISTAS[],3,FALSE))
)
/5,0)*5,0)</f>
        <v>200685</v>
      </c>
      <c r="Q45" s="125" cm="1">
        <f t="array" ref="Q45">IFERROR(
ROUND(
IF($A$2="COSTO",
   ((B45*(1+IFERROR(VLOOKUP($D$2,COLORES[],2,FALSE),0)))+H45)
   *(1-IFERROR(_xlfn.XLOOKUP(1,(DESC_PROV[LINEA]=$B$2)*(DESC_PROV[LISTA]=$C$2),DESC_PROV[DESCUENTO]),0)),
   ((B45*(1+IFERROR(VLOOKUP($D$2,COLORES[],2,FALSE),0)))+H45)
   *(1-IFERROR(_xlfn.XLOOKUP(1,(DESC_PROV[LINEA]=$B$2)*(DESC_PROV[LISTA]=$C$2),DESC_PROV[DESCUENTO]),0))
   *(1+VLOOKUP($C$2,LISTAS[],2,FALSE))
   *(1+VLOOKUP($C$2,LISTAS[],3,FALSE))
)
/5,0)*5,0)</f>
        <v>271190</v>
      </c>
      <c r="R45" s="126" cm="1">
        <f t="array" ref="R45">IFERROR(
ROUND(
IF($A$2="COSTO",
   ((B45*(1+IFERROR(VLOOKUP($D$2,COLORES[],2,FALSE),0)))+(D45+I45+D45))
   *(1-IFERROR(_xlfn.XLOOKUP(1,(DESC_PROV[LINEA]=$B$2)*(DESC_PROV[LISTA]=$C$2),DESC_PROV[DESCUENTO]),0)),
   ((B45*(1+IFERROR(VLOOKUP($D$2,COLORES[],2,FALSE),0)))+(D45+I45+D45))
   *(1-IFERROR(_xlfn.XLOOKUP(1,(DESC_PROV[LINEA]=$B$2)*(DESC_PROV[LISTA]=$C$2),DESC_PROV[DESCUENTO]),0))
   *(1+VLOOKUP($C$2,LISTAS[],2,FALSE))
   *(1+VLOOKUP($C$2,LISTAS[],3,FALSE))
)
/5,0)*5,0)</f>
        <v>284390</v>
      </c>
    </row>
    <row r="46" spans="1:18">
      <c r="A46" s="133" t="s">
        <v>181</v>
      </c>
      <c r="B46" s="125">
        <v>142657</v>
      </c>
      <c r="C46" s="125">
        <v>16417</v>
      </c>
      <c r="D46" s="125">
        <v>19810</v>
      </c>
      <c r="E46" s="125">
        <v>26399</v>
      </c>
      <c r="F46" s="125">
        <v>57069</v>
      </c>
      <c r="G46" s="125">
        <v>21765</v>
      </c>
      <c r="H46" s="125">
        <v>84632</v>
      </c>
      <c r="I46" s="125">
        <v>52617</v>
      </c>
      <c r="J46" s="124"/>
      <c r="K46" s="133" t="s">
        <v>181</v>
      </c>
      <c r="L46" s="125" cm="1">
        <f t="array" ref="L46">IFERROR(
ROUND(
IF($A$2="COSTO",
   ((B46*(1+IFERROR(VLOOKUP($D$2,COLORES[],2,FALSE),0)))+C46)
   *(1-IFERROR(_xlfn.XLOOKUP(1,(DESC_PROV[LINEA]=$B$2)*(DESC_PROV[LISTA]=$C$2),DESC_PROV[DESCUENTO]),0)),
   ((B46*(1+IFERROR(VLOOKUP($D$2,COLORES[],2,FALSE),0)))+C46)
   *(1-IFERROR(_xlfn.XLOOKUP(1,(DESC_PROV[LINEA]=$B$2)*(DESC_PROV[LISTA]=$C$2),DESC_PROV[DESCUENTO]),0))
   *(1+VLOOKUP($C$2,LISTAS[],2,FALSE))
   *(1+VLOOKUP($C$2,LISTAS[],3,FALSE))
)
/5,0)*5,0)</f>
        <v>203860</v>
      </c>
      <c r="M46" s="125" cm="1">
        <f t="array" ref="M46">IFERROR(
ROUND(
IF($A$2="COSTO",
   ((B46*(1+IFERROR(VLOOKUP($D$2,COLORES[],2,FALSE),0)))+D46)
   *(1-IFERROR(_xlfn.XLOOKUP(1,(DESC_PROV[LINEA]=$B$2)*(DESC_PROV[LISTA]=$C$2),DESC_PROV[DESCUENTO]),0)),
   ((B46*(1+IFERROR(VLOOKUP($D$2,COLORES[],2,FALSE),0)))+D46)
   *(1-IFERROR(_xlfn.XLOOKUP(1,(DESC_PROV[LINEA]=$B$2)*(DESC_PROV[LISTA]=$C$2),DESC_PROV[DESCUENTO]),0))
   *(1+VLOOKUP($C$2,LISTAS[],2,FALSE))
   *(1+VLOOKUP($C$2,LISTAS[],3,FALSE))
)
/5,0)*5,0)</f>
        <v>208210</v>
      </c>
      <c r="N46" s="125" cm="1">
        <f t="array" ref="N46">IFERROR(
ROUND(
IF($A$2="COSTO",
   ((B46*(1+IFERROR(VLOOKUP($D$2,COLORES[],2,FALSE),0)))+E46)
   *(1-IFERROR(_xlfn.XLOOKUP(1,(DESC_PROV[LINEA]=$B$2)*(DESC_PROV[LISTA]=$C$2),DESC_PROV[DESCUENTO]),0)),
   ((B46*(1+IFERROR(VLOOKUP($D$2,COLORES[],2,FALSE),0)))+E46)
   *(1-IFERROR(_xlfn.XLOOKUP(1,(DESC_PROV[LINEA]=$B$2)*(DESC_PROV[LISTA]=$C$2),DESC_PROV[DESCUENTO]),0))
   *(1+VLOOKUP($C$2,LISTAS[],2,FALSE))
   *(1+VLOOKUP($C$2,LISTAS[],3,FALSE))
)
/5,0)*5,0)</f>
        <v>216650</v>
      </c>
      <c r="O46" s="125" cm="1">
        <f t="array" ref="O46">IFERROR(
ROUND(
IF($A$2="COSTO",
   ((B46*(1+IFERROR(VLOOKUP($D$2,COLORES[],2,FALSE),0)))+F46)
   *(1-IFERROR(_xlfn.XLOOKUP(1,(DESC_PROV[LINEA]=$B$2)*(DESC_PROV[LISTA]=$C$2),DESC_PROV[DESCUENTO]),0)),
   ((B46*(1+IFERROR(VLOOKUP($D$2,COLORES[],2,FALSE),0)))+F46)
   *(1-IFERROR(_xlfn.XLOOKUP(1,(DESC_PROV[LINEA]=$B$2)*(DESC_PROV[LISTA]=$C$2),DESC_PROV[DESCUENTO]),0))
   *(1+VLOOKUP($C$2,LISTAS[],2,FALSE))
   *(1+VLOOKUP($C$2,LISTAS[],3,FALSE))
)
/5,0)*5,0)</f>
        <v>255955</v>
      </c>
      <c r="P46" s="125" cm="1">
        <f t="array" ref="P46">IFERROR(
ROUND(
IF($A$2="COSTO",
   ((B46*(1+IFERROR(VLOOKUP($D$2,COLORES[],2,FALSE),0)))+G46)
   *(1-IFERROR(_xlfn.XLOOKUP(1,(DESC_PROV[LINEA]=$B$2)*(DESC_PROV[LISTA]=$C$2),DESC_PROV[DESCUENTO]),0)),
   ((B46*(1+IFERROR(VLOOKUP($D$2,COLORES[],2,FALSE),0)))+G46)
   *(1-IFERROR(_xlfn.XLOOKUP(1,(DESC_PROV[LINEA]=$B$2)*(DESC_PROV[LISTA]=$C$2),DESC_PROV[DESCUENTO]),0))
   *(1+VLOOKUP($C$2,LISTAS[],2,FALSE))
   *(1+VLOOKUP($C$2,LISTAS[],3,FALSE))
)
/5,0)*5,0)</f>
        <v>210715</v>
      </c>
      <c r="Q46" s="125" cm="1">
        <f t="array" ref="Q46">IFERROR(
ROUND(
IF($A$2="COSTO",
   ((B46*(1+IFERROR(VLOOKUP($D$2,COLORES[],2,FALSE),0)))+H46)
   *(1-IFERROR(_xlfn.XLOOKUP(1,(DESC_PROV[LINEA]=$B$2)*(DESC_PROV[LISTA]=$C$2),DESC_PROV[DESCUENTO]),0)),
   ((B46*(1+IFERROR(VLOOKUP($D$2,COLORES[],2,FALSE),0)))+H46)
   *(1-IFERROR(_xlfn.XLOOKUP(1,(DESC_PROV[LINEA]=$B$2)*(DESC_PROV[LISTA]=$C$2),DESC_PROV[DESCUENTO]),0))
   *(1+VLOOKUP($C$2,LISTAS[],2,FALSE))
   *(1+VLOOKUP($C$2,LISTAS[],3,FALSE))
)
/5,0)*5,0)</f>
        <v>291280</v>
      </c>
      <c r="R46" s="126" cm="1">
        <f t="array" ref="R46">IFERROR(
ROUND(
IF($A$2="COSTO",
   ((B46*(1+IFERROR(VLOOKUP($D$2,COLORES[],2,FALSE),0)))+(D46+I46+D46))
   *(1-IFERROR(_xlfn.XLOOKUP(1,(DESC_PROV[LINEA]=$B$2)*(DESC_PROV[LISTA]=$C$2),DESC_PROV[DESCUENTO]),0)),
   ((B46*(1+IFERROR(VLOOKUP($D$2,COLORES[],2,FALSE),0)))+(D46+I46+D46))
   *(1-IFERROR(_xlfn.XLOOKUP(1,(DESC_PROV[LINEA]=$B$2)*(DESC_PROV[LISTA]=$C$2),DESC_PROV[DESCUENTO]),0))
   *(1+VLOOKUP($C$2,LISTAS[],2,FALSE))
   *(1+VLOOKUP($C$2,LISTAS[],3,FALSE))
)
/5,0)*5,0)</f>
        <v>301025</v>
      </c>
    </row>
    <row r="47" spans="1:18">
      <c r="A47" s="133" t="s">
        <v>182</v>
      </c>
      <c r="B47" s="125">
        <v>147784</v>
      </c>
      <c r="C47" s="125">
        <v>18471</v>
      </c>
      <c r="D47" s="125">
        <v>22281</v>
      </c>
      <c r="E47" s="125">
        <v>29702</v>
      </c>
      <c r="F47" s="125">
        <v>64210</v>
      </c>
      <c r="G47" s="125">
        <v>24471</v>
      </c>
      <c r="H47" s="125">
        <v>95188</v>
      </c>
      <c r="I47" s="125">
        <v>55540</v>
      </c>
      <c r="J47" s="124"/>
      <c r="K47" s="133" t="s">
        <v>182</v>
      </c>
      <c r="L47" s="125" cm="1">
        <f t="array" ref="L47">IFERROR(
ROUND(
IF($A$2="COSTO",
   ((B47*(1+IFERROR(VLOOKUP($D$2,COLORES[],2,FALSE),0)))+C47)
   *(1-IFERROR(_xlfn.XLOOKUP(1,(DESC_PROV[LINEA]=$B$2)*(DESC_PROV[LISTA]=$C$2),DESC_PROV[DESCUENTO]),0)),
   ((B47*(1+IFERROR(VLOOKUP($D$2,COLORES[],2,FALSE),0)))+C47)
   *(1-IFERROR(_xlfn.XLOOKUP(1,(DESC_PROV[LINEA]=$B$2)*(DESC_PROV[LISTA]=$C$2),DESC_PROV[DESCUENTO]),0))
   *(1+VLOOKUP($C$2,LISTAS[],2,FALSE))
   *(1+VLOOKUP($C$2,LISTAS[],3,FALSE))
)
/5,0)*5,0)</f>
        <v>213060</v>
      </c>
      <c r="M47" s="125" cm="1">
        <f t="array" ref="M47">IFERROR(
ROUND(
IF($A$2="COSTO",
   ((B47*(1+IFERROR(VLOOKUP($D$2,COLORES[],2,FALSE),0)))+D47)
   *(1-IFERROR(_xlfn.XLOOKUP(1,(DESC_PROV[LINEA]=$B$2)*(DESC_PROV[LISTA]=$C$2),DESC_PROV[DESCUENTO]),0)),
   ((B47*(1+IFERROR(VLOOKUP($D$2,COLORES[],2,FALSE),0)))+D47)
   *(1-IFERROR(_xlfn.XLOOKUP(1,(DESC_PROV[LINEA]=$B$2)*(DESC_PROV[LISTA]=$C$2),DESC_PROV[DESCUENTO]),0))
   *(1+VLOOKUP($C$2,LISTAS[],2,FALSE))
   *(1+VLOOKUP($C$2,LISTAS[],3,FALSE))
)
/5,0)*5,0)</f>
        <v>217945</v>
      </c>
      <c r="N47" s="125" cm="1">
        <f t="array" ref="N47">IFERROR(
ROUND(
IF($A$2="COSTO",
   ((B47*(1+IFERROR(VLOOKUP($D$2,COLORES[],2,FALSE),0)))+E47)
   *(1-IFERROR(_xlfn.XLOOKUP(1,(DESC_PROV[LINEA]=$B$2)*(DESC_PROV[LISTA]=$C$2),DESC_PROV[DESCUENTO]),0)),
   ((B47*(1+IFERROR(VLOOKUP($D$2,COLORES[],2,FALSE),0)))+E47)
   *(1-IFERROR(_xlfn.XLOOKUP(1,(DESC_PROV[LINEA]=$B$2)*(DESC_PROV[LISTA]=$C$2),DESC_PROV[DESCUENTO]),0))
   *(1+VLOOKUP($C$2,LISTAS[],2,FALSE))
   *(1+VLOOKUP($C$2,LISTAS[],3,FALSE))
)
/5,0)*5,0)</f>
        <v>227455</v>
      </c>
      <c r="O47" s="125" cm="1">
        <f t="array" ref="O47">IFERROR(
ROUND(
IF($A$2="COSTO",
   ((B47*(1+IFERROR(VLOOKUP($D$2,COLORES[],2,FALSE),0)))+F47)
   *(1-IFERROR(_xlfn.XLOOKUP(1,(DESC_PROV[LINEA]=$B$2)*(DESC_PROV[LISTA]=$C$2),DESC_PROV[DESCUENTO]),0)),
   ((B47*(1+IFERROR(VLOOKUP($D$2,COLORES[],2,FALSE),0)))+F47)
   *(1-IFERROR(_xlfn.XLOOKUP(1,(DESC_PROV[LINEA]=$B$2)*(DESC_PROV[LISTA]=$C$2),DESC_PROV[DESCUENTO]),0))
   *(1+VLOOKUP($C$2,LISTAS[],2,FALSE))
   *(1+VLOOKUP($C$2,LISTAS[],3,FALSE))
)
/5,0)*5,0)</f>
        <v>271680</v>
      </c>
      <c r="P47" s="125" cm="1">
        <f t="array" ref="P47">IFERROR(
ROUND(
IF($A$2="COSTO",
   ((B47*(1+IFERROR(VLOOKUP($D$2,COLORES[],2,FALSE),0)))+G47)
   *(1-IFERROR(_xlfn.XLOOKUP(1,(DESC_PROV[LINEA]=$B$2)*(DESC_PROV[LISTA]=$C$2),DESC_PROV[DESCUENTO]),0)),
   ((B47*(1+IFERROR(VLOOKUP($D$2,COLORES[],2,FALSE),0)))+G47)
   *(1-IFERROR(_xlfn.XLOOKUP(1,(DESC_PROV[LINEA]=$B$2)*(DESC_PROV[LISTA]=$C$2),DESC_PROV[DESCUENTO]),0))
   *(1+VLOOKUP($C$2,LISTAS[],2,FALSE))
   *(1+VLOOKUP($C$2,LISTAS[],3,FALSE))
)
/5,0)*5,0)</f>
        <v>220750</v>
      </c>
      <c r="Q47" s="125" cm="1">
        <f t="array" ref="Q47">IFERROR(
ROUND(
IF($A$2="COSTO",
   ((B47*(1+IFERROR(VLOOKUP($D$2,COLORES[],2,FALSE),0)))+H47)
   *(1-IFERROR(_xlfn.XLOOKUP(1,(DESC_PROV[LINEA]=$B$2)*(DESC_PROV[LISTA]=$C$2),DESC_PROV[DESCUENTO]),0)),
   ((B47*(1+IFERROR(VLOOKUP($D$2,COLORES[],2,FALSE),0)))+H47)
   *(1-IFERROR(_xlfn.XLOOKUP(1,(DESC_PROV[LINEA]=$B$2)*(DESC_PROV[LISTA]=$C$2),DESC_PROV[DESCUENTO]),0))
   *(1+VLOOKUP($C$2,LISTAS[],2,FALSE))
   *(1+VLOOKUP($C$2,LISTAS[],3,FALSE))
)
/5,0)*5,0)</f>
        <v>311380</v>
      </c>
      <c r="R47" s="126" cm="1">
        <f t="array" ref="R47">IFERROR(
ROUND(
IF($A$2="COSTO",
   ((B47*(1+IFERROR(VLOOKUP($D$2,COLORES[],2,FALSE),0)))+(D47+I47+D47))
   *(1-IFERROR(_xlfn.XLOOKUP(1,(DESC_PROV[LINEA]=$B$2)*(DESC_PROV[LISTA]=$C$2),DESC_PROV[DESCUENTO]),0)),
   ((B47*(1+IFERROR(VLOOKUP($D$2,COLORES[],2,FALSE),0)))+(D47+I47+D47))
   *(1-IFERROR(_xlfn.XLOOKUP(1,(DESC_PROV[LINEA]=$B$2)*(DESC_PROV[LISTA]=$C$2),DESC_PROV[DESCUENTO]),0))
   *(1+VLOOKUP($C$2,LISTAS[],2,FALSE))
   *(1+VLOOKUP($C$2,LISTAS[],3,FALSE))
)
/5,0)*5,0)</f>
        <v>317675</v>
      </c>
    </row>
    <row r="48" spans="1:18">
      <c r="A48" s="133" t="s">
        <v>183</v>
      </c>
      <c r="B48" s="125">
        <v>122155</v>
      </c>
      <c r="C48" s="125">
        <v>6923</v>
      </c>
      <c r="D48" s="125">
        <v>8389</v>
      </c>
      <c r="E48" s="125">
        <v>11068</v>
      </c>
      <c r="F48" s="125">
        <v>23937</v>
      </c>
      <c r="G48" s="125">
        <v>9267</v>
      </c>
      <c r="H48" s="125">
        <v>35838</v>
      </c>
      <c r="I48" s="125">
        <v>40924</v>
      </c>
      <c r="J48" s="124"/>
      <c r="K48" s="133" t="s">
        <v>183</v>
      </c>
      <c r="L48" s="125" cm="1">
        <f t="array" ref="L48">IFERROR(
ROUND(
IF($A$2="COSTO",
   ((B48*(1+IFERROR(VLOOKUP($D$2,COLORES[],2,FALSE),0)))+C48)
   *(1-IFERROR(_xlfn.XLOOKUP(1,(DESC_PROV[LINEA]=$B$2)*(DESC_PROV[LISTA]=$C$2),DESC_PROV[DESCUENTO]),0)),
   ((B48*(1+IFERROR(VLOOKUP($D$2,COLORES[],2,FALSE),0)))+C48)
   *(1-IFERROR(_xlfn.XLOOKUP(1,(DESC_PROV[LINEA]=$B$2)*(DESC_PROV[LISTA]=$C$2),DESC_PROV[DESCUENTO]),0))
   *(1+VLOOKUP($C$2,LISTAS[],2,FALSE))
   *(1+VLOOKUP($C$2,LISTAS[],3,FALSE))
)
/5,0)*5,0)</f>
        <v>165420</v>
      </c>
      <c r="M48" s="125" cm="1">
        <f t="array" ref="M48">IFERROR(
ROUND(
IF($A$2="COSTO",
   ((B48*(1+IFERROR(VLOOKUP($D$2,COLORES[],2,FALSE),0)))+D48)
   *(1-IFERROR(_xlfn.XLOOKUP(1,(DESC_PROV[LINEA]=$B$2)*(DESC_PROV[LISTA]=$C$2),DESC_PROV[DESCUENTO]),0)),
   ((B48*(1+IFERROR(VLOOKUP($D$2,COLORES[],2,FALSE),0)))+D48)
   *(1-IFERROR(_xlfn.XLOOKUP(1,(DESC_PROV[LINEA]=$B$2)*(DESC_PROV[LISTA]=$C$2),DESC_PROV[DESCUENTO]),0))
   *(1+VLOOKUP($C$2,LISTAS[],2,FALSE))
   *(1+VLOOKUP($C$2,LISTAS[],3,FALSE))
)
/5,0)*5,0)</f>
        <v>167295</v>
      </c>
      <c r="N48" s="125" cm="1">
        <f t="array" ref="N48">IFERROR(
ROUND(
IF($A$2="COSTO",
   ((B48*(1+IFERROR(VLOOKUP($D$2,COLORES[],2,FALSE),0)))+E48)
   *(1-IFERROR(_xlfn.XLOOKUP(1,(DESC_PROV[LINEA]=$B$2)*(DESC_PROV[LISTA]=$C$2),DESC_PROV[DESCUENTO]),0)),
   ((B48*(1+IFERROR(VLOOKUP($D$2,COLORES[],2,FALSE),0)))+E48)
   *(1-IFERROR(_xlfn.XLOOKUP(1,(DESC_PROV[LINEA]=$B$2)*(DESC_PROV[LISTA]=$C$2),DESC_PROV[DESCUENTO]),0))
   *(1+VLOOKUP($C$2,LISTAS[],2,FALSE))
   *(1+VLOOKUP($C$2,LISTAS[],3,FALSE))
)
/5,0)*5,0)</f>
        <v>170730</v>
      </c>
      <c r="O48" s="125" cm="1">
        <f t="array" ref="O48">IFERROR(
ROUND(
IF($A$2="COSTO",
   ((B48*(1+IFERROR(VLOOKUP($D$2,COLORES[],2,FALSE),0)))+F48)
   *(1-IFERROR(_xlfn.XLOOKUP(1,(DESC_PROV[LINEA]=$B$2)*(DESC_PROV[LISTA]=$C$2),DESC_PROV[DESCUENTO]),0)),
   ((B48*(1+IFERROR(VLOOKUP($D$2,COLORES[],2,FALSE),0)))+F48)
   *(1-IFERROR(_xlfn.XLOOKUP(1,(DESC_PROV[LINEA]=$B$2)*(DESC_PROV[LISTA]=$C$2),DESC_PROV[DESCUENTO]),0))
   *(1+VLOOKUP($C$2,LISTAS[],2,FALSE))
   *(1+VLOOKUP($C$2,LISTAS[],3,FALSE))
)
/5,0)*5,0)</f>
        <v>187225</v>
      </c>
      <c r="P48" s="125" cm="1">
        <f t="array" ref="P48">IFERROR(
ROUND(
IF($A$2="COSTO",
   ((B48*(1+IFERROR(VLOOKUP($D$2,COLORES[],2,FALSE),0)))+G48)
   *(1-IFERROR(_xlfn.XLOOKUP(1,(DESC_PROV[LINEA]=$B$2)*(DESC_PROV[LISTA]=$C$2),DESC_PROV[DESCUENTO]),0)),
   ((B48*(1+IFERROR(VLOOKUP($D$2,COLORES[],2,FALSE),0)))+G48)
   *(1-IFERROR(_xlfn.XLOOKUP(1,(DESC_PROV[LINEA]=$B$2)*(DESC_PROV[LISTA]=$C$2),DESC_PROV[DESCUENTO]),0))
   *(1+VLOOKUP($C$2,LISTAS[],2,FALSE))
   *(1+VLOOKUP($C$2,LISTAS[],3,FALSE))
)
/5,0)*5,0)</f>
        <v>168425</v>
      </c>
      <c r="Q48" s="125" cm="1">
        <f t="array" ref="Q48">IFERROR(
ROUND(
IF($A$2="COSTO",
   ((B48*(1+IFERROR(VLOOKUP($D$2,COLORES[],2,FALSE),0)))+H48)
   *(1-IFERROR(_xlfn.XLOOKUP(1,(DESC_PROV[LINEA]=$B$2)*(DESC_PROV[LISTA]=$C$2),DESC_PROV[DESCUENTO]),0)),
   ((B48*(1+IFERROR(VLOOKUP($D$2,COLORES[],2,FALSE),0)))+H48)
   *(1-IFERROR(_xlfn.XLOOKUP(1,(DESC_PROV[LINEA]=$B$2)*(DESC_PROV[LISTA]=$C$2),DESC_PROV[DESCUENTO]),0))
   *(1+VLOOKUP($C$2,LISTAS[],2,FALSE))
   *(1+VLOOKUP($C$2,LISTAS[],3,FALSE))
)
/5,0)*5,0)</f>
        <v>202475</v>
      </c>
      <c r="R48" s="126" cm="1">
        <f t="array" ref="R48">IFERROR(
ROUND(
IF($A$2="COSTO",
   ((B48*(1+IFERROR(VLOOKUP($D$2,COLORES[],2,FALSE),0)))+(D48+I48+D48))
   *(1-IFERROR(_xlfn.XLOOKUP(1,(DESC_PROV[LINEA]=$B$2)*(DESC_PROV[LISTA]=$C$2),DESC_PROV[DESCUENTO]),0)),
   ((B48*(1+IFERROR(VLOOKUP($D$2,COLORES[],2,FALSE),0)))+(D48+I48+D48))
   *(1-IFERROR(_xlfn.XLOOKUP(1,(DESC_PROV[LINEA]=$B$2)*(DESC_PROV[LISTA]=$C$2),DESC_PROV[DESCUENTO]),0))
   *(1+VLOOKUP($C$2,LISTAS[],2,FALSE))
   *(1+VLOOKUP($C$2,LISTAS[],3,FALSE))
)
/5,0)*5,0)</f>
        <v>230495</v>
      </c>
    </row>
    <row r="49" spans="1:18">
      <c r="A49" s="133" t="s">
        <v>184</v>
      </c>
      <c r="B49" s="125">
        <v>127276</v>
      </c>
      <c r="C49" s="125">
        <v>9231</v>
      </c>
      <c r="D49" s="125">
        <v>11168</v>
      </c>
      <c r="E49" s="125">
        <v>14797</v>
      </c>
      <c r="F49" s="125">
        <v>31865</v>
      </c>
      <c r="G49" s="125">
        <v>12308</v>
      </c>
      <c r="H49" s="125">
        <v>47708</v>
      </c>
      <c r="I49" s="125">
        <v>43847</v>
      </c>
      <c r="J49" s="124"/>
      <c r="K49" s="133" t="s">
        <v>184</v>
      </c>
      <c r="L49" s="125" cm="1">
        <f t="array" ref="L49">IFERROR(
ROUND(
IF($A$2="COSTO",
   ((B49*(1+IFERROR(VLOOKUP($D$2,COLORES[],2,FALSE),0)))+C49)
   *(1-IFERROR(_xlfn.XLOOKUP(1,(DESC_PROV[LINEA]=$B$2)*(DESC_PROV[LISTA]=$C$2),DESC_PROV[DESCUENTO]),0)),
   ((B49*(1+IFERROR(VLOOKUP($D$2,COLORES[],2,FALSE),0)))+C49)
   *(1-IFERROR(_xlfn.XLOOKUP(1,(DESC_PROV[LINEA]=$B$2)*(DESC_PROV[LISTA]=$C$2),DESC_PROV[DESCUENTO]),0))
   *(1+VLOOKUP($C$2,LISTAS[],2,FALSE))
   *(1+VLOOKUP($C$2,LISTAS[],3,FALSE))
)
/5,0)*5,0)</f>
        <v>174940</v>
      </c>
      <c r="M49" s="125" cm="1">
        <f t="array" ref="M49">IFERROR(
ROUND(
IF($A$2="COSTO",
   ((B49*(1+IFERROR(VLOOKUP($D$2,COLORES[],2,FALSE),0)))+D49)
   *(1-IFERROR(_xlfn.XLOOKUP(1,(DESC_PROV[LINEA]=$B$2)*(DESC_PROV[LISTA]=$C$2),DESC_PROV[DESCUENTO]),0)),
   ((B49*(1+IFERROR(VLOOKUP($D$2,COLORES[],2,FALSE),0)))+D49)
   *(1-IFERROR(_xlfn.XLOOKUP(1,(DESC_PROV[LINEA]=$B$2)*(DESC_PROV[LISTA]=$C$2),DESC_PROV[DESCUENTO]),0))
   *(1+VLOOKUP($C$2,LISTAS[],2,FALSE))
   *(1+VLOOKUP($C$2,LISTAS[],3,FALSE))
)
/5,0)*5,0)</f>
        <v>177420</v>
      </c>
      <c r="N49" s="125" cm="1">
        <f t="array" ref="N49">IFERROR(
ROUND(
IF($A$2="COSTO",
   ((B49*(1+IFERROR(VLOOKUP($D$2,COLORES[],2,FALSE),0)))+E49)
   *(1-IFERROR(_xlfn.XLOOKUP(1,(DESC_PROV[LINEA]=$B$2)*(DESC_PROV[LISTA]=$C$2),DESC_PROV[DESCUENTO]),0)),
   ((B49*(1+IFERROR(VLOOKUP($D$2,COLORES[],2,FALSE),0)))+E49)
   *(1-IFERROR(_xlfn.XLOOKUP(1,(DESC_PROV[LINEA]=$B$2)*(DESC_PROV[LISTA]=$C$2),DESC_PROV[DESCUENTO]),0))
   *(1+VLOOKUP($C$2,LISTAS[],2,FALSE))
   *(1+VLOOKUP($C$2,LISTAS[],3,FALSE))
)
/5,0)*5,0)</f>
        <v>182070</v>
      </c>
      <c r="O49" s="125" cm="1">
        <f t="array" ref="O49">IFERROR(
ROUND(
IF($A$2="COSTO",
   ((B49*(1+IFERROR(VLOOKUP($D$2,COLORES[],2,FALSE),0)))+F49)
   *(1-IFERROR(_xlfn.XLOOKUP(1,(DESC_PROV[LINEA]=$B$2)*(DESC_PROV[LISTA]=$C$2),DESC_PROV[DESCUENTO]),0)),
   ((B49*(1+IFERROR(VLOOKUP($D$2,COLORES[],2,FALSE),0)))+F49)
   *(1-IFERROR(_xlfn.XLOOKUP(1,(DESC_PROV[LINEA]=$B$2)*(DESC_PROV[LISTA]=$C$2),DESC_PROV[DESCUENTO]),0))
   *(1+VLOOKUP($C$2,LISTAS[],2,FALSE))
   *(1+VLOOKUP($C$2,LISTAS[],3,FALSE))
)
/5,0)*5,0)</f>
        <v>203945</v>
      </c>
      <c r="P49" s="125" cm="1">
        <f t="array" ref="P49">IFERROR(
ROUND(
IF($A$2="COSTO",
   ((B49*(1+IFERROR(VLOOKUP($D$2,COLORES[],2,FALSE),0)))+G49)
   *(1-IFERROR(_xlfn.XLOOKUP(1,(DESC_PROV[LINEA]=$B$2)*(DESC_PROV[LISTA]=$C$2),DESC_PROV[DESCUENTO]),0)),
   ((B49*(1+IFERROR(VLOOKUP($D$2,COLORES[],2,FALSE),0)))+G49)
   *(1-IFERROR(_xlfn.XLOOKUP(1,(DESC_PROV[LINEA]=$B$2)*(DESC_PROV[LISTA]=$C$2),DESC_PROV[DESCUENTO]),0))
   *(1+VLOOKUP($C$2,LISTAS[],2,FALSE))
   *(1+VLOOKUP($C$2,LISTAS[],3,FALSE))
)
/5,0)*5,0)</f>
        <v>178880</v>
      </c>
      <c r="Q49" s="125" cm="1">
        <f t="array" ref="Q49">IFERROR(
ROUND(
IF($A$2="COSTO",
   ((B49*(1+IFERROR(VLOOKUP($D$2,COLORES[],2,FALSE),0)))+H49)
   *(1-IFERROR(_xlfn.XLOOKUP(1,(DESC_PROV[LINEA]=$B$2)*(DESC_PROV[LISTA]=$C$2),DESC_PROV[DESCUENTO]),0)),
   ((B49*(1+IFERROR(VLOOKUP($D$2,COLORES[],2,FALSE),0)))+H49)
   *(1-IFERROR(_xlfn.XLOOKUP(1,(DESC_PROV[LINEA]=$B$2)*(DESC_PROV[LISTA]=$C$2),DESC_PROV[DESCUENTO]),0))
   *(1+VLOOKUP($C$2,LISTAS[],2,FALSE))
   *(1+VLOOKUP($C$2,LISTAS[],3,FALSE))
)
/5,0)*5,0)</f>
        <v>224250</v>
      </c>
      <c r="R49" s="126" cm="1">
        <f t="array" ref="R49">IFERROR(
ROUND(
IF($A$2="COSTO",
   ((B49*(1+IFERROR(VLOOKUP($D$2,COLORES[],2,FALSE),0)))+(D49+I49+D49))
   *(1-IFERROR(_xlfn.XLOOKUP(1,(DESC_PROV[LINEA]=$B$2)*(DESC_PROV[LISTA]=$C$2),DESC_PROV[DESCUENTO]),0)),
   ((B49*(1+IFERROR(VLOOKUP($D$2,COLORES[],2,FALSE),0)))+(D49+I49+D49))
   *(1-IFERROR(_xlfn.XLOOKUP(1,(DESC_PROV[LINEA]=$B$2)*(DESC_PROV[LISTA]=$C$2),DESC_PROV[DESCUENTO]),0))
   *(1+VLOOKUP($C$2,LISTAS[],2,FALSE))
   *(1+VLOOKUP($C$2,LISTAS[],3,FALSE))
)
/5,0)*5,0)</f>
        <v>247925</v>
      </c>
    </row>
    <row r="50" spans="1:18">
      <c r="A50" s="133" t="s">
        <v>185</v>
      </c>
      <c r="B50" s="125">
        <v>132403</v>
      </c>
      <c r="C50" s="125">
        <v>11548</v>
      </c>
      <c r="D50" s="125">
        <v>13946</v>
      </c>
      <c r="E50" s="125">
        <v>18525</v>
      </c>
      <c r="F50" s="125">
        <v>40155</v>
      </c>
      <c r="G50" s="125">
        <v>15349</v>
      </c>
      <c r="H50" s="125">
        <v>59578</v>
      </c>
      <c r="I50" s="125">
        <v>46770</v>
      </c>
      <c r="J50" s="124"/>
      <c r="K50" s="133" t="s">
        <v>185</v>
      </c>
      <c r="L50" s="125" cm="1">
        <f t="array" ref="L50">IFERROR(
ROUND(
IF($A$2="COSTO",
   ((B50*(1+IFERROR(VLOOKUP($D$2,COLORES[],2,FALSE),0)))+C50)
   *(1-IFERROR(_xlfn.XLOOKUP(1,(DESC_PROV[LINEA]=$B$2)*(DESC_PROV[LISTA]=$C$2),DESC_PROV[DESCUENTO]),0)),
   ((B50*(1+IFERROR(VLOOKUP($D$2,COLORES[],2,FALSE),0)))+C50)
   *(1-IFERROR(_xlfn.XLOOKUP(1,(DESC_PROV[LINEA]=$B$2)*(DESC_PROV[LISTA]=$C$2),DESC_PROV[DESCUENTO]),0))
   *(1+VLOOKUP($C$2,LISTAS[],2,FALSE))
   *(1+VLOOKUP($C$2,LISTAS[],3,FALSE))
)
/5,0)*5,0)</f>
        <v>184480</v>
      </c>
      <c r="M50" s="125" cm="1">
        <f t="array" ref="M50">IFERROR(
ROUND(
IF($A$2="COSTO",
   ((B50*(1+IFERROR(VLOOKUP($D$2,COLORES[],2,FALSE),0)))+D50)
   *(1-IFERROR(_xlfn.XLOOKUP(1,(DESC_PROV[LINEA]=$B$2)*(DESC_PROV[LISTA]=$C$2),DESC_PROV[DESCUENTO]),0)),
   ((B50*(1+IFERROR(VLOOKUP($D$2,COLORES[],2,FALSE),0)))+D50)
   *(1-IFERROR(_xlfn.XLOOKUP(1,(DESC_PROV[LINEA]=$B$2)*(DESC_PROV[LISTA]=$C$2),DESC_PROV[DESCUENTO]),0))
   *(1+VLOOKUP($C$2,LISTAS[],2,FALSE))
   *(1+VLOOKUP($C$2,LISTAS[],3,FALSE))
)
/5,0)*5,0)</f>
        <v>187550</v>
      </c>
      <c r="N50" s="125" cm="1">
        <f t="array" ref="N50">IFERROR(
ROUND(
IF($A$2="COSTO",
   ((B50*(1+IFERROR(VLOOKUP($D$2,COLORES[],2,FALSE),0)))+E50)
   *(1-IFERROR(_xlfn.XLOOKUP(1,(DESC_PROV[LINEA]=$B$2)*(DESC_PROV[LISTA]=$C$2),DESC_PROV[DESCUENTO]),0)),
   ((B50*(1+IFERROR(VLOOKUP($D$2,COLORES[],2,FALSE),0)))+E50)
   *(1-IFERROR(_xlfn.XLOOKUP(1,(DESC_PROV[LINEA]=$B$2)*(DESC_PROV[LISTA]=$C$2),DESC_PROV[DESCUENTO]),0))
   *(1+VLOOKUP($C$2,LISTAS[],2,FALSE))
   *(1+VLOOKUP($C$2,LISTAS[],3,FALSE))
)
/5,0)*5,0)</f>
        <v>193420</v>
      </c>
      <c r="O50" s="125" cm="1">
        <f t="array" ref="O50">IFERROR(
ROUND(
IF($A$2="COSTO",
   ((B50*(1+IFERROR(VLOOKUP($D$2,COLORES[],2,FALSE),0)))+F50)
   *(1-IFERROR(_xlfn.XLOOKUP(1,(DESC_PROV[LINEA]=$B$2)*(DESC_PROV[LISTA]=$C$2),DESC_PROV[DESCUENTO]),0)),
   ((B50*(1+IFERROR(VLOOKUP($D$2,COLORES[],2,FALSE),0)))+F50)
   *(1-IFERROR(_xlfn.XLOOKUP(1,(DESC_PROV[LINEA]=$B$2)*(DESC_PROV[LISTA]=$C$2),DESC_PROV[DESCUENTO]),0))
   *(1+VLOOKUP($C$2,LISTAS[],2,FALSE))
   *(1+VLOOKUP($C$2,LISTAS[],3,FALSE))
)
/5,0)*5,0)</f>
        <v>221140</v>
      </c>
      <c r="P50" s="125" cm="1">
        <f t="array" ref="P50">IFERROR(
ROUND(
IF($A$2="COSTO",
   ((B50*(1+IFERROR(VLOOKUP($D$2,COLORES[],2,FALSE),0)))+G50)
   *(1-IFERROR(_xlfn.XLOOKUP(1,(DESC_PROV[LINEA]=$B$2)*(DESC_PROV[LISTA]=$C$2),DESC_PROV[DESCUENTO]),0)),
   ((B50*(1+IFERROR(VLOOKUP($D$2,COLORES[],2,FALSE),0)))+G50)
   *(1-IFERROR(_xlfn.XLOOKUP(1,(DESC_PROV[LINEA]=$B$2)*(DESC_PROV[LISTA]=$C$2),DESC_PROV[DESCUENTO]),0))
   *(1+VLOOKUP($C$2,LISTAS[],2,FALSE))
   *(1+VLOOKUP($C$2,LISTAS[],3,FALSE))
)
/5,0)*5,0)</f>
        <v>189350</v>
      </c>
      <c r="Q50" s="125" cm="1">
        <f t="array" ref="Q50">IFERROR(
ROUND(
IF($A$2="COSTO",
   ((B50*(1+IFERROR(VLOOKUP($D$2,COLORES[],2,FALSE),0)))+H50)
   *(1-IFERROR(_xlfn.XLOOKUP(1,(DESC_PROV[LINEA]=$B$2)*(DESC_PROV[LISTA]=$C$2),DESC_PROV[DESCUENTO]),0)),
   ((B50*(1+IFERROR(VLOOKUP($D$2,COLORES[],2,FALSE),0)))+H50)
   *(1-IFERROR(_xlfn.XLOOKUP(1,(DESC_PROV[LINEA]=$B$2)*(DESC_PROV[LISTA]=$C$2),DESC_PROV[DESCUENTO]),0))
   *(1+VLOOKUP($C$2,LISTAS[],2,FALSE))
   *(1+VLOOKUP($C$2,LISTAS[],3,FALSE))
)
/5,0)*5,0)</f>
        <v>246030</v>
      </c>
      <c r="R50" s="126" cm="1">
        <f t="array" ref="R50">IFERROR(
ROUND(
IF($A$2="COSTO",
   ((B50*(1+IFERROR(VLOOKUP($D$2,COLORES[],2,FALSE),0)))+(D50+I50+D50))
   *(1-IFERROR(_xlfn.XLOOKUP(1,(DESC_PROV[LINEA]=$B$2)*(DESC_PROV[LISTA]=$C$2),DESC_PROV[DESCUENTO]),0)),
   ((B50*(1+IFERROR(VLOOKUP($D$2,COLORES[],2,FALSE),0)))+(D50+I50+D50))
   *(1-IFERROR(_xlfn.XLOOKUP(1,(DESC_PROV[LINEA]=$B$2)*(DESC_PROV[LISTA]=$C$2),DESC_PROV[DESCUENTO]),0))
   *(1+VLOOKUP($C$2,LISTAS[],2,FALSE))
   *(1+VLOOKUP($C$2,LISTAS[],3,FALSE))
)
/5,0)*5,0)</f>
        <v>265360</v>
      </c>
    </row>
    <row r="51" spans="1:18">
      <c r="A51" s="133" t="s">
        <v>186</v>
      </c>
      <c r="B51" s="125">
        <v>137537</v>
      </c>
      <c r="C51" s="125">
        <v>13856</v>
      </c>
      <c r="D51" s="125">
        <v>16724</v>
      </c>
      <c r="E51" s="125">
        <v>22254</v>
      </c>
      <c r="F51" s="125">
        <v>48173</v>
      </c>
      <c r="G51" s="125">
        <v>18390</v>
      </c>
      <c r="H51" s="125">
        <v>71448</v>
      </c>
      <c r="I51" s="125">
        <v>49694</v>
      </c>
      <c r="J51" s="124"/>
      <c r="K51" s="133" t="s">
        <v>186</v>
      </c>
      <c r="L51" s="125" cm="1">
        <f t="array" ref="L51">IFERROR(
ROUND(
IF($A$2="COSTO",
   ((B51*(1+IFERROR(VLOOKUP($D$2,COLORES[],2,FALSE),0)))+C51)
   *(1-IFERROR(_xlfn.XLOOKUP(1,(DESC_PROV[LINEA]=$B$2)*(DESC_PROV[LISTA]=$C$2),DESC_PROV[DESCUENTO]),0)),
   ((B51*(1+IFERROR(VLOOKUP($D$2,COLORES[],2,FALSE),0)))+C51)
   *(1-IFERROR(_xlfn.XLOOKUP(1,(DESC_PROV[LINEA]=$B$2)*(DESC_PROV[LISTA]=$C$2),DESC_PROV[DESCUENTO]),0))
   *(1+VLOOKUP($C$2,LISTAS[],2,FALSE))
   *(1+VLOOKUP($C$2,LISTAS[],3,FALSE))
)
/5,0)*5,0)</f>
        <v>194015</v>
      </c>
      <c r="M51" s="125" cm="1">
        <f t="array" ref="M51">IFERROR(
ROUND(
IF($A$2="COSTO",
   ((B51*(1+IFERROR(VLOOKUP($D$2,COLORES[],2,FALSE),0)))+D51)
   *(1-IFERROR(_xlfn.XLOOKUP(1,(DESC_PROV[LINEA]=$B$2)*(DESC_PROV[LISTA]=$C$2),DESC_PROV[DESCUENTO]),0)),
   ((B51*(1+IFERROR(VLOOKUP($D$2,COLORES[],2,FALSE),0)))+D51)
   *(1-IFERROR(_xlfn.XLOOKUP(1,(DESC_PROV[LINEA]=$B$2)*(DESC_PROV[LISTA]=$C$2),DESC_PROV[DESCUENTO]),0))
   *(1+VLOOKUP($C$2,LISTAS[],2,FALSE))
   *(1+VLOOKUP($C$2,LISTAS[],3,FALSE))
)
/5,0)*5,0)</f>
        <v>197690</v>
      </c>
      <c r="N51" s="125" cm="1">
        <f t="array" ref="N51">IFERROR(
ROUND(
IF($A$2="COSTO",
   ((B51*(1+IFERROR(VLOOKUP($D$2,COLORES[],2,FALSE),0)))+E51)
   *(1-IFERROR(_xlfn.XLOOKUP(1,(DESC_PROV[LINEA]=$B$2)*(DESC_PROV[LISTA]=$C$2),DESC_PROV[DESCUENTO]),0)),
   ((B51*(1+IFERROR(VLOOKUP($D$2,COLORES[],2,FALSE),0)))+E51)
   *(1-IFERROR(_xlfn.XLOOKUP(1,(DESC_PROV[LINEA]=$B$2)*(DESC_PROV[LISTA]=$C$2),DESC_PROV[DESCUENTO]),0))
   *(1+VLOOKUP($C$2,LISTAS[],2,FALSE))
   *(1+VLOOKUP($C$2,LISTAS[],3,FALSE))
)
/5,0)*5,0)</f>
        <v>204780</v>
      </c>
      <c r="O51" s="125" cm="1">
        <f t="array" ref="O51">IFERROR(
ROUND(
IF($A$2="COSTO",
   ((B51*(1+IFERROR(VLOOKUP($D$2,COLORES[],2,FALSE),0)))+F51)
   *(1-IFERROR(_xlfn.XLOOKUP(1,(DESC_PROV[LINEA]=$B$2)*(DESC_PROV[LISTA]=$C$2),DESC_PROV[DESCUENTO]),0)),
   ((B51*(1+IFERROR(VLOOKUP($D$2,COLORES[],2,FALSE),0)))+F51)
   *(1-IFERROR(_xlfn.XLOOKUP(1,(DESC_PROV[LINEA]=$B$2)*(DESC_PROV[LISTA]=$C$2),DESC_PROV[DESCUENTO]),0))
   *(1+VLOOKUP($C$2,LISTAS[],2,FALSE))
   *(1+VLOOKUP($C$2,LISTAS[],3,FALSE))
)
/5,0)*5,0)</f>
        <v>237995</v>
      </c>
      <c r="P51" s="125" cm="1">
        <f t="array" ref="P51">IFERROR(
ROUND(
IF($A$2="COSTO",
   ((B51*(1+IFERROR(VLOOKUP($D$2,COLORES[],2,FALSE),0)))+G51)
   *(1-IFERROR(_xlfn.XLOOKUP(1,(DESC_PROV[LINEA]=$B$2)*(DESC_PROV[LISTA]=$C$2),DESC_PROV[DESCUENTO]),0)),
   ((B51*(1+IFERROR(VLOOKUP($D$2,COLORES[],2,FALSE),0)))+G51)
   *(1-IFERROR(_xlfn.XLOOKUP(1,(DESC_PROV[LINEA]=$B$2)*(DESC_PROV[LISTA]=$C$2),DESC_PROV[DESCUENTO]),0))
   *(1+VLOOKUP($C$2,LISTAS[],2,FALSE))
   *(1+VLOOKUP($C$2,LISTAS[],3,FALSE))
)
/5,0)*5,0)</f>
        <v>199825</v>
      </c>
      <c r="Q51" s="125" cm="1">
        <f t="array" ref="Q51">IFERROR(
ROUND(
IF($A$2="COSTO",
   ((B51*(1+IFERROR(VLOOKUP($D$2,COLORES[],2,FALSE),0)))+H51)
   *(1-IFERROR(_xlfn.XLOOKUP(1,(DESC_PROV[LINEA]=$B$2)*(DESC_PROV[LISTA]=$C$2),DESC_PROV[DESCUENTO]),0)),
   ((B51*(1+IFERROR(VLOOKUP($D$2,COLORES[],2,FALSE),0)))+H51)
   *(1-IFERROR(_xlfn.XLOOKUP(1,(DESC_PROV[LINEA]=$B$2)*(DESC_PROV[LISTA]=$C$2),DESC_PROV[DESCUENTO]),0))
   *(1+VLOOKUP($C$2,LISTAS[],2,FALSE))
   *(1+VLOOKUP($C$2,LISTAS[],3,FALSE))
)
/5,0)*5,0)</f>
        <v>267825</v>
      </c>
      <c r="R51" s="126" cm="1">
        <f t="array" ref="R51">IFERROR(
ROUND(
IF($A$2="COSTO",
   ((B51*(1+IFERROR(VLOOKUP($D$2,COLORES[],2,FALSE),0)))+(D51+I51+D51))
   *(1-IFERROR(_xlfn.XLOOKUP(1,(DESC_PROV[LINEA]=$B$2)*(DESC_PROV[LISTA]=$C$2),DESC_PROV[DESCUENTO]),0)),
   ((B51*(1+IFERROR(VLOOKUP($D$2,COLORES[],2,FALSE),0)))+(D51+I51+D51))
   *(1-IFERROR(_xlfn.XLOOKUP(1,(DESC_PROV[LINEA]=$B$2)*(DESC_PROV[LISTA]=$C$2),DESC_PROV[DESCUENTO]),0))
   *(1+VLOOKUP($C$2,LISTAS[],2,FALSE))
   *(1+VLOOKUP($C$2,LISTAS[],3,FALSE))
)
/5,0)*5,0)</f>
        <v>282810</v>
      </c>
    </row>
    <row r="52" spans="1:18">
      <c r="A52" s="133" t="s">
        <v>187</v>
      </c>
      <c r="B52" s="125">
        <v>142657</v>
      </c>
      <c r="C52" s="125">
        <v>16154</v>
      </c>
      <c r="D52" s="125">
        <v>19503</v>
      </c>
      <c r="E52" s="125">
        <v>25983</v>
      </c>
      <c r="F52" s="125">
        <v>56191</v>
      </c>
      <c r="G52" s="125">
        <v>21430</v>
      </c>
      <c r="H52" s="125">
        <v>83318</v>
      </c>
      <c r="I52" s="125">
        <v>52617</v>
      </c>
      <c r="J52" s="124"/>
      <c r="K52" s="133" t="s">
        <v>187</v>
      </c>
      <c r="L52" s="125" cm="1">
        <f t="array" ref="L52">IFERROR(
ROUND(
IF($A$2="COSTO",
   ((B52*(1+IFERROR(VLOOKUP($D$2,COLORES[],2,FALSE),0)))+C52)
   *(1-IFERROR(_xlfn.XLOOKUP(1,(DESC_PROV[LINEA]=$B$2)*(DESC_PROV[LISTA]=$C$2),DESC_PROV[DESCUENTO]),0)),
   ((B52*(1+IFERROR(VLOOKUP($D$2,COLORES[],2,FALSE),0)))+C52)
   *(1-IFERROR(_xlfn.XLOOKUP(1,(DESC_PROV[LINEA]=$B$2)*(DESC_PROV[LISTA]=$C$2),DESC_PROV[DESCUENTO]),0))
   *(1+VLOOKUP($C$2,LISTAS[],2,FALSE))
   *(1+VLOOKUP($C$2,LISTAS[],3,FALSE))
)
/5,0)*5,0)</f>
        <v>203525</v>
      </c>
      <c r="M52" s="125" cm="1">
        <f t="array" ref="M52">IFERROR(
ROUND(
IF($A$2="COSTO",
   ((B52*(1+IFERROR(VLOOKUP($D$2,COLORES[],2,FALSE),0)))+D52)
   *(1-IFERROR(_xlfn.XLOOKUP(1,(DESC_PROV[LINEA]=$B$2)*(DESC_PROV[LISTA]=$C$2),DESC_PROV[DESCUENTO]),0)),
   ((B52*(1+IFERROR(VLOOKUP($D$2,COLORES[],2,FALSE),0)))+D52)
   *(1-IFERROR(_xlfn.XLOOKUP(1,(DESC_PROV[LINEA]=$B$2)*(DESC_PROV[LISTA]=$C$2),DESC_PROV[DESCUENTO]),0))
   *(1+VLOOKUP($C$2,LISTAS[],2,FALSE))
   *(1+VLOOKUP($C$2,LISTAS[],3,FALSE))
)
/5,0)*5,0)</f>
        <v>207815</v>
      </c>
      <c r="N52" s="125" cm="1">
        <f t="array" ref="N52">IFERROR(
ROUND(
IF($A$2="COSTO",
   ((B52*(1+IFERROR(VLOOKUP($D$2,COLORES[],2,FALSE),0)))+E52)
   *(1-IFERROR(_xlfn.XLOOKUP(1,(DESC_PROV[LINEA]=$B$2)*(DESC_PROV[LISTA]=$C$2),DESC_PROV[DESCUENTO]),0)),
   ((B52*(1+IFERROR(VLOOKUP($D$2,COLORES[],2,FALSE),0)))+E52)
   *(1-IFERROR(_xlfn.XLOOKUP(1,(DESC_PROV[LINEA]=$B$2)*(DESC_PROV[LISTA]=$C$2),DESC_PROV[DESCUENTO]),0))
   *(1+VLOOKUP($C$2,LISTAS[],2,FALSE))
   *(1+VLOOKUP($C$2,LISTAS[],3,FALSE))
)
/5,0)*5,0)</f>
        <v>216120</v>
      </c>
      <c r="O52" s="125" cm="1">
        <f t="array" ref="O52">IFERROR(
ROUND(
IF($A$2="COSTO",
   ((B52*(1+IFERROR(VLOOKUP($D$2,COLORES[],2,FALSE),0)))+F52)
   *(1-IFERROR(_xlfn.XLOOKUP(1,(DESC_PROV[LINEA]=$B$2)*(DESC_PROV[LISTA]=$C$2),DESC_PROV[DESCUENTO]),0)),
   ((B52*(1+IFERROR(VLOOKUP($D$2,COLORES[],2,FALSE),0)))+F52)
   *(1-IFERROR(_xlfn.XLOOKUP(1,(DESC_PROV[LINEA]=$B$2)*(DESC_PROV[LISTA]=$C$2),DESC_PROV[DESCUENTO]),0))
   *(1+VLOOKUP($C$2,LISTAS[],2,FALSE))
   *(1+VLOOKUP($C$2,LISTAS[],3,FALSE))
)
/5,0)*5,0)</f>
        <v>254830</v>
      </c>
      <c r="P52" s="125" cm="1">
        <f t="array" ref="P52">IFERROR(
ROUND(
IF($A$2="COSTO",
   ((B52*(1+IFERROR(VLOOKUP($D$2,COLORES[],2,FALSE),0)))+G52)
   *(1-IFERROR(_xlfn.XLOOKUP(1,(DESC_PROV[LINEA]=$B$2)*(DESC_PROV[LISTA]=$C$2),DESC_PROV[DESCUENTO]),0)),
   ((B52*(1+IFERROR(VLOOKUP($D$2,COLORES[],2,FALSE),0)))+G52)
   *(1-IFERROR(_xlfn.XLOOKUP(1,(DESC_PROV[LINEA]=$B$2)*(DESC_PROV[LISTA]=$C$2),DESC_PROV[DESCUENTO]),0))
   *(1+VLOOKUP($C$2,LISTAS[],2,FALSE))
   *(1+VLOOKUP($C$2,LISTAS[],3,FALSE))
)
/5,0)*5,0)</f>
        <v>210285</v>
      </c>
      <c r="Q52" s="125" cm="1">
        <f t="array" ref="Q52">IFERROR(
ROUND(
IF($A$2="COSTO",
   ((B52*(1+IFERROR(VLOOKUP($D$2,COLORES[],2,FALSE),0)))+H52)
   *(1-IFERROR(_xlfn.XLOOKUP(1,(DESC_PROV[LINEA]=$B$2)*(DESC_PROV[LISTA]=$C$2),DESC_PROV[DESCUENTO]),0)),
   ((B52*(1+IFERROR(VLOOKUP($D$2,COLORES[],2,FALSE),0)))+H52)
   *(1-IFERROR(_xlfn.XLOOKUP(1,(DESC_PROV[LINEA]=$B$2)*(DESC_PROV[LISTA]=$C$2),DESC_PROV[DESCUENTO]),0))
   *(1+VLOOKUP($C$2,LISTAS[],2,FALSE))
   *(1+VLOOKUP($C$2,LISTAS[],3,FALSE))
)
/5,0)*5,0)</f>
        <v>289595</v>
      </c>
      <c r="R52" s="126" cm="1">
        <f t="array" ref="R52">IFERROR(
ROUND(
IF($A$2="COSTO",
   ((B52*(1+IFERROR(VLOOKUP($D$2,COLORES[],2,FALSE),0)))+(D52+I52+D52))
   *(1-IFERROR(_xlfn.XLOOKUP(1,(DESC_PROV[LINEA]=$B$2)*(DESC_PROV[LISTA]=$C$2),DESC_PROV[DESCUENTO]),0)),
   ((B52*(1+IFERROR(VLOOKUP($D$2,COLORES[],2,FALSE),0)))+(D52+I52+D52))
   *(1-IFERROR(_xlfn.XLOOKUP(1,(DESC_PROV[LINEA]=$B$2)*(DESC_PROV[LISTA]=$C$2),DESC_PROV[DESCUENTO]),0))
   *(1+VLOOKUP($C$2,LISTAS[],2,FALSE))
   *(1+VLOOKUP($C$2,LISTAS[],3,FALSE))
)
/5,0)*5,0)</f>
        <v>300240</v>
      </c>
    </row>
    <row r="53" spans="1:18">
      <c r="A53" s="133" t="s">
        <v>188</v>
      </c>
      <c r="B53" s="125">
        <v>147784</v>
      </c>
      <c r="C53" s="125">
        <v>18471</v>
      </c>
      <c r="D53" s="125">
        <v>22281</v>
      </c>
      <c r="E53" s="125">
        <v>29702</v>
      </c>
      <c r="F53" s="125">
        <v>64210</v>
      </c>
      <c r="G53" s="125">
        <v>24471</v>
      </c>
      <c r="H53" s="125">
        <v>95188</v>
      </c>
      <c r="I53" s="125">
        <v>55540</v>
      </c>
      <c r="J53" s="124"/>
      <c r="K53" s="133" t="s">
        <v>188</v>
      </c>
      <c r="L53" s="125" cm="1">
        <f t="array" ref="L53">IFERROR(
ROUND(
IF($A$2="COSTO",
   ((B53*(1+IFERROR(VLOOKUP($D$2,COLORES[],2,FALSE),0)))+C53)
   *(1-IFERROR(_xlfn.XLOOKUP(1,(DESC_PROV[LINEA]=$B$2)*(DESC_PROV[LISTA]=$C$2),DESC_PROV[DESCUENTO]),0)),
   ((B53*(1+IFERROR(VLOOKUP($D$2,COLORES[],2,FALSE),0)))+C53)
   *(1-IFERROR(_xlfn.XLOOKUP(1,(DESC_PROV[LINEA]=$B$2)*(DESC_PROV[LISTA]=$C$2),DESC_PROV[DESCUENTO]),0))
   *(1+VLOOKUP($C$2,LISTAS[],2,FALSE))
   *(1+VLOOKUP($C$2,LISTAS[],3,FALSE))
)
/5,0)*5,0)</f>
        <v>213060</v>
      </c>
      <c r="M53" s="125" cm="1">
        <f t="array" ref="M53">IFERROR(
ROUND(
IF($A$2="COSTO",
   ((B53*(1+IFERROR(VLOOKUP($D$2,COLORES[],2,FALSE),0)))+D53)
   *(1-IFERROR(_xlfn.XLOOKUP(1,(DESC_PROV[LINEA]=$B$2)*(DESC_PROV[LISTA]=$C$2),DESC_PROV[DESCUENTO]),0)),
   ((B53*(1+IFERROR(VLOOKUP($D$2,COLORES[],2,FALSE),0)))+D53)
   *(1-IFERROR(_xlfn.XLOOKUP(1,(DESC_PROV[LINEA]=$B$2)*(DESC_PROV[LISTA]=$C$2),DESC_PROV[DESCUENTO]),0))
   *(1+VLOOKUP($C$2,LISTAS[],2,FALSE))
   *(1+VLOOKUP($C$2,LISTAS[],3,FALSE))
)
/5,0)*5,0)</f>
        <v>217945</v>
      </c>
      <c r="N53" s="125" cm="1">
        <f t="array" ref="N53">IFERROR(
ROUND(
IF($A$2="COSTO",
   ((B53*(1+IFERROR(VLOOKUP($D$2,COLORES[],2,FALSE),0)))+E53)
   *(1-IFERROR(_xlfn.XLOOKUP(1,(DESC_PROV[LINEA]=$B$2)*(DESC_PROV[LISTA]=$C$2),DESC_PROV[DESCUENTO]),0)),
   ((B53*(1+IFERROR(VLOOKUP($D$2,COLORES[],2,FALSE),0)))+E53)
   *(1-IFERROR(_xlfn.XLOOKUP(1,(DESC_PROV[LINEA]=$B$2)*(DESC_PROV[LISTA]=$C$2),DESC_PROV[DESCUENTO]),0))
   *(1+VLOOKUP($C$2,LISTAS[],2,FALSE))
   *(1+VLOOKUP($C$2,LISTAS[],3,FALSE))
)
/5,0)*5,0)</f>
        <v>227455</v>
      </c>
      <c r="O53" s="125" cm="1">
        <f t="array" ref="O53">IFERROR(
ROUND(
IF($A$2="COSTO",
   ((B53*(1+IFERROR(VLOOKUP($D$2,COLORES[],2,FALSE),0)))+F53)
   *(1-IFERROR(_xlfn.XLOOKUP(1,(DESC_PROV[LINEA]=$B$2)*(DESC_PROV[LISTA]=$C$2),DESC_PROV[DESCUENTO]),0)),
   ((B53*(1+IFERROR(VLOOKUP($D$2,COLORES[],2,FALSE),0)))+F53)
   *(1-IFERROR(_xlfn.XLOOKUP(1,(DESC_PROV[LINEA]=$B$2)*(DESC_PROV[LISTA]=$C$2),DESC_PROV[DESCUENTO]),0))
   *(1+VLOOKUP($C$2,LISTAS[],2,FALSE))
   *(1+VLOOKUP($C$2,LISTAS[],3,FALSE))
)
/5,0)*5,0)</f>
        <v>271680</v>
      </c>
      <c r="P53" s="125" cm="1">
        <f t="array" ref="P53">IFERROR(
ROUND(
IF($A$2="COSTO",
   ((B53*(1+IFERROR(VLOOKUP($D$2,COLORES[],2,FALSE),0)))+G53)
   *(1-IFERROR(_xlfn.XLOOKUP(1,(DESC_PROV[LINEA]=$B$2)*(DESC_PROV[LISTA]=$C$2),DESC_PROV[DESCUENTO]),0)),
   ((B53*(1+IFERROR(VLOOKUP($D$2,COLORES[],2,FALSE),0)))+G53)
   *(1-IFERROR(_xlfn.XLOOKUP(1,(DESC_PROV[LINEA]=$B$2)*(DESC_PROV[LISTA]=$C$2),DESC_PROV[DESCUENTO]),0))
   *(1+VLOOKUP($C$2,LISTAS[],2,FALSE))
   *(1+VLOOKUP($C$2,LISTAS[],3,FALSE))
)
/5,0)*5,0)</f>
        <v>220750</v>
      </c>
      <c r="Q53" s="125" cm="1">
        <f t="array" ref="Q53">IFERROR(
ROUND(
IF($A$2="COSTO",
   ((B53*(1+IFERROR(VLOOKUP($D$2,COLORES[],2,FALSE),0)))+H53)
   *(1-IFERROR(_xlfn.XLOOKUP(1,(DESC_PROV[LINEA]=$B$2)*(DESC_PROV[LISTA]=$C$2),DESC_PROV[DESCUENTO]),0)),
   ((B53*(1+IFERROR(VLOOKUP($D$2,COLORES[],2,FALSE),0)))+H53)
   *(1-IFERROR(_xlfn.XLOOKUP(1,(DESC_PROV[LINEA]=$B$2)*(DESC_PROV[LISTA]=$C$2),DESC_PROV[DESCUENTO]),0))
   *(1+VLOOKUP($C$2,LISTAS[],2,FALSE))
   *(1+VLOOKUP($C$2,LISTAS[],3,FALSE))
)
/5,0)*5,0)</f>
        <v>311380</v>
      </c>
      <c r="R53" s="126" cm="1">
        <f t="array" ref="R53">IFERROR(
ROUND(
IF($A$2="COSTO",
   ((B53*(1+IFERROR(VLOOKUP($D$2,COLORES[],2,FALSE),0)))+(D53+I53+D53))
   *(1-IFERROR(_xlfn.XLOOKUP(1,(DESC_PROV[LINEA]=$B$2)*(DESC_PROV[LISTA]=$C$2),DESC_PROV[DESCUENTO]),0)),
   ((B53*(1+IFERROR(VLOOKUP($D$2,COLORES[],2,FALSE),0)))+(D53+I53+D53))
   *(1-IFERROR(_xlfn.XLOOKUP(1,(DESC_PROV[LINEA]=$B$2)*(DESC_PROV[LISTA]=$C$2),DESC_PROV[DESCUENTO]),0))
   *(1+VLOOKUP($C$2,LISTAS[],2,FALSE))
   *(1+VLOOKUP($C$2,LISTAS[],3,FALSE))
)
/5,0)*5,0)</f>
        <v>317675</v>
      </c>
    </row>
    <row r="54" spans="1:18">
      <c r="A54" s="133" t="s">
        <v>15</v>
      </c>
      <c r="B54" s="125">
        <v>152905</v>
      </c>
      <c r="C54" s="125">
        <v>20788</v>
      </c>
      <c r="D54" s="125">
        <v>24589</v>
      </c>
      <c r="E54" s="125">
        <v>33422</v>
      </c>
      <c r="F54" s="125">
        <v>71748</v>
      </c>
      <c r="G54" s="125">
        <v>27512</v>
      </c>
      <c r="H54" s="125">
        <v>107058</v>
      </c>
      <c r="I54" s="125">
        <v>58463</v>
      </c>
      <c r="J54" s="124"/>
      <c r="K54" s="133" t="s">
        <v>15</v>
      </c>
      <c r="L54" s="125" cm="1">
        <f t="array" ref="L54">IFERROR(
ROUND(
IF($A$2="COSTO",
   ((B54*(1+IFERROR(VLOOKUP($D$2,COLORES[],2,FALSE),0)))+C54)
   *(1-IFERROR(_xlfn.XLOOKUP(1,(DESC_PROV[LINEA]=$B$2)*(DESC_PROV[LISTA]=$C$2),DESC_PROV[DESCUENTO]),0)),
   ((B54*(1+IFERROR(VLOOKUP($D$2,COLORES[],2,FALSE),0)))+C54)
   *(1-IFERROR(_xlfn.XLOOKUP(1,(DESC_PROV[LINEA]=$B$2)*(DESC_PROV[LISTA]=$C$2),DESC_PROV[DESCUENTO]),0))
   *(1+VLOOKUP($C$2,LISTAS[],2,FALSE))
   *(1+VLOOKUP($C$2,LISTAS[],3,FALSE))
)
/5,0)*5,0)</f>
        <v>222595</v>
      </c>
      <c r="M54" s="125" cm="1">
        <f t="array" ref="M54">IFERROR(
ROUND(
IF($A$2="COSTO",
   ((B54*(1+IFERROR(VLOOKUP($D$2,COLORES[],2,FALSE),0)))+D54)
   *(1-IFERROR(_xlfn.XLOOKUP(1,(DESC_PROV[LINEA]=$B$2)*(DESC_PROV[LISTA]=$C$2),DESC_PROV[DESCUENTO]),0)),
   ((B54*(1+IFERROR(VLOOKUP($D$2,COLORES[],2,FALSE),0)))+D54)
   *(1-IFERROR(_xlfn.XLOOKUP(1,(DESC_PROV[LINEA]=$B$2)*(DESC_PROV[LISTA]=$C$2),DESC_PROV[DESCUENTO]),0))
   *(1+VLOOKUP($C$2,LISTAS[],2,FALSE))
   *(1+VLOOKUP($C$2,LISTAS[],3,FALSE))
)
/5,0)*5,0)</f>
        <v>227465</v>
      </c>
      <c r="N54" s="125" cm="1">
        <f t="array" ref="N54">IFERROR(
ROUND(
IF($A$2="COSTO",
   ((B54*(1+IFERROR(VLOOKUP($D$2,COLORES[],2,FALSE),0)))+E54)
   *(1-IFERROR(_xlfn.XLOOKUP(1,(DESC_PROV[LINEA]=$B$2)*(DESC_PROV[LISTA]=$C$2),DESC_PROV[DESCUENTO]),0)),
   ((B54*(1+IFERROR(VLOOKUP($D$2,COLORES[],2,FALSE),0)))+E54)
   *(1-IFERROR(_xlfn.XLOOKUP(1,(DESC_PROV[LINEA]=$B$2)*(DESC_PROV[LISTA]=$C$2),DESC_PROV[DESCUENTO]),0))
   *(1+VLOOKUP($C$2,LISTAS[],2,FALSE))
   *(1+VLOOKUP($C$2,LISTAS[],3,FALSE))
)
/5,0)*5,0)</f>
        <v>238785</v>
      </c>
      <c r="O54" s="125" cm="1">
        <f t="array" ref="O54">IFERROR(
ROUND(
IF($A$2="COSTO",
   ((B54*(1+IFERROR(VLOOKUP($D$2,COLORES[],2,FALSE),0)))+F54)
   *(1-IFERROR(_xlfn.XLOOKUP(1,(DESC_PROV[LINEA]=$B$2)*(DESC_PROV[LISTA]=$C$2),DESC_PROV[DESCUENTO]),0)),
   ((B54*(1+IFERROR(VLOOKUP($D$2,COLORES[],2,FALSE),0)))+F54)
   *(1-IFERROR(_xlfn.XLOOKUP(1,(DESC_PROV[LINEA]=$B$2)*(DESC_PROV[LISTA]=$C$2),DESC_PROV[DESCUENTO]),0))
   *(1+VLOOKUP($C$2,LISTAS[],2,FALSE))
   *(1+VLOOKUP($C$2,LISTAS[],3,FALSE))
)
/5,0)*5,0)</f>
        <v>287900</v>
      </c>
      <c r="P54" s="125" cm="1">
        <f t="array" ref="P54">IFERROR(
ROUND(
IF($A$2="COSTO",
   ((B54*(1+IFERROR(VLOOKUP($D$2,COLORES[],2,FALSE),0)))+G54)
   *(1-IFERROR(_xlfn.XLOOKUP(1,(DESC_PROV[LINEA]=$B$2)*(DESC_PROV[LISTA]=$C$2),DESC_PROV[DESCUENTO]),0)),
   ((B54*(1+IFERROR(VLOOKUP($D$2,COLORES[],2,FALSE),0)))+G54)
   *(1-IFERROR(_xlfn.XLOOKUP(1,(DESC_PROV[LINEA]=$B$2)*(DESC_PROV[LISTA]=$C$2),DESC_PROV[DESCUENTO]),0))
   *(1+VLOOKUP($C$2,LISTAS[],2,FALSE))
   *(1+VLOOKUP($C$2,LISTAS[],3,FALSE))
)
/5,0)*5,0)</f>
        <v>231210</v>
      </c>
      <c r="Q54" s="125" cm="1">
        <f t="array" ref="Q54">IFERROR(
ROUND(
IF($A$2="COSTO",
   ((B54*(1+IFERROR(VLOOKUP($D$2,COLORES[],2,FALSE),0)))+H54)
   *(1-IFERROR(_xlfn.XLOOKUP(1,(DESC_PROV[LINEA]=$B$2)*(DESC_PROV[LISTA]=$C$2),DESC_PROV[DESCUENTO]),0)),
   ((B54*(1+IFERROR(VLOOKUP($D$2,COLORES[],2,FALSE),0)))+H54)
   *(1-IFERROR(_xlfn.XLOOKUP(1,(DESC_PROV[LINEA]=$B$2)*(DESC_PROV[LISTA]=$C$2),DESC_PROV[DESCUENTO]),0))
   *(1+VLOOKUP($C$2,LISTAS[],2,FALSE))
   *(1+VLOOKUP($C$2,LISTAS[],3,FALSE))
)
/5,0)*5,0)</f>
        <v>333155</v>
      </c>
      <c r="R54" s="126" cm="1">
        <f t="array" ref="R54">IFERROR(
ROUND(
IF($A$2="COSTO",
   ((B54*(1+IFERROR(VLOOKUP($D$2,COLORES[],2,FALSE),0)))+(D54+I54+D54))
   *(1-IFERROR(_xlfn.XLOOKUP(1,(DESC_PROV[LINEA]=$B$2)*(DESC_PROV[LISTA]=$C$2),DESC_PROV[DESCUENTO]),0)),
   ((B54*(1+IFERROR(VLOOKUP($D$2,COLORES[],2,FALSE),0)))+(D54+I54+D54))
   *(1-IFERROR(_xlfn.XLOOKUP(1,(DESC_PROV[LINEA]=$B$2)*(DESC_PROV[LISTA]=$C$2),DESC_PROV[DESCUENTO]),0))
   *(1+VLOOKUP($C$2,LISTAS[],2,FALSE))
   *(1+VLOOKUP($C$2,LISTAS[],3,FALSE))
)
/5,0)*5,0)</f>
        <v>333900</v>
      </c>
    </row>
    <row r="55" spans="1:18">
      <c r="A55" s="133" t="s">
        <v>189</v>
      </c>
      <c r="B55" s="125">
        <v>127276</v>
      </c>
      <c r="C55" s="125">
        <v>7693</v>
      </c>
      <c r="D55" s="125">
        <v>9322</v>
      </c>
      <c r="E55" s="125">
        <v>12308</v>
      </c>
      <c r="F55" s="125">
        <v>26571</v>
      </c>
      <c r="G55" s="125">
        <v>10263</v>
      </c>
      <c r="H55" s="125">
        <v>39758</v>
      </c>
      <c r="I55" s="125">
        <v>43847</v>
      </c>
      <c r="J55" s="124"/>
      <c r="K55" s="133" t="s">
        <v>189</v>
      </c>
      <c r="L55" s="125" cm="1">
        <f t="array" ref="L55">IFERROR(
ROUND(
IF($A$2="COSTO",
   ((B55*(1+IFERROR(VLOOKUP($D$2,COLORES[],2,FALSE),0)))+C55)
   *(1-IFERROR(_xlfn.XLOOKUP(1,(DESC_PROV[LINEA]=$B$2)*(DESC_PROV[LISTA]=$C$2),DESC_PROV[DESCUENTO]),0)),
   ((B55*(1+IFERROR(VLOOKUP($D$2,COLORES[],2,FALSE),0)))+C55)
   *(1-IFERROR(_xlfn.XLOOKUP(1,(DESC_PROV[LINEA]=$B$2)*(DESC_PROV[LISTA]=$C$2),DESC_PROV[DESCUENTO]),0))
   *(1+VLOOKUP($C$2,LISTAS[],2,FALSE))
   *(1+VLOOKUP($C$2,LISTAS[],3,FALSE))
)
/5,0)*5,0)</f>
        <v>172970</v>
      </c>
      <c r="M55" s="125" cm="1">
        <f t="array" ref="M55">IFERROR(
ROUND(
IF($A$2="COSTO",
   ((B55*(1+IFERROR(VLOOKUP($D$2,COLORES[],2,FALSE),0)))+D55)
   *(1-IFERROR(_xlfn.XLOOKUP(1,(DESC_PROV[LINEA]=$B$2)*(DESC_PROV[LISTA]=$C$2),DESC_PROV[DESCUENTO]),0)),
   ((B55*(1+IFERROR(VLOOKUP($D$2,COLORES[],2,FALSE),0)))+D55)
   *(1-IFERROR(_xlfn.XLOOKUP(1,(DESC_PROV[LINEA]=$B$2)*(DESC_PROV[LISTA]=$C$2),DESC_PROV[DESCUENTO]),0))
   *(1+VLOOKUP($C$2,LISTAS[],2,FALSE))
   *(1+VLOOKUP($C$2,LISTAS[],3,FALSE))
)
/5,0)*5,0)</f>
        <v>175055</v>
      </c>
      <c r="N55" s="125" cm="1">
        <f t="array" ref="N55">IFERROR(
ROUND(
IF($A$2="COSTO",
   ((B55*(1+IFERROR(VLOOKUP($D$2,COLORES[],2,FALSE),0)))+E55)
   *(1-IFERROR(_xlfn.XLOOKUP(1,(DESC_PROV[LINEA]=$B$2)*(DESC_PROV[LISTA]=$C$2),DESC_PROV[DESCUENTO]),0)),
   ((B55*(1+IFERROR(VLOOKUP($D$2,COLORES[],2,FALSE),0)))+E55)
   *(1-IFERROR(_xlfn.XLOOKUP(1,(DESC_PROV[LINEA]=$B$2)*(DESC_PROV[LISTA]=$C$2),DESC_PROV[DESCUENTO]),0))
   *(1+VLOOKUP($C$2,LISTAS[],2,FALSE))
   *(1+VLOOKUP($C$2,LISTAS[],3,FALSE))
)
/5,0)*5,0)</f>
        <v>178880</v>
      </c>
      <c r="O55" s="125" cm="1">
        <f t="array" ref="O55">IFERROR(
ROUND(
IF($A$2="COSTO",
   ((B55*(1+IFERROR(VLOOKUP($D$2,COLORES[],2,FALSE),0)))+F55)
   *(1-IFERROR(_xlfn.XLOOKUP(1,(DESC_PROV[LINEA]=$B$2)*(DESC_PROV[LISTA]=$C$2),DESC_PROV[DESCUENTO]),0)),
   ((B55*(1+IFERROR(VLOOKUP($D$2,COLORES[],2,FALSE),0)))+F55)
   *(1-IFERROR(_xlfn.XLOOKUP(1,(DESC_PROV[LINEA]=$B$2)*(DESC_PROV[LISTA]=$C$2),DESC_PROV[DESCUENTO]),0))
   *(1+VLOOKUP($C$2,LISTAS[],2,FALSE))
   *(1+VLOOKUP($C$2,LISTAS[],3,FALSE))
)
/5,0)*5,0)</f>
        <v>197160</v>
      </c>
      <c r="P55" s="125" cm="1">
        <f t="array" ref="P55">IFERROR(
ROUND(
IF($A$2="COSTO",
   ((B55*(1+IFERROR(VLOOKUP($D$2,COLORES[],2,FALSE),0)))+G55)
   *(1-IFERROR(_xlfn.XLOOKUP(1,(DESC_PROV[LINEA]=$B$2)*(DESC_PROV[LISTA]=$C$2),DESC_PROV[DESCUENTO]),0)),
   ((B55*(1+IFERROR(VLOOKUP($D$2,COLORES[],2,FALSE),0)))+G55)
   *(1-IFERROR(_xlfn.XLOOKUP(1,(DESC_PROV[LINEA]=$B$2)*(DESC_PROV[LISTA]=$C$2),DESC_PROV[DESCUENTO]),0))
   *(1+VLOOKUP($C$2,LISTAS[],2,FALSE))
   *(1+VLOOKUP($C$2,LISTAS[],3,FALSE))
)
/5,0)*5,0)</f>
        <v>176260</v>
      </c>
      <c r="Q55" s="125" cm="1">
        <f t="array" ref="Q55">IFERROR(
ROUND(
IF($A$2="COSTO",
   ((B55*(1+IFERROR(VLOOKUP($D$2,COLORES[],2,FALSE),0)))+H55)
   *(1-IFERROR(_xlfn.XLOOKUP(1,(DESC_PROV[LINEA]=$B$2)*(DESC_PROV[LISTA]=$C$2),DESC_PROV[DESCUENTO]),0)),
   ((B55*(1+IFERROR(VLOOKUP($D$2,COLORES[],2,FALSE),0)))+H55)
   *(1-IFERROR(_xlfn.XLOOKUP(1,(DESC_PROV[LINEA]=$B$2)*(DESC_PROV[LISTA]=$C$2),DESC_PROV[DESCUENTO]),0))
   *(1+VLOOKUP($C$2,LISTAS[],2,FALSE))
   *(1+VLOOKUP($C$2,LISTAS[],3,FALSE))
)
/5,0)*5,0)</f>
        <v>214060</v>
      </c>
      <c r="R55" s="126" cm="1">
        <f t="array" ref="R55">IFERROR(
ROUND(
IF($A$2="COSTO",
   ((B55*(1+IFERROR(VLOOKUP($D$2,COLORES[],2,FALSE),0)))+(D55+I55+D55))
   *(1-IFERROR(_xlfn.XLOOKUP(1,(DESC_PROV[LINEA]=$B$2)*(DESC_PROV[LISTA]=$C$2),DESC_PROV[DESCUENTO]),0)),
   ((B55*(1+IFERROR(VLOOKUP($D$2,COLORES[],2,FALSE),0)))+(D55+I55+D55))
   *(1-IFERROR(_xlfn.XLOOKUP(1,(DESC_PROV[LINEA]=$B$2)*(DESC_PROV[LISTA]=$C$2),DESC_PROV[DESCUENTO]),0))
   *(1+VLOOKUP($C$2,LISTAS[],2,FALSE))
   *(1+VLOOKUP($C$2,LISTAS[],3,FALSE))
)
/5,0)*5,0)</f>
        <v>243195</v>
      </c>
    </row>
    <row r="56" spans="1:18">
      <c r="A56" s="133" t="s">
        <v>190</v>
      </c>
      <c r="B56" s="125">
        <v>132403</v>
      </c>
      <c r="C56" s="125">
        <v>10263</v>
      </c>
      <c r="D56" s="125">
        <v>12426</v>
      </c>
      <c r="E56" s="125">
        <v>16408</v>
      </c>
      <c r="F56" s="125">
        <v>35431</v>
      </c>
      <c r="G56" s="125">
        <v>13684</v>
      </c>
      <c r="H56" s="125">
        <v>53019</v>
      </c>
      <c r="I56" s="125">
        <v>46770</v>
      </c>
      <c r="J56" s="124"/>
      <c r="K56" s="133" t="s">
        <v>190</v>
      </c>
      <c r="L56" s="125" cm="1">
        <f t="array" ref="L56">IFERROR(
ROUND(
IF($A$2="COSTO",
   ((B56*(1+IFERROR(VLOOKUP($D$2,COLORES[],2,FALSE),0)))+C56)
   *(1-IFERROR(_xlfn.XLOOKUP(1,(DESC_PROV[LINEA]=$B$2)*(DESC_PROV[LISTA]=$C$2),DESC_PROV[DESCUENTO]),0)),
   ((B56*(1+IFERROR(VLOOKUP($D$2,COLORES[],2,FALSE),0)))+C56)
   *(1-IFERROR(_xlfn.XLOOKUP(1,(DESC_PROV[LINEA]=$B$2)*(DESC_PROV[LISTA]=$C$2),DESC_PROV[DESCUENTO]),0))
   *(1+VLOOKUP($C$2,LISTAS[],2,FALSE))
   *(1+VLOOKUP($C$2,LISTAS[],3,FALSE))
)
/5,0)*5,0)</f>
        <v>182830</v>
      </c>
      <c r="M56" s="125" cm="1">
        <f t="array" ref="M56">IFERROR(
ROUND(
IF($A$2="COSTO",
   ((B56*(1+IFERROR(VLOOKUP($D$2,COLORES[],2,FALSE),0)))+D56)
   *(1-IFERROR(_xlfn.XLOOKUP(1,(DESC_PROV[LINEA]=$B$2)*(DESC_PROV[LISTA]=$C$2),DESC_PROV[DESCUENTO]),0)),
   ((B56*(1+IFERROR(VLOOKUP($D$2,COLORES[],2,FALSE),0)))+D56)
   *(1-IFERROR(_xlfn.XLOOKUP(1,(DESC_PROV[LINEA]=$B$2)*(DESC_PROV[LISTA]=$C$2),DESC_PROV[DESCUENTO]),0))
   *(1+VLOOKUP($C$2,LISTAS[],2,FALSE))
   *(1+VLOOKUP($C$2,LISTAS[],3,FALSE))
)
/5,0)*5,0)</f>
        <v>185605</v>
      </c>
      <c r="N56" s="125" cm="1">
        <f t="array" ref="N56">IFERROR(
ROUND(
IF($A$2="COSTO",
   ((B56*(1+IFERROR(VLOOKUP($D$2,COLORES[],2,FALSE),0)))+E56)
   *(1-IFERROR(_xlfn.XLOOKUP(1,(DESC_PROV[LINEA]=$B$2)*(DESC_PROV[LISTA]=$C$2),DESC_PROV[DESCUENTO]),0)),
   ((B56*(1+IFERROR(VLOOKUP($D$2,COLORES[],2,FALSE),0)))+E56)
   *(1-IFERROR(_xlfn.XLOOKUP(1,(DESC_PROV[LINEA]=$B$2)*(DESC_PROV[LISTA]=$C$2),DESC_PROV[DESCUENTO]),0))
   *(1+VLOOKUP($C$2,LISTAS[],2,FALSE))
   *(1+VLOOKUP($C$2,LISTAS[],3,FALSE))
)
/5,0)*5,0)</f>
        <v>190705</v>
      </c>
      <c r="O56" s="125" cm="1">
        <f t="array" ref="O56">IFERROR(
ROUND(
IF($A$2="COSTO",
   ((B56*(1+IFERROR(VLOOKUP($D$2,COLORES[],2,FALSE),0)))+F56)
   *(1-IFERROR(_xlfn.XLOOKUP(1,(DESC_PROV[LINEA]=$B$2)*(DESC_PROV[LISTA]=$C$2),DESC_PROV[DESCUENTO]),0)),
   ((B56*(1+IFERROR(VLOOKUP($D$2,COLORES[],2,FALSE),0)))+F56)
   *(1-IFERROR(_xlfn.XLOOKUP(1,(DESC_PROV[LINEA]=$B$2)*(DESC_PROV[LISTA]=$C$2),DESC_PROV[DESCUENTO]),0))
   *(1+VLOOKUP($C$2,LISTAS[],2,FALSE))
   *(1+VLOOKUP($C$2,LISTAS[],3,FALSE))
)
/5,0)*5,0)</f>
        <v>215085</v>
      </c>
      <c r="P56" s="125" cm="1">
        <f t="array" ref="P56">IFERROR(
ROUND(
IF($A$2="COSTO",
   ((B56*(1+IFERROR(VLOOKUP($D$2,COLORES[],2,FALSE),0)))+G56)
   *(1-IFERROR(_xlfn.XLOOKUP(1,(DESC_PROV[LINEA]=$B$2)*(DESC_PROV[LISTA]=$C$2),DESC_PROV[DESCUENTO]),0)),
   ((B56*(1+IFERROR(VLOOKUP($D$2,COLORES[],2,FALSE),0)))+G56)
   *(1-IFERROR(_xlfn.XLOOKUP(1,(DESC_PROV[LINEA]=$B$2)*(DESC_PROV[LISTA]=$C$2),DESC_PROV[DESCUENTO]),0))
   *(1+VLOOKUP($C$2,LISTAS[],2,FALSE))
   *(1+VLOOKUP($C$2,LISTAS[],3,FALSE))
)
/5,0)*5,0)</f>
        <v>187215</v>
      </c>
      <c r="Q56" s="125" cm="1">
        <f t="array" ref="Q56">IFERROR(
ROUND(
IF($A$2="COSTO",
   ((B56*(1+IFERROR(VLOOKUP($D$2,COLORES[],2,FALSE),0)))+H56)
   *(1-IFERROR(_xlfn.XLOOKUP(1,(DESC_PROV[LINEA]=$B$2)*(DESC_PROV[LISTA]=$C$2),DESC_PROV[DESCUENTO]),0)),
   ((B56*(1+IFERROR(VLOOKUP($D$2,COLORES[],2,FALSE),0)))+H56)
   *(1-IFERROR(_xlfn.XLOOKUP(1,(DESC_PROV[LINEA]=$B$2)*(DESC_PROV[LISTA]=$C$2),DESC_PROV[DESCUENTO]),0))
   *(1+VLOOKUP($C$2,LISTAS[],2,FALSE))
   *(1+VLOOKUP($C$2,LISTAS[],3,FALSE))
)
/5,0)*5,0)</f>
        <v>237625</v>
      </c>
      <c r="R56" s="126" cm="1">
        <f t="array" ref="R56">IFERROR(
ROUND(
IF($A$2="COSTO",
   ((B56*(1+IFERROR(VLOOKUP($D$2,COLORES[],2,FALSE),0)))+(D56+I56+D56))
   *(1-IFERROR(_xlfn.XLOOKUP(1,(DESC_PROV[LINEA]=$B$2)*(DESC_PROV[LISTA]=$C$2),DESC_PROV[DESCUENTO]),0)),
   ((B56*(1+IFERROR(VLOOKUP($D$2,COLORES[],2,FALSE),0)))+(D56+I56+D56))
   *(1-IFERROR(_xlfn.XLOOKUP(1,(DESC_PROV[LINEA]=$B$2)*(DESC_PROV[LISTA]=$C$2),DESC_PROV[DESCUENTO]),0))
   *(1+VLOOKUP($C$2,LISTAS[],2,FALSE))
   *(1+VLOOKUP($C$2,LISTAS[],3,FALSE))
)
/5,0)*5,0)</f>
        <v>261465</v>
      </c>
    </row>
    <row r="57" spans="1:18">
      <c r="A57" s="133" t="s">
        <v>191</v>
      </c>
      <c r="B57" s="125">
        <v>137537</v>
      </c>
      <c r="C57" s="125">
        <v>12833</v>
      </c>
      <c r="D57" s="125">
        <v>15539</v>
      </c>
      <c r="E57" s="125">
        <v>20507</v>
      </c>
      <c r="F57" s="125">
        <v>44291</v>
      </c>
      <c r="G57" s="125">
        <v>17105</v>
      </c>
      <c r="H57" s="125">
        <v>66279</v>
      </c>
      <c r="I57" s="125">
        <v>49694</v>
      </c>
      <c r="J57" s="124"/>
      <c r="K57" s="133" t="s">
        <v>191</v>
      </c>
      <c r="L57" s="125" cm="1">
        <f t="array" ref="L57">IFERROR(
ROUND(
IF($A$2="COSTO",
   ((B57*(1+IFERROR(VLOOKUP($D$2,COLORES[],2,FALSE),0)))+C57)
   *(1-IFERROR(_xlfn.XLOOKUP(1,(DESC_PROV[LINEA]=$B$2)*(DESC_PROV[LISTA]=$C$2),DESC_PROV[DESCUENTO]),0)),
   ((B57*(1+IFERROR(VLOOKUP($D$2,COLORES[],2,FALSE),0)))+C57)
   *(1-IFERROR(_xlfn.XLOOKUP(1,(DESC_PROV[LINEA]=$B$2)*(DESC_PROV[LISTA]=$C$2),DESC_PROV[DESCUENTO]),0))
   *(1+VLOOKUP($C$2,LISTAS[],2,FALSE))
   *(1+VLOOKUP($C$2,LISTAS[],3,FALSE))
)
/5,0)*5,0)</f>
        <v>192705</v>
      </c>
      <c r="M57" s="125" cm="1">
        <f t="array" ref="M57">IFERROR(
ROUND(
IF($A$2="COSTO",
   ((B57*(1+IFERROR(VLOOKUP($D$2,COLORES[],2,FALSE),0)))+D57)
   *(1-IFERROR(_xlfn.XLOOKUP(1,(DESC_PROV[LINEA]=$B$2)*(DESC_PROV[LISTA]=$C$2),DESC_PROV[DESCUENTO]),0)),
   ((B57*(1+IFERROR(VLOOKUP($D$2,COLORES[],2,FALSE),0)))+D57)
   *(1-IFERROR(_xlfn.XLOOKUP(1,(DESC_PROV[LINEA]=$B$2)*(DESC_PROV[LISTA]=$C$2),DESC_PROV[DESCUENTO]),0))
   *(1+VLOOKUP($C$2,LISTAS[],2,FALSE))
   *(1+VLOOKUP($C$2,LISTAS[],3,FALSE))
)
/5,0)*5,0)</f>
        <v>196175</v>
      </c>
      <c r="N57" s="125" cm="1">
        <f t="array" ref="N57">IFERROR(
ROUND(
IF($A$2="COSTO",
   ((B57*(1+IFERROR(VLOOKUP($D$2,COLORES[],2,FALSE),0)))+E57)
   *(1-IFERROR(_xlfn.XLOOKUP(1,(DESC_PROV[LINEA]=$B$2)*(DESC_PROV[LISTA]=$C$2),DESC_PROV[DESCUENTO]),0)),
   ((B57*(1+IFERROR(VLOOKUP($D$2,COLORES[],2,FALSE),0)))+E57)
   *(1-IFERROR(_xlfn.XLOOKUP(1,(DESC_PROV[LINEA]=$B$2)*(DESC_PROV[LISTA]=$C$2),DESC_PROV[DESCUENTO]),0))
   *(1+VLOOKUP($C$2,LISTAS[],2,FALSE))
   *(1+VLOOKUP($C$2,LISTAS[],3,FALSE))
)
/5,0)*5,0)</f>
        <v>202540</v>
      </c>
      <c r="O57" s="125" cm="1">
        <f t="array" ref="O57">IFERROR(
ROUND(
IF($A$2="COSTO",
   ((B57*(1+IFERROR(VLOOKUP($D$2,COLORES[],2,FALSE),0)))+F57)
   *(1-IFERROR(_xlfn.XLOOKUP(1,(DESC_PROV[LINEA]=$B$2)*(DESC_PROV[LISTA]=$C$2),DESC_PROV[DESCUENTO]),0)),
   ((B57*(1+IFERROR(VLOOKUP($D$2,COLORES[],2,FALSE),0)))+F57)
   *(1-IFERROR(_xlfn.XLOOKUP(1,(DESC_PROV[LINEA]=$B$2)*(DESC_PROV[LISTA]=$C$2),DESC_PROV[DESCUENTO]),0))
   *(1+VLOOKUP($C$2,LISTAS[],2,FALSE))
   *(1+VLOOKUP($C$2,LISTAS[],3,FALSE))
)
/5,0)*5,0)</f>
        <v>233020</v>
      </c>
      <c r="P57" s="125" cm="1">
        <f t="array" ref="P57">IFERROR(
ROUND(
IF($A$2="COSTO",
   ((B57*(1+IFERROR(VLOOKUP($D$2,COLORES[],2,FALSE),0)))+G57)
   *(1-IFERROR(_xlfn.XLOOKUP(1,(DESC_PROV[LINEA]=$B$2)*(DESC_PROV[LISTA]=$C$2),DESC_PROV[DESCUENTO]),0)),
   ((B57*(1+IFERROR(VLOOKUP($D$2,COLORES[],2,FALSE),0)))+G57)
   *(1-IFERROR(_xlfn.XLOOKUP(1,(DESC_PROV[LINEA]=$B$2)*(DESC_PROV[LISTA]=$C$2),DESC_PROV[DESCUENTO]),0))
   *(1+VLOOKUP($C$2,LISTAS[],2,FALSE))
   *(1+VLOOKUP($C$2,LISTAS[],3,FALSE))
)
/5,0)*5,0)</f>
        <v>198180</v>
      </c>
      <c r="Q57" s="125" cm="1">
        <f t="array" ref="Q57">IFERROR(
ROUND(
IF($A$2="COSTO",
   ((B57*(1+IFERROR(VLOOKUP($D$2,COLORES[],2,FALSE),0)))+H57)
   *(1-IFERROR(_xlfn.XLOOKUP(1,(DESC_PROV[LINEA]=$B$2)*(DESC_PROV[LISTA]=$C$2),DESC_PROV[DESCUENTO]),0)),
   ((B57*(1+IFERROR(VLOOKUP($D$2,COLORES[],2,FALSE),0)))+H57)
   *(1-IFERROR(_xlfn.XLOOKUP(1,(DESC_PROV[LINEA]=$B$2)*(DESC_PROV[LISTA]=$C$2),DESC_PROV[DESCUENTO]),0))
   *(1+VLOOKUP($C$2,LISTAS[],2,FALSE))
   *(1+VLOOKUP($C$2,LISTAS[],3,FALSE))
)
/5,0)*5,0)</f>
        <v>261200</v>
      </c>
      <c r="R57" s="126" cm="1">
        <f t="array" ref="R57">IFERROR(
ROUND(
IF($A$2="COSTO",
   ((B57*(1+IFERROR(VLOOKUP($D$2,COLORES[],2,FALSE),0)))+(D57+I57+D57))
   *(1-IFERROR(_xlfn.XLOOKUP(1,(DESC_PROV[LINEA]=$B$2)*(DESC_PROV[LISTA]=$C$2),DESC_PROV[DESCUENTO]),0)),
   ((B57*(1+IFERROR(VLOOKUP($D$2,COLORES[],2,FALSE),0)))+(D57+I57+D57))
   *(1-IFERROR(_xlfn.XLOOKUP(1,(DESC_PROV[LINEA]=$B$2)*(DESC_PROV[LISTA]=$C$2),DESC_PROV[DESCUENTO]),0))
   *(1+VLOOKUP($C$2,LISTAS[],2,FALSE))
   *(1+VLOOKUP($C$2,LISTAS[],3,FALSE))
)
/5,0)*5,0)</f>
        <v>279770</v>
      </c>
    </row>
    <row r="58" spans="1:18">
      <c r="A58" s="133" t="s">
        <v>192</v>
      </c>
      <c r="B58" s="125">
        <v>142657</v>
      </c>
      <c r="C58" s="125">
        <v>15403</v>
      </c>
      <c r="D58" s="125">
        <v>18643</v>
      </c>
      <c r="E58" s="125">
        <v>24607</v>
      </c>
      <c r="F58" s="125">
        <v>53151</v>
      </c>
      <c r="G58" s="125">
        <v>20525</v>
      </c>
      <c r="H58" s="125">
        <v>79539</v>
      </c>
      <c r="I58" s="125">
        <v>52617</v>
      </c>
      <c r="J58" s="124"/>
      <c r="K58" s="133" t="s">
        <v>192</v>
      </c>
      <c r="L58" s="125" cm="1">
        <f t="array" ref="L58">IFERROR(
ROUND(
IF($A$2="COSTO",
   ((B58*(1+IFERROR(VLOOKUP($D$2,COLORES[],2,FALSE),0)))+C58)
   *(1-IFERROR(_xlfn.XLOOKUP(1,(DESC_PROV[LINEA]=$B$2)*(DESC_PROV[LISTA]=$C$2),DESC_PROV[DESCUENTO]),0)),
   ((B58*(1+IFERROR(VLOOKUP($D$2,COLORES[],2,FALSE),0)))+C58)
   *(1-IFERROR(_xlfn.XLOOKUP(1,(DESC_PROV[LINEA]=$B$2)*(DESC_PROV[LISTA]=$C$2),DESC_PROV[DESCUENTO]),0))
   *(1+VLOOKUP($C$2,LISTAS[],2,FALSE))
   *(1+VLOOKUP($C$2,LISTAS[],3,FALSE))
)
/5,0)*5,0)</f>
        <v>202560</v>
      </c>
      <c r="M58" s="125" cm="1">
        <f t="array" ref="M58">IFERROR(
ROUND(
IF($A$2="COSTO",
   ((B58*(1+IFERROR(VLOOKUP($D$2,COLORES[],2,FALSE),0)))+D58)
   *(1-IFERROR(_xlfn.XLOOKUP(1,(DESC_PROV[LINEA]=$B$2)*(DESC_PROV[LISTA]=$C$2),DESC_PROV[DESCUENTO]),0)),
   ((B58*(1+IFERROR(VLOOKUP($D$2,COLORES[],2,FALSE),0)))+D58)
   *(1-IFERROR(_xlfn.XLOOKUP(1,(DESC_PROV[LINEA]=$B$2)*(DESC_PROV[LISTA]=$C$2),DESC_PROV[DESCUENTO]),0))
   *(1+VLOOKUP($C$2,LISTAS[],2,FALSE))
   *(1+VLOOKUP($C$2,LISTAS[],3,FALSE))
)
/5,0)*5,0)</f>
        <v>206710</v>
      </c>
      <c r="N58" s="125" cm="1">
        <f t="array" ref="N58">IFERROR(
ROUND(
IF($A$2="COSTO",
   ((B58*(1+IFERROR(VLOOKUP($D$2,COLORES[],2,FALSE),0)))+E58)
   *(1-IFERROR(_xlfn.XLOOKUP(1,(DESC_PROV[LINEA]=$B$2)*(DESC_PROV[LISTA]=$C$2),DESC_PROV[DESCUENTO]),0)),
   ((B58*(1+IFERROR(VLOOKUP($D$2,COLORES[],2,FALSE),0)))+E58)
   *(1-IFERROR(_xlfn.XLOOKUP(1,(DESC_PROV[LINEA]=$B$2)*(DESC_PROV[LISTA]=$C$2),DESC_PROV[DESCUENTO]),0))
   *(1+VLOOKUP($C$2,LISTAS[],2,FALSE))
   *(1+VLOOKUP($C$2,LISTAS[],3,FALSE))
)
/5,0)*5,0)</f>
        <v>214355</v>
      </c>
      <c r="O58" s="125" cm="1">
        <f t="array" ref="O58">IFERROR(
ROUND(
IF($A$2="COSTO",
   ((B58*(1+IFERROR(VLOOKUP($D$2,COLORES[],2,FALSE),0)))+F58)
   *(1-IFERROR(_xlfn.XLOOKUP(1,(DESC_PROV[LINEA]=$B$2)*(DESC_PROV[LISTA]=$C$2),DESC_PROV[DESCUENTO]),0)),
   ((B58*(1+IFERROR(VLOOKUP($D$2,COLORES[],2,FALSE),0)))+F58)
   *(1-IFERROR(_xlfn.XLOOKUP(1,(DESC_PROV[LINEA]=$B$2)*(DESC_PROV[LISTA]=$C$2),DESC_PROV[DESCUENTO]),0))
   *(1+VLOOKUP($C$2,LISTAS[],2,FALSE))
   *(1+VLOOKUP($C$2,LISTAS[],3,FALSE))
)
/5,0)*5,0)</f>
        <v>250935</v>
      </c>
      <c r="P58" s="125" cm="1">
        <f t="array" ref="P58">IFERROR(
ROUND(
IF($A$2="COSTO",
   ((B58*(1+IFERROR(VLOOKUP($D$2,COLORES[],2,FALSE),0)))+G58)
   *(1-IFERROR(_xlfn.XLOOKUP(1,(DESC_PROV[LINEA]=$B$2)*(DESC_PROV[LISTA]=$C$2),DESC_PROV[DESCUENTO]),0)),
   ((B58*(1+IFERROR(VLOOKUP($D$2,COLORES[],2,FALSE),0)))+G58)
   *(1-IFERROR(_xlfn.XLOOKUP(1,(DESC_PROV[LINEA]=$B$2)*(DESC_PROV[LISTA]=$C$2),DESC_PROV[DESCUENTO]),0))
   *(1+VLOOKUP($C$2,LISTAS[],2,FALSE))
   *(1+VLOOKUP($C$2,LISTAS[],3,FALSE))
)
/5,0)*5,0)</f>
        <v>209125</v>
      </c>
      <c r="Q58" s="125" cm="1">
        <f t="array" ref="Q58">IFERROR(
ROUND(
IF($A$2="COSTO",
   ((B58*(1+IFERROR(VLOOKUP($D$2,COLORES[],2,FALSE),0)))+H58)
   *(1-IFERROR(_xlfn.XLOOKUP(1,(DESC_PROV[LINEA]=$B$2)*(DESC_PROV[LISTA]=$C$2),DESC_PROV[DESCUENTO]),0)),
   ((B58*(1+IFERROR(VLOOKUP($D$2,COLORES[],2,FALSE),0)))+H58)
   *(1-IFERROR(_xlfn.XLOOKUP(1,(DESC_PROV[LINEA]=$B$2)*(DESC_PROV[LISTA]=$C$2),DESC_PROV[DESCUENTO]),0))
   *(1+VLOOKUP($C$2,LISTAS[],2,FALSE))
   *(1+VLOOKUP($C$2,LISTAS[],3,FALSE))
)
/5,0)*5,0)</f>
        <v>284755</v>
      </c>
      <c r="R58" s="126" cm="1">
        <f t="array" ref="R58">IFERROR(
ROUND(
IF($A$2="COSTO",
   ((B58*(1+IFERROR(VLOOKUP($D$2,COLORES[],2,FALSE),0)))+(D58+I58+D58))
   *(1-IFERROR(_xlfn.XLOOKUP(1,(DESC_PROV[LINEA]=$B$2)*(DESC_PROV[LISTA]=$C$2),DESC_PROV[DESCUENTO]),0)),
   ((B58*(1+IFERROR(VLOOKUP($D$2,COLORES[],2,FALSE),0)))+(D58+I58+D58))
   *(1-IFERROR(_xlfn.XLOOKUP(1,(DESC_PROV[LINEA]=$B$2)*(DESC_PROV[LISTA]=$C$2),DESC_PROV[DESCUENTO]),0))
   *(1+VLOOKUP($C$2,LISTAS[],2,FALSE))
   *(1+VLOOKUP($C$2,LISTAS[],3,FALSE))
)
/5,0)*5,0)</f>
        <v>298035</v>
      </c>
    </row>
    <row r="59" spans="1:18">
      <c r="A59" s="133" t="s">
        <v>193</v>
      </c>
      <c r="B59" s="125">
        <v>147784</v>
      </c>
      <c r="C59" s="125">
        <v>17973</v>
      </c>
      <c r="D59" s="125">
        <v>21747</v>
      </c>
      <c r="E59" s="125">
        <v>28707</v>
      </c>
      <c r="F59" s="125">
        <v>62011</v>
      </c>
      <c r="G59" s="125">
        <v>23946</v>
      </c>
      <c r="H59" s="125">
        <v>92799</v>
      </c>
      <c r="I59" s="125">
        <v>55540</v>
      </c>
      <c r="J59" s="124"/>
      <c r="K59" s="133" t="s">
        <v>193</v>
      </c>
      <c r="L59" s="125" cm="1">
        <f t="array" ref="L59">IFERROR(
ROUND(
IF($A$2="COSTO",
   ((B59*(1+IFERROR(VLOOKUP($D$2,COLORES[],2,FALSE),0)))+C59)
   *(1-IFERROR(_xlfn.XLOOKUP(1,(DESC_PROV[LINEA]=$B$2)*(DESC_PROV[LISTA]=$C$2),DESC_PROV[DESCUENTO]),0)),
   ((B59*(1+IFERROR(VLOOKUP($D$2,COLORES[],2,FALSE),0)))+C59)
   *(1-IFERROR(_xlfn.XLOOKUP(1,(DESC_PROV[LINEA]=$B$2)*(DESC_PROV[LISTA]=$C$2),DESC_PROV[DESCUENTO]),0))
   *(1+VLOOKUP($C$2,LISTAS[],2,FALSE))
   *(1+VLOOKUP($C$2,LISTAS[],3,FALSE))
)
/5,0)*5,0)</f>
        <v>212425</v>
      </c>
      <c r="M59" s="125" cm="1">
        <f t="array" ref="M59">IFERROR(
ROUND(
IF($A$2="COSTO",
   ((B59*(1+IFERROR(VLOOKUP($D$2,COLORES[],2,FALSE),0)))+D59)
   *(1-IFERROR(_xlfn.XLOOKUP(1,(DESC_PROV[LINEA]=$B$2)*(DESC_PROV[LISTA]=$C$2),DESC_PROV[DESCUENTO]),0)),
   ((B59*(1+IFERROR(VLOOKUP($D$2,COLORES[],2,FALSE),0)))+D59)
   *(1-IFERROR(_xlfn.XLOOKUP(1,(DESC_PROV[LINEA]=$B$2)*(DESC_PROV[LISTA]=$C$2),DESC_PROV[DESCUENTO]),0))
   *(1+VLOOKUP($C$2,LISTAS[],2,FALSE))
   *(1+VLOOKUP($C$2,LISTAS[],3,FALSE))
)
/5,0)*5,0)</f>
        <v>217260</v>
      </c>
      <c r="N59" s="125" cm="1">
        <f t="array" ref="N59">IFERROR(
ROUND(
IF($A$2="COSTO",
   ((B59*(1+IFERROR(VLOOKUP($D$2,COLORES[],2,FALSE),0)))+E59)
   *(1-IFERROR(_xlfn.XLOOKUP(1,(DESC_PROV[LINEA]=$B$2)*(DESC_PROV[LISTA]=$C$2),DESC_PROV[DESCUENTO]),0)),
   ((B59*(1+IFERROR(VLOOKUP($D$2,COLORES[],2,FALSE),0)))+E59)
   *(1-IFERROR(_xlfn.XLOOKUP(1,(DESC_PROV[LINEA]=$B$2)*(DESC_PROV[LISTA]=$C$2),DESC_PROV[DESCUENTO]),0))
   *(1+VLOOKUP($C$2,LISTAS[],2,FALSE))
   *(1+VLOOKUP($C$2,LISTAS[],3,FALSE))
)
/5,0)*5,0)</f>
        <v>226180</v>
      </c>
      <c r="O59" s="125" cm="1">
        <f t="array" ref="O59">IFERROR(
ROUND(
IF($A$2="COSTO",
   ((B59*(1+IFERROR(VLOOKUP($D$2,COLORES[],2,FALSE),0)))+F59)
   *(1-IFERROR(_xlfn.XLOOKUP(1,(DESC_PROV[LINEA]=$B$2)*(DESC_PROV[LISTA]=$C$2),DESC_PROV[DESCUENTO]),0)),
   ((B59*(1+IFERROR(VLOOKUP($D$2,COLORES[],2,FALSE),0)))+F59)
   *(1-IFERROR(_xlfn.XLOOKUP(1,(DESC_PROV[LINEA]=$B$2)*(DESC_PROV[LISTA]=$C$2),DESC_PROV[DESCUENTO]),0))
   *(1+VLOOKUP($C$2,LISTAS[],2,FALSE))
   *(1+VLOOKUP($C$2,LISTAS[],3,FALSE))
)
/5,0)*5,0)</f>
        <v>268860</v>
      </c>
      <c r="P59" s="125" cm="1">
        <f t="array" ref="P59">IFERROR(
ROUND(
IF($A$2="COSTO",
   ((B59*(1+IFERROR(VLOOKUP($D$2,COLORES[],2,FALSE),0)))+G59)
   *(1-IFERROR(_xlfn.XLOOKUP(1,(DESC_PROV[LINEA]=$B$2)*(DESC_PROV[LISTA]=$C$2),DESC_PROV[DESCUENTO]),0)),
   ((B59*(1+IFERROR(VLOOKUP($D$2,COLORES[],2,FALSE),0)))+G59)
   *(1-IFERROR(_xlfn.XLOOKUP(1,(DESC_PROV[LINEA]=$B$2)*(DESC_PROV[LISTA]=$C$2),DESC_PROV[DESCUENTO]),0))
   *(1+VLOOKUP($C$2,LISTAS[],2,FALSE))
   *(1+VLOOKUP($C$2,LISTAS[],3,FALSE))
)
/5,0)*5,0)</f>
        <v>220080</v>
      </c>
      <c r="Q59" s="125" cm="1">
        <f t="array" ref="Q59">IFERROR(
ROUND(
IF($A$2="COSTO",
   ((B59*(1+IFERROR(VLOOKUP($D$2,COLORES[],2,FALSE),0)))+H59)
   *(1-IFERROR(_xlfn.XLOOKUP(1,(DESC_PROV[LINEA]=$B$2)*(DESC_PROV[LISTA]=$C$2),DESC_PROV[DESCUENTO]),0)),
   ((B59*(1+IFERROR(VLOOKUP($D$2,COLORES[],2,FALSE),0)))+H59)
   *(1-IFERROR(_xlfn.XLOOKUP(1,(DESC_PROV[LINEA]=$B$2)*(DESC_PROV[LISTA]=$C$2),DESC_PROV[DESCUENTO]),0))
   *(1+VLOOKUP($C$2,LISTAS[],2,FALSE))
   *(1+VLOOKUP($C$2,LISTAS[],3,FALSE))
)
/5,0)*5,0)</f>
        <v>308315</v>
      </c>
      <c r="R59" s="126" cm="1">
        <f t="array" ref="R59">IFERROR(
ROUND(
IF($A$2="COSTO",
   ((B59*(1+IFERROR(VLOOKUP($D$2,COLORES[],2,FALSE),0)))+(D59+I59+D59))
   *(1-IFERROR(_xlfn.XLOOKUP(1,(DESC_PROV[LINEA]=$B$2)*(DESC_PROV[LISTA]=$C$2),DESC_PROV[DESCUENTO]),0)),
   ((B59*(1+IFERROR(VLOOKUP($D$2,COLORES[],2,FALSE),0)))+(D59+I59+D59))
   *(1-IFERROR(_xlfn.XLOOKUP(1,(DESC_PROV[LINEA]=$B$2)*(DESC_PROV[LISTA]=$C$2),DESC_PROV[DESCUENTO]),0))
   *(1+VLOOKUP($C$2,LISTAS[],2,FALSE))
   *(1+VLOOKUP($C$2,LISTAS[],3,FALSE))
)
/5,0)*5,0)</f>
        <v>316305</v>
      </c>
    </row>
    <row r="60" spans="1:18">
      <c r="A60" s="133" t="s">
        <v>194</v>
      </c>
      <c r="B60" s="125">
        <v>152905</v>
      </c>
      <c r="C60" s="125">
        <v>20544</v>
      </c>
      <c r="D60" s="125">
        <v>24851</v>
      </c>
      <c r="E60" s="125">
        <v>32806</v>
      </c>
      <c r="F60" s="125">
        <v>70871</v>
      </c>
      <c r="G60" s="125">
        <v>27367</v>
      </c>
      <c r="H60" s="125">
        <v>106059</v>
      </c>
      <c r="I60" s="125">
        <v>58463</v>
      </c>
      <c r="J60" s="124"/>
      <c r="K60" s="133" t="s">
        <v>194</v>
      </c>
      <c r="L60" s="125" cm="1">
        <f t="array" ref="L60">IFERROR(
ROUND(
IF($A$2="COSTO",
   ((B60*(1+IFERROR(VLOOKUP($D$2,COLORES[],2,FALSE),0)))+C60)
   *(1-IFERROR(_xlfn.XLOOKUP(1,(DESC_PROV[LINEA]=$B$2)*(DESC_PROV[LISTA]=$C$2),DESC_PROV[DESCUENTO]),0)),
   ((B60*(1+IFERROR(VLOOKUP($D$2,COLORES[],2,FALSE),0)))+C60)
   *(1-IFERROR(_xlfn.XLOOKUP(1,(DESC_PROV[LINEA]=$B$2)*(DESC_PROV[LISTA]=$C$2),DESC_PROV[DESCUENTO]),0))
   *(1+VLOOKUP($C$2,LISTAS[],2,FALSE))
   *(1+VLOOKUP($C$2,LISTAS[],3,FALSE))
)
/5,0)*5,0)</f>
        <v>222280</v>
      </c>
      <c r="M60" s="125" cm="1">
        <f t="array" ref="M60">IFERROR(
ROUND(
IF($A$2="COSTO",
   ((B60*(1+IFERROR(VLOOKUP($D$2,COLORES[],2,FALSE),0)))+D60)
   *(1-IFERROR(_xlfn.XLOOKUP(1,(DESC_PROV[LINEA]=$B$2)*(DESC_PROV[LISTA]=$C$2),DESC_PROV[DESCUENTO]),0)),
   ((B60*(1+IFERROR(VLOOKUP($D$2,COLORES[],2,FALSE),0)))+D60)
   *(1-IFERROR(_xlfn.XLOOKUP(1,(DESC_PROV[LINEA]=$B$2)*(DESC_PROV[LISTA]=$C$2),DESC_PROV[DESCUENTO]),0))
   *(1+VLOOKUP($C$2,LISTAS[],2,FALSE))
   *(1+VLOOKUP($C$2,LISTAS[],3,FALSE))
)
/5,0)*5,0)</f>
        <v>227800</v>
      </c>
      <c r="N60" s="125" cm="1">
        <f t="array" ref="N60">IFERROR(
ROUND(
IF($A$2="COSTO",
   ((B60*(1+IFERROR(VLOOKUP($D$2,COLORES[],2,FALSE),0)))+E60)
   *(1-IFERROR(_xlfn.XLOOKUP(1,(DESC_PROV[LINEA]=$B$2)*(DESC_PROV[LISTA]=$C$2),DESC_PROV[DESCUENTO]),0)),
   ((B60*(1+IFERROR(VLOOKUP($D$2,COLORES[],2,FALSE),0)))+E60)
   *(1-IFERROR(_xlfn.XLOOKUP(1,(DESC_PROV[LINEA]=$B$2)*(DESC_PROV[LISTA]=$C$2),DESC_PROV[DESCUENTO]),0))
   *(1+VLOOKUP($C$2,LISTAS[],2,FALSE))
   *(1+VLOOKUP($C$2,LISTAS[],3,FALSE))
)
/5,0)*5,0)</f>
        <v>237995</v>
      </c>
      <c r="O60" s="125" cm="1">
        <f t="array" ref="O60">IFERROR(
ROUND(
IF($A$2="COSTO",
   ((B60*(1+IFERROR(VLOOKUP($D$2,COLORES[],2,FALSE),0)))+F60)
   *(1-IFERROR(_xlfn.XLOOKUP(1,(DESC_PROV[LINEA]=$B$2)*(DESC_PROV[LISTA]=$C$2),DESC_PROV[DESCUENTO]),0)),
   ((B60*(1+IFERROR(VLOOKUP($D$2,COLORES[],2,FALSE),0)))+F60)
   *(1-IFERROR(_xlfn.XLOOKUP(1,(DESC_PROV[LINEA]=$B$2)*(DESC_PROV[LISTA]=$C$2),DESC_PROV[DESCUENTO]),0))
   *(1+VLOOKUP($C$2,LISTAS[],2,FALSE))
   *(1+VLOOKUP($C$2,LISTAS[],3,FALSE))
)
/5,0)*5,0)</f>
        <v>286780</v>
      </c>
      <c r="P60" s="125" cm="1">
        <f t="array" ref="P60">IFERROR(
ROUND(
IF($A$2="COSTO",
   ((B60*(1+IFERROR(VLOOKUP($D$2,COLORES[],2,FALSE),0)))+G60)
   *(1-IFERROR(_xlfn.XLOOKUP(1,(DESC_PROV[LINEA]=$B$2)*(DESC_PROV[LISTA]=$C$2),DESC_PROV[DESCUENTO]),0)),
   ((B60*(1+IFERROR(VLOOKUP($D$2,COLORES[],2,FALSE),0)))+G60)
   *(1-IFERROR(_xlfn.XLOOKUP(1,(DESC_PROV[LINEA]=$B$2)*(DESC_PROV[LISTA]=$C$2),DESC_PROV[DESCUENTO]),0))
   *(1+VLOOKUP($C$2,LISTAS[],2,FALSE))
   *(1+VLOOKUP($C$2,LISTAS[],3,FALSE))
)
/5,0)*5,0)</f>
        <v>231025</v>
      </c>
      <c r="Q60" s="125" cm="1">
        <f t="array" ref="Q60">IFERROR(
ROUND(
IF($A$2="COSTO",
   ((B60*(1+IFERROR(VLOOKUP($D$2,COLORES[],2,FALSE),0)))+H60)
   *(1-IFERROR(_xlfn.XLOOKUP(1,(DESC_PROV[LINEA]=$B$2)*(DESC_PROV[LISTA]=$C$2),DESC_PROV[DESCUENTO]),0)),
   ((B60*(1+IFERROR(VLOOKUP($D$2,COLORES[],2,FALSE),0)))+H60)
   *(1-IFERROR(_xlfn.XLOOKUP(1,(DESC_PROV[LINEA]=$B$2)*(DESC_PROV[LISTA]=$C$2),DESC_PROV[DESCUENTO]),0))
   *(1+VLOOKUP($C$2,LISTAS[],2,FALSE))
   *(1+VLOOKUP($C$2,LISTAS[],3,FALSE))
)
/5,0)*5,0)</f>
        <v>331875</v>
      </c>
      <c r="R60" s="126" cm="1">
        <f t="array" ref="R60">IFERROR(
ROUND(
IF($A$2="COSTO",
   ((B60*(1+IFERROR(VLOOKUP($D$2,COLORES[],2,FALSE),0)))+(D60+I60+D60))
   *(1-IFERROR(_xlfn.XLOOKUP(1,(DESC_PROV[LINEA]=$B$2)*(DESC_PROV[LISTA]=$C$2),DESC_PROV[DESCUENTO]),0)),
   ((B60*(1+IFERROR(VLOOKUP($D$2,COLORES[],2,FALSE),0)))+(D60+I60+D60))
   *(1-IFERROR(_xlfn.XLOOKUP(1,(DESC_PROV[LINEA]=$B$2)*(DESC_PROV[LISTA]=$C$2),DESC_PROV[DESCUENTO]),0))
   *(1+VLOOKUP($C$2,LISTAS[],2,FALSE))
   *(1+VLOOKUP($C$2,LISTAS[],3,FALSE))
)
/5,0)*5,0)</f>
        <v>334570</v>
      </c>
    </row>
    <row r="61" spans="1:18">
      <c r="A61" s="133" t="s">
        <v>58</v>
      </c>
      <c r="B61" s="125">
        <v>158046</v>
      </c>
      <c r="C61" s="125">
        <v>23114</v>
      </c>
      <c r="D61" s="125">
        <v>27955</v>
      </c>
      <c r="E61" s="125">
        <v>36906</v>
      </c>
      <c r="F61" s="125">
        <v>79731</v>
      </c>
      <c r="G61" s="125">
        <v>30788</v>
      </c>
      <c r="H61" s="125">
        <v>119319</v>
      </c>
      <c r="I61" s="125">
        <v>61386</v>
      </c>
      <c r="J61" s="124"/>
      <c r="K61" s="133" t="s">
        <v>58</v>
      </c>
      <c r="L61" s="125" cm="1">
        <f t="array" ref="L61">IFERROR(
ROUND(
IF($A$2="COSTO",
   ((B61*(1+IFERROR(VLOOKUP($D$2,COLORES[],2,FALSE),0)))+C61)
   *(1-IFERROR(_xlfn.XLOOKUP(1,(DESC_PROV[LINEA]=$B$2)*(DESC_PROV[LISTA]=$C$2),DESC_PROV[DESCUENTO]),0)),
   ((B61*(1+IFERROR(VLOOKUP($D$2,COLORES[],2,FALSE),0)))+C61)
   *(1-IFERROR(_xlfn.XLOOKUP(1,(DESC_PROV[LINEA]=$B$2)*(DESC_PROV[LISTA]=$C$2),DESC_PROV[DESCUENTO]),0))
   *(1+VLOOKUP($C$2,LISTAS[],2,FALSE))
   *(1+VLOOKUP($C$2,LISTAS[],3,FALSE))
)
/5,0)*5,0)</f>
        <v>232165</v>
      </c>
      <c r="M61" s="125" cm="1">
        <f t="array" ref="M61">IFERROR(
ROUND(
IF($A$2="COSTO",
   ((B61*(1+IFERROR(VLOOKUP($D$2,COLORES[],2,FALSE),0)))+D61)
   *(1-IFERROR(_xlfn.XLOOKUP(1,(DESC_PROV[LINEA]=$B$2)*(DESC_PROV[LISTA]=$C$2),DESC_PROV[DESCUENTO]),0)),
   ((B61*(1+IFERROR(VLOOKUP($D$2,COLORES[],2,FALSE),0)))+D61)
   *(1-IFERROR(_xlfn.XLOOKUP(1,(DESC_PROV[LINEA]=$B$2)*(DESC_PROV[LISTA]=$C$2),DESC_PROV[DESCUENTO]),0))
   *(1+VLOOKUP($C$2,LISTAS[],2,FALSE))
   *(1+VLOOKUP($C$2,LISTAS[],3,FALSE))
)
/5,0)*5,0)</f>
        <v>238370</v>
      </c>
      <c r="N61" s="125" cm="1">
        <f t="array" ref="N61">IFERROR(
ROUND(
IF($A$2="COSTO",
   ((B61*(1+IFERROR(VLOOKUP($D$2,COLORES[],2,FALSE),0)))+E61)
   *(1-IFERROR(_xlfn.XLOOKUP(1,(DESC_PROV[LINEA]=$B$2)*(DESC_PROV[LISTA]=$C$2),DESC_PROV[DESCUENTO]),0)),
   ((B61*(1+IFERROR(VLOOKUP($D$2,COLORES[],2,FALSE),0)))+E61)
   *(1-IFERROR(_xlfn.XLOOKUP(1,(DESC_PROV[LINEA]=$B$2)*(DESC_PROV[LISTA]=$C$2),DESC_PROV[DESCUENTO]),0))
   *(1+VLOOKUP($C$2,LISTAS[],2,FALSE))
   *(1+VLOOKUP($C$2,LISTAS[],3,FALSE))
)
/5,0)*5,0)</f>
        <v>249840</v>
      </c>
      <c r="O61" s="125" cm="1">
        <f t="array" ref="O61">IFERROR(
ROUND(
IF($A$2="COSTO",
   ((B61*(1+IFERROR(VLOOKUP($D$2,COLORES[],2,FALSE),0)))+F61)
   *(1-IFERROR(_xlfn.XLOOKUP(1,(DESC_PROV[LINEA]=$B$2)*(DESC_PROV[LISTA]=$C$2),DESC_PROV[DESCUENTO]),0)),
   ((B61*(1+IFERROR(VLOOKUP($D$2,COLORES[],2,FALSE),0)))+F61)
   *(1-IFERROR(_xlfn.XLOOKUP(1,(DESC_PROV[LINEA]=$B$2)*(DESC_PROV[LISTA]=$C$2),DESC_PROV[DESCUENTO]),0))
   *(1+VLOOKUP($C$2,LISTAS[],2,FALSE))
   *(1+VLOOKUP($C$2,LISTAS[],3,FALSE))
)
/5,0)*5,0)</f>
        <v>304720</v>
      </c>
      <c r="P61" s="125" cm="1">
        <f t="array" ref="P61">IFERROR(
ROUND(
IF($A$2="COSTO",
   ((B61*(1+IFERROR(VLOOKUP($D$2,COLORES[],2,FALSE),0)))+G61)
   *(1-IFERROR(_xlfn.XLOOKUP(1,(DESC_PROV[LINEA]=$B$2)*(DESC_PROV[LISTA]=$C$2),DESC_PROV[DESCUENTO]),0)),
   ((B61*(1+IFERROR(VLOOKUP($D$2,COLORES[],2,FALSE),0)))+G61)
   *(1-IFERROR(_xlfn.XLOOKUP(1,(DESC_PROV[LINEA]=$B$2)*(DESC_PROV[LISTA]=$C$2),DESC_PROV[DESCUENTO]),0))
   *(1+VLOOKUP($C$2,LISTAS[],2,FALSE))
   *(1+VLOOKUP($C$2,LISTAS[],3,FALSE))
)
/5,0)*5,0)</f>
        <v>242000</v>
      </c>
      <c r="Q61" s="125" cm="1">
        <f t="array" ref="Q61">IFERROR(
ROUND(
IF($A$2="COSTO",
   ((B61*(1+IFERROR(VLOOKUP($D$2,COLORES[],2,FALSE),0)))+H61)
   *(1-IFERROR(_xlfn.XLOOKUP(1,(DESC_PROV[LINEA]=$B$2)*(DESC_PROV[LISTA]=$C$2),DESC_PROV[DESCUENTO]),0)),
   ((B61*(1+IFERROR(VLOOKUP($D$2,COLORES[],2,FALSE),0)))+H61)
   *(1-IFERROR(_xlfn.XLOOKUP(1,(DESC_PROV[LINEA]=$B$2)*(DESC_PROV[LISTA]=$C$2),DESC_PROV[DESCUENTO]),0))
   *(1+VLOOKUP($C$2,LISTAS[],2,FALSE))
   *(1+VLOOKUP($C$2,LISTAS[],3,FALSE))
)
/5,0)*5,0)</f>
        <v>355455</v>
      </c>
      <c r="R61" s="126" cm="1">
        <f t="array" ref="R61">IFERROR(
ROUND(
IF($A$2="COSTO",
   ((B61*(1+IFERROR(VLOOKUP($D$2,COLORES[],2,FALSE),0)))+(D61+I61+D61))
   *(1-IFERROR(_xlfn.XLOOKUP(1,(DESC_PROV[LINEA]=$B$2)*(DESC_PROV[LISTA]=$C$2),DESC_PROV[DESCUENTO]),0)),
   ((B61*(1+IFERROR(VLOOKUP($D$2,COLORES[],2,FALSE),0)))+(D61+I61+D61))
   *(1-IFERROR(_xlfn.XLOOKUP(1,(DESC_PROV[LINEA]=$B$2)*(DESC_PROV[LISTA]=$C$2),DESC_PROV[DESCUENTO]),0))
   *(1+VLOOKUP($C$2,LISTAS[],2,FALSE))
   *(1+VLOOKUP($C$2,LISTAS[],3,FALSE))
)
/5,0)*5,0)</f>
        <v>352860</v>
      </c>
    </row>
    <row r="62" spans="1:18">
      <c r="A62" s="133" t="s">
        <v>142</v>
      </c>
      <c r="B62" s="125">
        <v>131546</v>
      </c>
      <c r="C62" s="125">
        <v>8471</v>
      </c>
      <c r="D62" s="125">
        <v>10254</v>
      </c>
      <c r="E62" s="125">
        <v>13539</v>
      </c>
      <c r="F62" s="125">
        <v>29232</v>
      </c>
      <c r="G62" s="125">
        <v>11285</v>
      </c>
      <c r="H62" s="125">
        <v>43733</v>
      </c>
      <c r="I62" s="125">
        <v>46770</v>
      </c>
      <c r="J62" s="124"/>
      <c r="K62" s="133" t="s">
        <v>142</v>
      </c>
      <c r="L62" s="125" cm="1">
        <f t="array" ref="L62">IFERROR(
ROUND(
IF($A$2="COSTO",
   ((B62*(1+IFERROR(VLOOKUP($D$2,COLORES[],2,FALSE),0)))+C62)
   *(1-IFERROR(_xlfn.XLOOKUP(1,(DESC_PROV[LINEA]=$B$2)*(DESC_PROV[LISTA]=$C$2),DESC_PROV[DESCUENTO]),0)),
   ((B62*(1+IFERROR(VLOOKUP($D$2,COLORES[],2,FALSE),0)))+C62)
   *(1-IFERROR(_xlfn.XLOOKUP(1,(DESC_PROV[LINEA]=$B$2)*(DESC_PROV[LISTA]=$C$2),DESC_PROV[DESCUENTO]),0))
   *(1+VLOOKUP($C$2,LISTAS[],2,FALSE))
   *(1+VLOOKUP($C$2,LISTAS[],3,FALSE))
)
/5,0)*5,0)</f>
        <v>179435</v>
      </c>
      <c r="M62" s="125" cm="1">
        <f t="array" ref="M62">IFERROR(
ROUND(
IF($A$2="COSTO",
   ((B62*(1+IFERROR(VLOOKUP($D$2,COLORES[],2,FALSE),0)))+D62)
   *(1-IFERROR(_xlfn.XLOOKUP(1,(DESC_PROV[LINEA]=$B$2)*(DESC_PROV[LISTA]=$C$2),DESC_PROV[DESCUENTO]),0)),
   ((B62*(1+IFERROR(VLOOKUP($D$2,COLORES[],2,FALSE),0)))+D62)
   *(1-IFERROR(_xlfn.XLOOKUP(1,(DESC_PROV[LINEA]=$B$2)*(DESC_PROV[LISTA]=$C$2),DESC_PROV[DESCUENTO]),0))
   *(1+VLOOKUP($C$2,LISTAS[],2,FALSE))
   *(1+VLOOKUP($C$2,LISTAS[],3,FALSE))
)
/5,0)*5,0)</f>
        <v>181720</v>
      </c>
      <c r="N62" s="125" cm="1">
        <f t="array" ref="N62">IFERROR(
ROUND(
IF($A$2="COSTO",
   ((B62*(1+IFERROR(VLOOKUP($D$2,COLORES[],2,FALSE),0)))+E62)
   *(1-IFERROR(_xlfn.XLOOKUP(1,(DESC_PROV[LINEA]=$B$2)*(DESC_PROV[LISTA]=$C$2),DESC_PROV[DESCUENTO]),0)),
   ((B62*(1+IFERROR(VLOOKUP($D$2,COLORES[],2,FALSE),0)))+E62)
   *(1-IFERROR(_xlfn.XLOOKUP(1,(DESC_PROV[LINEA]=$B$2)*(DESC_PROV[LISTA]=$C$2),DESC_PROV[DESCUENTO]),0))
   *(1+VLOOKUP($C$2,LISTAS[],2,FALSE))
   *(1+VLOOKUP($C$2,LISTAS[],3,FALSE))
)
/5,0)*5,0)</f>
        <v>185930</v>
      </c>
      <c r="O62" s="125" cm="1">
        <f t="array" ref="O62">IFERROR(
ROUND(
IF($A$2="COSTO",
   ((B62*(1+IFERROR(VLOOKUP($D$2,COLORES[],2,FALSE),0)))+F62)
   *(1-IFERROR(_xlfn.XLOOKUP(1,(DESC_PROV[LINEA]=$B$2)*(DESC_PROV[LISTA]=$C$2),DESC_PROV[DESCUENTO]),0)),
   ((B62*(1+IFERROR(VLOOKUP($D$2,COLORES[],2,FALSE),0)))+F62)
   *(1-IFERROR(_xlfn.XLOOKUP(1,(DESC_PROV[LINEA]=$B$2)*(DESC_PROV[LISTA]=$C$2),DESC_PROV[DESCUENTO]),0))
   *(1+VLOOKUP($C$2,LISTAS[],2,FALSE))
   *(1+VLOOKUP($C$2,LISTAS[],3,FALSE))
)
/5,0)*5,0)</f>
        <v>206045</v>
      </c>
      <c r="P62" s="125" cm="1">
        <f t="array" ref="P62">IFERROR(
ROUND(
IF($A$2="COSTO",
   ((B62*(1+IFERROR(VLOOKUP($D$2,COLORES[],2,FALSE),0)))+G62)
   *(1-IFERROR(_xlfn.XLOOKUP(1,(DESC_PROV[LINEA]=$B$2)*(DESC_PROV[LISTA]=$C$2),DESC_PROV[DESCUENTO]),0)),
   ((B62*(1+IFERROR(VLOOKUP($D$2,COLORES[],2,FALSE),0)))+G62)
   *(1-IFERROR(_xlfn.XLOOKUP(1,(DESC_PROV[LINEA]=$B$2)*(DESC_PROV[LISTA]=$C$2),DESC_PROV[DESCUENTO]),0))
   *(1+VLOOKUP($C$2,LISTAS[],2,FALSE))
   *(1+VLOOKUP($C$2,LISTAS[],3,FALSE))
)
/5,0)*5,0)</f>
        <v>183045</v>
      </c>
      <c r="Q62" s="125" cm="1">
        <f t="array" ref="Q62">IFERROR(
ROUND(
IF($A$2="COSTO",
   ((B62*(1+IFERROR(VLOOKUP($D$2,COLORES[],2,FALSE),0)))+H62)
   *(1-IFERROR(_xlfn.XLOOKUP(1,(DESC_PROV[LINEA]=$B$2)*(DESC_PROV[LISTA]=$C$2),DESC_PROV[DESCUENTO]),0)),
   ((B62*(1+IFERROR(VLOOKUP($D$2,COLORES[],2,FALSE),0)))+H62)
   *(1-IFERROR(_xlfn.XLOOKUP(1,(DESC_PROV[LINEA]=$B$2)*(DESC_PROV[LISTA]=$C$2),DESC_PROV[DESCUENTO]),0))
   *(1+VLOOKUP($C$2,LISTAS[],2,FALSE))
   *(1+VLOOKUP($C$2,LISTAS[],3,FALSE))
)
/5,0)*5,0)</f>
        <v>224625</v>
      </c>
      <c r="R62" s="126" cm="1">
        <f t="array" ref="R62">IFERROR(
ROUND(
IF($A$2="COSTO",
   ((B62*(1+IFERROR(VLOOKUP($D$2,COLORES[],2,FALSE),0)))+(D62+I62+D62))
   *(1-IFERROR(_xlfn.XLOOKUP(1,(DESC_PROV[LINEA]=$B$2)*(DESC_PROV[LISTA]=$C$2),DESC_PROV[DESCUENTO]),0)),
   ((B62*(1+IFERROR(VLOOKUP($D$2,COLORES[],2,FALSE),0)))+(D62+I62+D62))
   *(1-IFERROR(_xlfn.XLOOKUP(1,(DESC_PROV[LINEA]=$B$2)*(DESC_PROV[LISTA]=$C$2),DESC_PROV[DESCUENTO]),0))
   *(1+VLOOKUP($C$2,LISTAS[],2,FALSE))
   *(1+VLOOKUP($C$2,LISTAS[],3,FALSE))
)
/5,0)*5,0)</f>
        <v>254800</v>
      </c>
    </row>
    <row r="63" spans="1:18">
      <c r="A63" s="133" t="s">
        <v>143</v>
      </c>
      <c r="B63" s="125">
        <v>136816</v>
      </c>
      <c r="C63" s="125">
        <v>11294</v>
      </c>
      <c r="D63" s="125">
        <v>13675</v>
      </c>
      <c r="E63" s="125">
        <v>18055</v>
      </c>
      <c r="F63" s="125">
        <v>38978</v>
      </c>
      <c r="G63" s="125">
        <v>15050</v>
      </c>
      <c r="H63" s="125">
        <v>58318</v>
      </c>
      <c r="I63" s="125">
        <v>49694</v>
      </c>
      <c r="J63" s="124"/>
      <c r="K63" s="133" t="s">
        <v>143</v>
      </c>
      <c r="L63" s="125" cm="1">
        <f t="array" ref="L63">IFERROR(
ROUND(
IF($A$2="COSTO",
   ((B63*(1+IFERROR(VLOOKUP($D$2,COLORES[],2,FALSE),0)))+C63)
   *(1-IFERROR(_xlfn.XLOOKUP(1,(DESC_PROV[LINEA]=$B$2)*(DESC_PROV[LISTA]=$C$2),DESC_PROV[DESCUENTO]),0)),
   ((B63*(1+IFERROR(VLOOKUP($D$2,COLORES[],2,FALSE),0)))+C63)
   *(1-IFERROR(_xlfn.XLOOKUP(1,(DESC_PROV[LINEA]=$B$2)*(DESC_PROV[LISTA]=$C$2),DESC_PROV[DESCUENTO]),0))
   *(1+VLOOKUP($C$2,LISTAS[],2,FALSE))
   *(1+VLOOKUP($C$2,LISTAS[],3,FALSE))
)
/5,0)*5,0)</f>
        <v>189810</v>
      </c>
      <c r="M63" s="125" cm="1">
        <f t="array" ref="M63">IFERROR(
ROUND(
IF($A$2="COSTO",
   ((B63*(1+IFERROR(VLOOKUP($D$2,COLORES[],2,FALSE),0)))+D63)
   *(1-IFERROR(_xlfn.XLOOKUP(1,(DESC_PROV[LINEA]=$B$2)*(DESC_PROV[LISTA]=$C$2),DESC_PROV[DESCUENTO]),0)),
   ((B63*(1+IFERROR(VLOOKUP($D$2,COLORES[],2,FALSE),0)))+D63)
   *(1-IFERROR(_xlfn.XLOOKUP(1,(DESC_PROV[LINEA]=$B$2)*(DESC_PROV[LISTA]=$C$2),DESC_PROV[DESCUENTO]),0))
   *(1+VLOOKUP($C$2,LISTAS[],2,FALSE))
   *(1+VLOOKUP($C$2,LISTAS[],3,FALSE))
)
/5,0)*5,0)</f>
        <v>192860</v>
      </c>
      <c r="N63" s="125" cm="1">
        <f t="array" ref="N63">IFERROR(
ROUND(
IF($A$2="COSTO",
   ((B63*(1+IFERROR(VLOOKUP($D$2,COLORES[],2,FALSE),0)))+E63)
   *(1-IFERROR(_xlfn.XLOOKUP(1,(DESC_PROV[LINEA]=$B$2)*(DESC_PROV[LISTA]=$C$2),DESC_PROV[DESCUENTO]),0)),
   ((B63*(1+IFERROR(VLOOKUP($D$2,COLORES[],2,FALSE),0)))+E63)
   *(1-IFERROR(_xlfn.XLOOKUP(1,(DESC_PROV[LINEA]=$B$2)*(DESC_PROV[LISTA]=$C$2),DESC_PROV[DESCUENTO]),0))
   *(1+VLOOKUP($C$2,LISTAS[],2,FALSE))
   *(1+VLOOKUP($C$2,LISTAS[],3,FALSE))
)
/5,0)*5,0)</f>
        <v>198475</v>
      </c>
      <c r="O63" s="125" cm="1">
        <f t="array" ref="O63">IFERROR(
ROUND(
IF($A$2="COSTO",
   ((B63*(1+IFERROR(VLOOKUP($D$2,COLORES[],2,FALSE),0)))+F63)
   *(1-IFERROR(_xlfn.XLOOKUP(1,(DESC_PROV[LINEA]=$B$2)*(DESC_PROV[LISTA]=$C$2),DESC_PROV[DESCUENTO]),0)),
   ((B63*(1+IFERROR(VLOOKUP($D$2,COLORES[],2,FALSE),0)))+F63)
   *(1-IFERROR(_xlfn.XLOOKUP(1,(DESC_PROV[LINEA]=$B$2)*(DESC_PROV[LISTA]=$C$2),DESC_PROV[DESCUENTO]),0))
   *(1+VLOOKUP($C$2,LISTAS[],2,FALSE))
   *(1+VLOOKUP($C$2,LISTAS[],3,FALSE))
)
/5,0)*5,0)</f>
        <v>225285</v>
      </c>
      <c r="P63" s="125" cm="1">
        <f t="array" ref="P63">IFERROR(
ROUND(
IF($A$2="COSTO",
   ((B63*(1+IFERROR(VLOOKUP($D$2,COLORES[],2,FALSE),0)))+G63)
   *(1-IFERROR(_xlfn.XLOOKUP(1,(DESC_PROV[LINEA]=$B$2)*(DESC_PROV[LISTA]=$C$2),DESC_PROV[DESCUENTO]),0)),
   ((B63*(1+IFERROR(VLOOKUP($D$2,COLORES[],2,FALSE),0)))+G63)
   *(1-IFERROR(_xlfn.XLOOKUP(1,(DESC_PROV[LINEA]=$B$2)*(DESC_PROV[LISTA]=$C$2),DESC_PROV[DESCUENTO]),0))
   *(1+VLOOKUP($C$2,LISTAS[],2,FALSE))
   *(1+VLOOKUP($C$2,LISTAS[],3,FALSE))
)
/5,0)*5,0)</f>
        <v>194620</v>
      </c>
      <c r="Q63" s="125" cm="1">
        <f t="array" ref="Q63">IFERROR(
ROUND(
IF($A$2="COSTO",
   ((B63*(1+IFERROR(VLOOKUP($D$2,COLORES[],2,FALSE),0)))+H63)
   *(1-IFERROR(_xlfn.XLOOKUP(1,(DESC_PROV[LINEA]=$B$2)*(DESC_PROV[LISTA]=$C$2),DESC_PROV[DESCUENTO]),0)),
   ((B63*(1+IFERROR(VLOOKUP($D$2,COLORES[],2,FALSE),0)))+H63)
   *(1-IFERROR(_xlfn.XLOOKUP(1,(DESC_PROV[LINEA]=$B$2)*(DESC_PROV[LISTA]=$C$2),DESC_PROV[DESCUENTO]),0))
   *(1+VLOOKUP($C$2,LISTAS[],2,FALSE))
   *(1+VLOOKUP($C$2,LISTAS[],3,FALSE))
)
/5,0)*5,0)</f>
        <v>250070</v>
      </c>
      <c r="R63" s="126" cm="1">
        <f t="array" ref="R63">IFERROR(
ROUND(
IF($A$2="COSTO",
   ((B63*(1+IFERROR(VLOOKUP($D$2,COLORES[],2,FALSE),0)))+(D63+I63+D63))
   *(1-IFERROR(_xlfn.XLOOKUP(1,(DESC_PROV[LINEA]=$B$2)*(DESC_PROV[LISTA]=$C$2),DESC_PROV[DESCUENTO]),0)),
   ((B63*(1+IFERROR(VLOOKUP($D$2,COLORES[],2,FALSE),0)))+(D63+I63+D63))
   *(1-IFERROR(_xlfn.XLOOKUP(1,(DESC_PROV[LINEA]=$B$2)*(DESC_PROV[LISTA]=$C$2),DESC_PROV[DESCUENTO]),0))
   *(1+VLOOKUP($C$2,LISTAS[],2,FALSE))
   *(1+VLOOKUP($C$2,LISTAS[],3,FALSE))
)
/5,0)*5,0)</f>
        <v>274070</v>
      </c>
    </row>
    <row r="64" spans="1:18">
      <c r="A64" s="133" t="s">
        <v>144</v>
      </c>
      <c r="B64" s="125">
        <v>142807</v>
      </c>
      <c r="C64" s="125">
        <v>14118</v>
      </c>
      <c r="D64" s="125">
        <v>17095</v>
      </c>
      <c r="E64" s="125">
        <v>22571</v>
      </c>
      <c r="F64" s="125">
        <v>48725</v>
      </c>
      <c r="G64" s="125">
        <v>18815</v>
      </c>
      <c r="H64" s="125">
        <v>72903</v>
      </c>
      <c r="I64" s="125">
        <v>52617</v>
      </c>
      <c r="J64" s="124"/>
      <c r="K64" s="133" t="s">
        <v>144</v>
      </c>
      <c r="L64" s="125" cm="1">
        <f t="array" ref="L64">IFERROR(
ROUND(
IF($A$2="COSTO",
   ((B64*(1+IFERROR(VLOOKUP($D$2,COLORES[],2,FALSE),0)))+C64)
   *(1-IFERROR(_xlfn.XLOOKUP(1,(DESC_PROV[LINEA]=$B$2)*(DESC_PROV[LISTA]=$C$2),DESC_PROV[DESCUENTO]),0)),
   ((B64*(1+IFERROR(VLOOKUP($D$2,COLORES[],2,FALSE),0)))+C64)
   *(1-IFERROR(_xlfn.XLOOKUP(1,(DESC_PROV[LINEA]=$B$2)*(DESC_PROV[LISTA]=$C$2),DESC_PROV[DESCUENTO]),0))
   *(1+VLOOKUP($C$2,LISTAS[],2,FALSE))
   *(1+VLOOKUP($C$2,LISTAS[],3,FALSE))
)
/5,0)*5,0)</f>
        <v>201105</v>
      </c>
      <c r="M64" s="125" cm="1">
        <f t="array" ref="M64">IFERROR(
ROUND(
IF($A$2="COSTO",
   ((B64*(1+IFERROR(VLOOKUP($D$2,COLORES[],2,FALSE),0)))+D64)
   *(1-IFERROR(_xlfn.XLOOKUP(1,(DESC_PROV[LINEA]=$B$2)*(DESC_PROV[LISTA]=$C$2),DESC_PROV[DESCUENTO]),0)),
   ((B64*(1+IFERROR(VLOOKUP($D$2,COLORES[],2,FALSE),0)))+D64)
   *(1-IFERROR(_xlfn.XLOOKUP(1,(DESC_PROV[LINEA]=$B$2)*(DESC_PROV[LISTA]=$C$2),DESC_PROV[DESCUENTO]),0))
   *(1+VLOOKUP($C$2,LISTAS[],2,FALSE))
   *(1+VLOOKUP($C$2,LISTAS[],3,FALSE))
)
/5,0)*5,0)</f>
        <v>204920</v>
      </c>
      <c r="N64" s="125" cm="1">
        <f t="array" ref="N64">IFERROR(
ROUND(
IF($A$2="COSTO",
   ((B64*(1+IFERROR(VLOOKUP($D$2,COLORES[],2,FALSE),0)))+E64)
   *(1-IFERROR(_xlfn.XLOOKUP(1,(DESC_PROV[LINEA]=$B$2)*(DESC_PROV[LISTA]=$C$2),DESC_PROV[DESCUENTO]),0)),
   ((B64*(1+IFERROR(VLOOKUP($D$2,COLORES[],2,FALSE),0)))+E64)
   *(1-IFERROR(_xlfn.XLOOKUP(1,(DESC_PROV[LINEA]=$B$2)*(DESC_PROV[LISTA]=$C$2),DESC_PROV[DESCUENTO]),0))
   *(1+VLOOKUP($C$2,LISTAS[],2,FALSE))
   *(1+VLOOKUP($C$2,LISTAS[],3,FALSE))
)
/5,0)*5,0)</f>
        <v>211940</v>
      </c>
      <c r="O64" s="125" cm="1">
        <f t="array" ref="O64">IFERROR(
ROUND(
IF($A$2="COSTO",
   ((B64*(1+IFERROR(VLOOKUP($D$2,COLORES[],2,FALSE),0)))+F64)
   *(1-IFERROR(_xlfn.XLOOKUP(1,(DESC_PROV[LINEA]=$B$2)*(DESC_PROV[LISTA]=$C$2),DESC_PROV[DESCUENTO]),0)),
   ((B64*(1+IFERROR(VLOOKUP($D$2,COLORES[],2,FALSE),0)))+F64)
   *(1-IFERROR(_xlfn.XLOOKUP(1,(DESC_PROV[LINEA]=$B$2)*(DESC_PROV[LISTA]=$C$2),DESC_PROV[DESCUENTO]),0))
   *(1+VLOOKUP($C$2,LISTAS[],2,FALSE))
   *(1+VLOOKUP($C$2,LISTAS[],3,FALSE))
)
/5,0)*5,0)</f>
        <v>245455</v>
      </c>
      <c r="P64" s="125" cm="1">
        <f t="array" ref="P64">IFERROR(
ROUND(
IF($A$2="COSTO",
   ((B64*(1+IFERROR(VLOOKUP($D$2,COLORES[],2,FALSE),0)))+G64)
   *(1-IFERROR(_xlfn.XLOOKUP(1,(DESC_PROV[LINEA]=$B$2)*(DESC_PROV[LISTA]=$C$2),DESC_PROV[DESCUENTO]),0)),
   ((B64*(1+IFERROR(VLOOKUP($D$2,COLORES[],2,FALSE),0)))+G64)
   *(1-IFERROR(_xlfn.XLOOKUP(1,(DESC_PROV[LINEA]=$B$2)*(DESC_PROV[LISTA]=$C$2),DESC_PROV[DESCUENTO]),0))
   *(1+VLOOKUP($C$2,LISTAS[],2,FALSE))
   *(1+VLOOKUP($C$2,LISTAS[],3,FALSE))
)
/5,0)*5,0)</f>
        <v>207125</v>
      </c>
      <c r="Q64" s="125" cm="1">
        <f t="array" ref="Q64">IFERROR(
ROUND(
IF($A$2="COSTO",
   ((B64*(1+IFERROR(VLOOKUP($D$2,COLORES[],2,FALSE),0)))+H64)
   *(1-IFERROR(_xlfn.XLOOKUP(1,(DESC_PROV[LINEA]=$B$2)*(DESC_PROV[LISTA]=$C$2),DESC_PROV[DESCUENTO]),0)),
   ((B64*(1+IFERROR(VLOOKUP($D$2,COLORES[],2,FALSE),0)))+H64)
   *(1-IFERROR(_xlfn.XLOOKUP(1,(DESC_PROV[LINEA]=$B$2)*(DESC_PROV[LISTA]=$C$2),DESC_PROV[DESCUENTO]),0))
   *(1+VLOOKUP($C$2,LISTAS[],2,FALSE))
   *(1+VLOOKUP($C$2,LISTAS[],3,FALSE))
)
/5,0)*5,0)</f>
        <v>276440</v>
      </c>
      <c r="R64" s="126" cm="1">
        <f t="array" ref="R64">IFERROR(
ROUND(
IF($A$2="COSTO",
   ((B64*(1+IFERROR(VLOOKUP($D$2,COLORES[],2,FALSE),0)))+(D64+I64+D64))
   *(1-IFERROR(_xlfn.XLOOKUP(1,(DESC_PROV[LINEA]=$B$2)*(DESC_PROV[LISTA]=$C$2),DESC_PROV[DESCUENTO]),0)),
   ((B64*(1+IFERROR(VLOOKUP($D$2,COLORES[],2,FALSE),0)))+(D64+I64+D64))
   *(1-IFERROR(_xlfn.XLOOKUP(1,(DESC_PROV[LINEA]=$B$2)*(DESC_PROV[LISTA]=$C$2),DESC_PROV[DESCUENTO]),0))
   *(1+VLOOKUP($C$2,LISTAS[],2,FALSE))
   *(1+VLOOKUP($C$2,LISTAS[],3,FALSE))
)
/5,0)*5,0)</f>
        <v>294260</v>
      </c>
    </row>
    <row r="65" spans="1:18">
      <c r="A65" s="133" t="s">
        <v>145</v>
      </c>
      <c r="B65" s="125">
        <v>148838</v>
      </c>
      <c r="C65" s="125">
        <v>16942</v>
      </c>
      <c r="D65" s="125">
        <v>20516</v>
      </c>
      <c r="E65" s="125">
        <v>27087</v>
      </c>
      <c r="F65" s="125">
        <v>58472</v>
      </c>
      <c r="G65" s="125">
        <v>22580</v>
      </c>
      <c r="H65" s="125">
        <v>87488</v>
      </c>
      <c r="I65" s="125">
        <v>55540</v>
      </c>
      <c r="J65" s="124"/>
      <c r="K65" s="133" t="s">
        <v>145</v>
      </c>
      <c r="L65" s="125" cm="1">
        <f t="array" ref="L65">IFERROR(
ROUND(
IF($A$2="COSTO",
   ((B65*(1+IFERROR(VLOOKUP($D$2,COLORES[],2,FALSE),0)))+C65)
   *(1-IFERROR(_xlfn.XLOOKUP(1,(DESC_PROV[LINEA]=$B$2)*(DESC_PROV[LISTA]=$C$2),DESC_PROV[DESCUENTO]),0)),
   ((B65*(1+IFERROR(VLOOKUP($D$2,COLORES[],2,FALSE),0)))+C65)
   *(1-IFERROR(_xlfn.XLOOKUP(1,(DESC_PROV[LINEA]=$B$2)*(DESC_PROV[LISTA]=$C$2),DESC_PROV[DESCUENTO]),0))
   *(1+VLOOKUP($C$2,LISTAS[],2,FALSE))
   *(1+VLOOKUP($C$2,LISTAS[],3,FALSE))
)
/5,0)*5,0)</f>
        <v>212455</v>
      </c>
      <c r="M65" s="125" cm="1">
        <f t="array" ref="M65">IFERROR(
ROUND(
IF($A$2="COSTO",
   ((B65*(1+IFERROR(VLOOKUP($D$2,COLORES[],2,FALSE),0)))+D65)
   *(1-IFERROR(_xlfn.XLOOKUP(1,(DESC_PROV[LINEA]=$B$2)*(DESC_PROV[LISTA]=$C$2),DESC_PROV[DESCUENTO]),0)),
   ((B65*(1+IFERROR(VLOOKUP($D$2,COLORES[],2,FALSE),0)))+D65)
   *(1-IFERROR(_xlfn.XLOOKUP(1,(DESC_PROV[LINEA]=$B$2)*(DESC_PROV[LISTA]=$C$2),DESC_PROV[DESCUENTO]),0))
   *(1+VLOOKUP($C$2,LISTAS[],2,FALSE))
   *(1+VLOOKUP($C$2,LISTAS[],3,FALSE))
)
/5,0)*5,0)</f>
        <v>217035</v>
      </c>
      <c r="N65" s="125" cm="1">
        <f t="array" ref="N65">IFERROR(
ROUND(
IF($A$2="COSTO",
   ((B65*(1+IFERROR(VLOOKUP($D$2,COLORES[],2,FALSE),0)))+E65)
   *(1-IFERROR(_xlfn.XLOOKUP(1,(DESC_PROV[LINEA]=$B$2)*(DESC_PROV[LISTA]=$C$2),DESC_PROV[DESCUENTO]),0)),
   ((B65*(1+IFERROR(VLOOKUP($D$2,COLORES[],2,FALSE),0)))+E65)
   *(1-IFERROR(_xlfn.XLOOKUP(1,(DESC_PROV[LINEA]=$B$2)*(DESC_PROV[LISTA]=$C$2),DESC_PROV[DESCUENTO]),0))
   *(1+VLOOKUP($C$2,LISTAS[],2,FALSE))
   *(1+VLOOKUP($C$2,LISTAS[],3,FALSE))
)
/5,0)*5,0)</f>
        <v>225455</v>
      </c>
      <c r="O65" s="125" cm="1">
        <f t="array" ref="O65">IFERROR(
ROUND(
IF($A$2="COSTO",
   ((B65*(1+IFERROR(VLOOKUP($D$2,COLORES[],2,FALSE),0)))+F65)
   *(1-IFERROR(_xlfn.XLOOKUP(1,(DESC_PROV[LINEA]=$B$2)*(DESC_PROV[LISTA]=$C$2),DESC_PROV[DESCUENTO]),0)),
   ((B65*(1+IFERROR(VLOOKUP($D$2,COLORES[],2,FALSE),0)))+F65)
   *(1-IFERROR(_xlfn.XLOOKUP(1,(DESC_PROV[LINEA]=$B$2)*(DESC_PROV[LISTA]=$C$2),DESC_PROV[DESCUENTO]),0))
   *(1+VLOOKUP($C$2,LISTAS[],2,FALSE))
   *(1+VLOOKUP($C$2,LISTAS[],3,FALSE))
)
/5,0)*5,0)</f>
        <v>265675</v>
      </c>
      <c r="P65" s="125" cm="1">
        <f t="array" ref="P65">IFERROR(
ROUND(
IF($A$2="COSTO",
   ((B65*(1+IFERROR(VLOOKUP($D$2,COLORES[],2,FALSE),0)))+G65)
   *(1-IFERROR(_xlfn.XLOOKUP(1,(DESC_PROV[LINEA]=$B$2)*(DESC_PROV[LISTA]=$C$2),DESC_PROV[DESCUENTO]),0)),
   ((B65*(1+IFERROR(VLOOKUP($D$2,COLORES[],2,FALSE),0)))+G65)
   *(1-IFERROR(_xlfn.XLOOKUP(1,(DESC_PROV[LINEA]=$B$2)*(DESC_PROV[LISTA]=$C$2),DESC_PROV[DESCUENTO]),0))
   *(1+VLOOKUP($C$2,LISTAS[],2,FALSE))
   *(1+VLOOKUP($C$2,LISTAS[],3,FALSE))
)
/5,0)*5,0)</f>
        <v>219680</v>
      </c>
      <c r="Q65" s="125" cm="1">
        <f t="array" ref="Q65">IFERROR(
ROUND(
IF($A$2="COSTO",
   ((B65*(1+IFERROR(VLOOKUP($D$2,COLORES[],2,FALSE),0)))+H65)
   *(1-IFERROR(_xlfn.XLOOKUP(1,(DESC_PROV[LINEA]=$B$2)*(DESC_PROV[LISTA]=$C$2),DESC_PROV[DESCUENTO]),0)),
   ((B65*(1+IFERROR(VLOOKUP($D$2,COLORES[],2,FALSE),0)))+H65)
   *(1-IFERROR(_xlfn.XLOOKUP(1,(DESC_PROV[LINEA]=$B$2)*(DESC_PROV[LISTA]=$C$2),DESC_PROV[DESCUENTO]),0))
   *(1+VLOOKUP($C$2,LISTAS[],2,FALSE))
   *(1+VLOOKUP($C$2,LISTAS[],3,FALSE))
)
/5,0)*5,0)</f>
        <v>302860</v>
      </c>
      <c r="R65" s="126" cm="1">
        <f t="array" ref="R65">IFERROR(
ROUND(
IF($A$2="COSTO",
   ((B65*(1+IFERROR(VLOOKUP($D$2,COLORES[],2,FALSE),0)))+(D65+I65+D65))
   *(1-IFERROR(_xlfn.XLOOKUP(1,(DESC_PROV[LINEA]=$B$2)*(DESC_PROV[LISTA]=$C$2),DESC_PROV[DESCUENTO]),0)),
   ((B65*(1+IFERROR(VLOOKUP($D$2,COLORES[],2,FALSE),0)))+(D65+I65+D65))
   *(1-IFERROR(_xlfn.XLOOKUP(1,(DESC_PROV[LINEA]=$B$2)*(DESC_PROV[LISTA]=$C$2),DESC_PROV[DESCUENTO]),0))
   *(1+VLOOKUP($C$2,LISTAS[],2,FALSE))
   *(1+VLOOKUP($C$2,LISTAS[],3,FALSE))
)
/5,0)*5,0)</f>
        <v>314505</v>
      </c>
    </row>
    <row r="66" spans="1:18">
      <c r="A66" s="133" t="s">
        <v>146</v>
      </c>
      <c r="B66" s="125">
        <v>152701</v>
      </c>
      <c r="C66" s="125">
        <v>19765</v>
      </c>
      <c r="D66" s="125">
        <v>23937</v>
      </c>
      <c r="E66" s="125">
        <v>31603</v>
      </c>
      <c r="F66" s="125">
        <v>68219</v>
      </c>
      <c r="G66" s="125">
        <v>26345</v>
      </c>
      <c r="H66" s="125">
        <v>102073</v>
      </c>
      <c r="I66" s="125">
        <v>58463</v>
      </c>
      <c r="J66" s="124"/>
      <c r="K66" s="133" t="s">
        <v>146</v>
      </c>
      <c r="L66" s="125" cm="1">
        <f t="array" ref="L66">IFERROR(
ROUND(
IF($A$2="COSTO",
   ((B66*(1+IFERROR(VLOOKUP($D$2,COLORES[],2,FALSE),0)))+C66)
   *(1-IFERROR(_xlfn.XLOOKUP(1,(DESC_PROV[LINEA]=$B$2)*(DESC_PROV[LISTA]=$C$2),DESC_PROV[DESCUENTO]),0)),
   ((B66*(1+IFERROR(VLOOKUP($D$2,COLORES[],2,FALSE),0)))+C66)
   *(1-IFERROR(_xlfn.XLOOKUP(1,(DESC_PROV[LINEA]=$B$2)*(DESC_PROV[LISTA]=$C$2),DESC_PROV[DESCUENTO]),0))
   *(1+VLOOKUP($C$2,LISTAS[],2,FALSE))
   *(1+VLOOKUP($C$2,LISTAS[],3,FALSE))
)
/5,0)*5,0)</f>
        <v>221020</v>
      </c>
      <c r="M66" s="125" cm="1">
        <f t="array" ref="M66">IFERROR(
ROUND(
IF($A$2="COSTO",
   ((B66*(1+IFERROR(VLOOKUP($D$2,COLORES[],2,FALSE),0)))+D66)
   *(1-IFERROR(_xlfn.XLOOKUP(1,(DESC_PROV[LINEA]=$B$2)*(DESC_PROV[LISTA]=$C$2),DESC_PROV[DESCUENTO]),0)),
   ((B66*(1+IFERROR(VLOOKUP($D$2,COLORES[],2,FALSE),0)))+D66)
   *(1-IFERROR(_xlfn.XLOOKUP(1,(DESC_PROV[LINEA]=$B$2)*(DESC_PROV[LISTA]=$C$2),DESC_PROV[DESCUENTO]),0))
   *(1+VLOOKUP($C$2,LISTAS[],2,FALSE))
   *(1+VLOOKUP($C$2,LISTAS[],3,FALSE))
)
/5,0)*5,0)</f>
        <v>226370</v>
      </c>
      <c r="N66" s="125" cm="1">
        <f t="array" ref="N66">IFERROR(
ROUND(
IF($A$2="COSTO",
   ((B66*(1+IFERROR(VLOOKUP($D$2,COLORES[],2,FALSE),0)))+E66)
   *(1-IFERROR(_xlfn.XLOOKUP(1,(DESC_PROV[LINEA]=$B$2)*(DESC_PROV[LISTA]=$C$2),DESC_PROV[DESCUENTO]),0)),
   ((B66*(1+IFERROR(VLOOKUP($D$2,COLORES[],2,FALSE),0)))+E66)
   *(1-IFERROR(_xlfn.XLOOKUP(1,(DESC_PROV[LINEA]=$B$2)*(DESC_PROV[LISTA]=$C$2),DESC_PROV[DESCUENTO]),0))
   *(1+VLOOKUP($C$2,LISTAS[],2,FALSE))
   *(1+VLOOKUP($C$2,LISTAS[],3,FALSE))
)
/5,0)*5,0)</f>
        <v>236195</v>
      </c>
      <c r="O66" s="125" cm="1">
        <f t="array" ref="O66">IFERROR(
ROUND(
IF($A$2="COSTO",
   ((B66*(1+IFERROR(VLOOKUP($D$2,COLORES[],2,FALSE),0)))+F66)
   *(1-IFERROR(_xlfn.XLOOKUP(1,(DESC_PROV[LINEA]=$B$2)*(DESC_PROV[LISTA]=$C$2),DESC_PROV[DESCUENTO]),0)),
   ((B66*(1+IFERROR(VLOOKUP($D$2,COLORES[],2,FALSE),0)))+F66)
   *(1-IFERROR(_xlfn.XLOOKUP(1,(DESC_PROV[LINEA]=$B$2)*(DESC_PROV[LISTA]=$C$2),DESC_PROV[DESCUENTO]),0))
   *(1+VLOOKUP($C$2,LISTAS[],2,FALSE))
   *(1+VLOOKUP($C$2,LISTAS[],3,FALSE))
)
/5,0)*5,0)</f>
        <v>283120</v>
      </c>
      <c r="P66" s="125" cm="1">
        <f t="array" ref="P66">IFERROR(
ROUND(
IF($A$2="COSTO",
   ((B66*(1+IFERROR(VLOOKUP($D$2,COLORES[],2,FALSE),0)))+G66)
   *(1-IFERROR(_xlfn.XLOOKUP(1,(DESC_PROV[LINEA]=$B$2)*(DESC_PROV[LISTA]=$C$2),DESC_PROV[DESCUENTO]),0)),
   ((B66*(1+IFERROR(VLOOKUP($D$2,COLORES[],2,FALSE),0)))+G66)
   *(1-IFERROR(_xlfn.XLOOKUP(1,(DESC_PROV[LINEA]=$B$2)*(DESC_PROV[LISTA]=$C$2),DESC_PROV[DESCUENTO]),0))
   *(1+VLOOKUP($C$2,LISTAS[],2,FALSE))
   *(1+VLOOKUP($C$2,LISTAS[],3,FALSE))
)
/5,0)*5,0)</f>
        <v>229455</v>
      </c>
      <c r="Q66" s="125" cm="1">
        <f t="array" ref="Q66">IFERROR(
ROUND(
IF($A$2="COSTO",
   ((B66*(1+IFERROR(VLOOKUP($D$2,COLORES[],2,FALSE),0)))+H66)
   *(1-IFERROR(_xlfn.XLOOKUP(1,(DESC_PROV[LINEA]=$B$2)*(DESC_PROV[LISTA]=$C$2),DESC_PROV[DESCUENTO]),0)),
   ((B66*(1+IFERROR(VLOOKUP($D$2,COLORES[],2,FALSE),0)))+H66)
   *(1-IFERROR(_xlfn.XLOOKUP(1,(DESC_PROV[LINEA]=$B$2)*(DESC_PROV[LISTA]=$C$2),DESC_PROV[DESCUENTO]),0))
   *(1+VLOOKUP($C$2,LISTAS[],2,FALSE))
   *(1+VLOOKUP($C$2,LISTAS[],3,FALSE))
)
/5,0)*5,0)</f>
        <v>326505</v>
      </c>
      <c r="R66" s="126" cm="1">
        <f t="array" ref="R66">IFERROR(
ROUND(
IF($A$2="COSTO",
   ((B66*(1+IFERROR(VLOOKUP($D$2,COLORES[],2,FALSE),0)))+(D66+I66+D66))
   *(1-IFERROR(_xlfn.XLOOKUP(1,(DESC_PROV[LINEA]=$B$2)*(DESC_PROV[LISTA]=$C$2),DESC_PROV[DESCUENTO]),0)),
   ((B66*(1+IFERROR(VLOOKUP($D$2,COLORES[],2,FALSE),0)))+(D66+I66+D66))
   *(1-IFERROR(_xlfn.XLOOKUP(1,(DESC_PROV[LINEA]=$B$2)*(DESC_PROV[LISTA]=$C$2),DESC_PROV[DESCUENTO]),0))
   *(1+VLOOKUP($C$2,LISTAS[],2,FALSE))
   *(1+VLOOKUP($C$2,LISTAS[],3,FALSE))
)
/5,0)*5,0)</f>
        <v>331970</v>
      </c>
    </row>
    <row r="67" spans="1:18">
      <c r="A67" s="133" t="s">
        <v>147</v>
      </c>
      <c r="B67" s="125">
        <v>157590</v>
      </c>
      <c r="C67" s="125">
        <v>22589</v>
      </c>
      <c r="D67" s="125">
        <v>27358</v>
      </c>
      <c r="E67" s="125">
        <v>36119</v>
      </c>
      <c r="F67" s="125">
        <v>77966</v>
      </c>
      <c r="G67" s="125">
        <v>30109</v>
      </c>
      <c r="H67" s="125">
        <v>116658</v>
      </c>
      <c r="I67" s="125">
        <v>61386</v>
      </c>
      <c r="J67" s="124"/>
      <c r="K67" s="133" t="s">
        <v>147</v>
      </c>
      <c r="L67" s="125" cm="1">
        <f t="array" ref="L67">IFERROR(
ROUND(
IF($A$2="COSTO",
   ((B67*(1+IFERROR(VLOOKUP($D$2,COLORES[],2,FALSE),0)))+C67)
   *(1-IFERROR(_xlfn.XLOOKUP(1,(DESC_PROV[LINEA]=$B$2)*(DESC_PROV[LISTA]=$C$2),DESC_PROV[DESCUENTO]),0)),
   ((B67*(1+IFERROR(VLOOKUP($D$2,COLORES[],2,FALSE),0)))+C67)
   *(1-IFERROR(_xlfn.XLOOKUP(1,(DESC_PROV[LINEA]=$B$2)*(DESC_PROV[LISTA]=$C$2),DESC_PROV[DESCUENTO]),0))
   *(1+VLOOKUP($C$2,LISTAS[],2,FALSE))
   *(1+VLOOKUP($C$2,LISTAS[],3,FALSE))
)
/5,0)*5,0)</f>
        <v>230905</v>
      </c>
      <c r="M67" s="125" cm="1">
        <f t="array" ref="M67">IFERROR(
ROUND(
IF($A$2="COSTO",
   ((B67*(1+IFERROR(VLOOKUP($D$2,COLORES[],2,FALSE),0)))+D67)
   *(1-IFERROR(_xlfn.XLOOKUP(1,(DESC_PROV[LINEA]=$B$2)*(DESC_PROV[LISTA]=$C$2),DESC_PROV[DESCUENTO]),0)),
   ((B67*(1+IFERROR(VLOOKUP($D$2,COLORES[],2,FALSE),0)))+D67)
   *(1-IFERROR(_xlfn.XLOOKUP(1,(DESC_PROV[LINEA]=$B$2)*(DESC_PROV[LISTA]=$C$2),DESC_PROV[DESCUENTO]),0))
   *(1+VLOOKUP($C$2,LISTAS[],2,FALSE))
   *(1+VLOOKUP($C$2,LISTAS[],3,FALSE))
)
/5,0)*5,0)</f>
        <v>237020</v>
      </c>
      <c r="N67" s="125" cm="1">
        <f t="array" ref="N67">IFERROR(
ROUND(
IF($A$2="COSTO",
   ((B67*(1+IFERROR(VLOOKUP($D$2,COLORES[],2,FALSE),0)))+E67)
   *(1-IFERROR(_xlfn.XLOOKUP(1,(DESC_PROV[LINEA]=$B$2)*(DESC_PROV[LISTA]=$C$2),DESC_PROV[DESCUENTO]),0)),
   ((B67*(1+IFERROR(VLOOKUP($D$2,COLORES[],2,FALSE),0)))+E67)
   *(1-IFERROR(_xlfn.XLOOKUP(1,(DESC_PROV[LINEA]=$B$2)*(DESC_PROV[LISTA]=$C$2),DESC_PROV[DESCUENTO]),0))
   *(1+VLOOKUP($C$2,LISTAS[],2,FALSE))
   *(1+VLOOKUP($C$2,LISTAS[],3,FALSE))
)
/5,0)*5,0)</f>
        <v>248245</v>
      </c>
      <c r="O67" s="125" cm="1">
        <f t="array" ref="O67">IFERROR(
ROUND(
IF($A$2="COSTO",
   ((B67*(1+IFERROR(VLOOKUP($D$2,COLORES[],2,FALSE),0)))+F67)
   *(1-IFERROR(_xlfn.XLOOKUP(1,(DESC_PROV[LINEA]=$B$2)*(DESC_PROV[LISTA]=$C$2),DESC_PROV[DESCUENTO]),0)),
   ((B67*(1+IFERROR(VLOOKUP($D$2,COLORES[],2,FALSE),0)))+F67)
   *(1-IFERROR(_xlfn.XLOOKUP(1,(DESC_PROV[LINEA]=$B$2)*(DESC_PROV[LISTA]=$C$2),DESC_PROV[DESCUENTO]),0))
   *(1+VLOOKUP($C$2,LISTAS[],2,FALSE))
   *(1+VLOOKUP($C$2,LISTAS[],3,FALSE))
)
/5,0)*5,0)</f>
        <v>301875</v>
      </c>
      <c r="P67" s="125" cm="1">
        <f t="array" ref="P67">IFERROR(
ROUND(
IF($A$2="COSTO",
   ((B67*(1+IFERROR(VLOOKUP($D$2,COLORES[],2,FALSE),0)))+G67)
   *(1-IFERROR(_xlfn.XLOOKUP(1,(DESC_PROV[LINEA]=$B$2)*(DESC_PROV[LISTA]=$C$2),DESC_PROV[DESCUENTO]),0)),
   ((B67*(1+IFERROR(VLOOKUP($D$2,COLORES[],2,FALSE),0)))+G67)
   *(1-IFERROR(_xlfn.XLOOKUP(1,(DESC_PROV[LINEA]=$B$2)*(DESC_PROV[LISTA]=$C$2),DESC_PROV[DESCUENTO]),0))
   *(1+VLOOKUP($C$2,LISTAS[],2,FALSE))
   *(1+VLOOKUP($C$2,LISTAS[],3,FALSE))
)
/5,0)*5,0)</f>
        <v>240545</v>
      </c>
      <c r="Q67" s="125" cm="1">
        <f t="array" ref="Q67">IFERROR(
ROUND(
IF($A$2="COSTO",
   ((B67*(1+IFERROR(VLOOKUP($D$2,COLORES[],2,FALSE),0)))+H67)
   *(1-IFERROR(_xlfn.XLOOKUP(1,(DESC_PROV[LINEA]=$B$2)*(DESC_PROV[LISTA]=$C$2),DESC_PROV[DESCUENTO]),0)),
   ((B67*(1+IFERROR(VLOOKUP($D$2,COLORES[],2,FALSE),0)))+H67)
   *(1-IFERROR(_xlfn.XLOOKUP(1,(DESC_PROV[LINEA]=$B$2)*(DESC_PROV[LISTA]=$C$2),DESC_PROV[DESCUENTO]),0))
   *(1+VLOOKUP($C$2,LISTAS[],2,FALSE))
   *(1+VLOOKUP($C$2,LISTAS[],3,FALSE))
)
/5,0)*5,0)</f>
        <v>351460</v>
      </c>
      <c r="R67" s="126" cm="1">
        <f t="array" ref="R67">IFERROR(
ROUND(
IF($A$2="COSTO",
   ((B67*(1+IFERROR(VLOOKUP($D$2,COLORES[],2,FALSE),0)))+(D67+I67+D67))
   *(1-IFERROR(_xlfn.XLOOKUP(1,(DESC_PROV[LINEA]=$B$2)*(DESC_PROV[LISTA]=$C$2),DESC_PROV[DESCUENTO]),0)),
   ((B67*(1+IFERROR(VLOOKUP($D$2,COLORES[],2,FALSE),0)))+(D67+I67+D67))
   *(1-IFERROR(_xlfn.XLOOKUP(1,(DESC_PROV[LINEA]=$B$2)*(DESC_PROV[LISTA]=$C$2),DESC_PROV[DESCUENTO]),0))
   *(1+VLOOKUP($C$2,LISTAS[],2,FALSE))
   *(1+VLOOKUP($C$2,LISTAS[],3,FALSE))
)
/5,0)*5,0)</f>
        <v>350745</v>
      </c>
    </row>
    <row r="68" spans="1:18">
      <c r="A68" s="133" t="s">
        <v>107</v>
      </c>
      <c r="B68" s="125">
        <v>163261</v>
      </c>
      <c r="C68" s="125">
        <v>25412</v>
      </c>
      <c r="D68" s="125">
        <v>30779</v>
      </c>
      <c r="E68" s="125">
        <v>40635</v>
      </c>
      <c r="F68" s="125">
        <v>87713</v>
      </c>
      <c r="G68" s="125">
        <v>33874</v>
      </c>
      <c r="H68" s="125">
        <v>131243</v>
      </c>
      <c r="I68" s="125">
        <v>64309</v>
      </c>
      <c r="J68" s="124"/>
      <c r="K68" s="133" t="s">
        <v>107</v>
      </c>
      <c r="L68" s="125" cm="1">
        <f t="array" ref="L68">IFERROR(
ROUND(
IF($A$2="COSTO",
   ((B68*(1+IFERROR(VLOOKUP($D$2,COLORES[],2,FALSE),0)))+C68)
   *(1-IFERROR(_xlfn.XLOOKUP(1,(DESC_PROV[LINEA]=$B$2)*(DESC_PROV[LISTA]=$C$2),DESC_PROV[DESCUENTO]),0)),
   ((B68*(1+IFERROR(VLOOKUP($D$2,COLORES[],2,FALSE),0)))+C68)
   *(1-IFERROR(_xlfn.XLOOKUP(1,(DESC_PROV[LINEA]=$B$2)*(DESC_PROV[LISTA]=$C$2),DESC_PROV[DESCUENTO]),0))
   *(1+VLOOKUP($C$2,LISTAS[],2,FALSE))
   *(1+VLOOKUP($C$2,LISTAS[],3,FALSE))
)
/5,0)*5,0)</f>
        <v>241790</v>
      </c>
      <c r="M68" s="125" cm="1">
        <f t="array" ref="M68">IFERROR(
ROUND(
IF($A$2="COSTO",
   ((B68*(1+IFERROR(VLOOKUP($D$2,COLORES[],2,FALSE),0)))+D68)
   *(1-IFERROR(_xlfn.XLOOKUP(1,(DESC_PROV[LINEA]=$B$2)*(DESC_PROV[LISTA]=$C$2),DESC_PROV[DESCUENTO]),0)),
   ((B68*(1+IFERROR(VLOOKUP($D$2,COLORES[],2,FALSE),0)))+D68)
   *(1-IFERROR(_xlfn.XLOOKUP(1,(DESC_PROV[LINEA]=$B$2)*(DESC_PROV[LISTA]=$C$2),DESC_PROV[DESCUENTO]),0))
   *(1+VLOOKUP($C$2,LISTAS[],2,FALSE))
   *(1+VLOOKUP($C$2,LISTAS[],3,FALSE))
)
/5,0)*5,0)</f>
        <v>248670</v>
      </c>
      <c r="N68" s="125" cm="1">
        <f t="array" ref="N68">IFERROR(
ROUND(
IF($A$2="COSTO",
   ((B68*(1+IFERROR(VLOOKUP($D$2,COLORES[],2,FALSE),0)))+E68)
   *(1-IFERROR(_xlfn.XLOOKUP(1,(DESC_PROV[LINEA]=$B$2)*(DESC_PROV[LISTA]=$C$2),DESC_PROV[DESCUENTO]),0)),
   ((B68*(1+IFERROR(VLOOKUP($D$2,COLORES[],2,FALSE),0)))+E68)
   *(1-IFERROR(_xlfn.XLOOKUP(1,(DESC_PROV[LINEA]=$B$2)*(DESC_PROV[LISTA]=$C$2),DESC_PROV[DESCUENTO]),0))
   *(1+VLOOKUP($C$2,LISTAS[],2,FALSE))
   *(1+VLOOKUP($C$2,LISTAS[],3,FALSE))
)
/5,0)*5,0)</f>
        <v>261300</v>
      </c>
      <c r="O68" s="125" cm="1">
        <f t="array" ref="O68">IFERROR(
ROUND(
IF($A$2="COSTO",
   ((B68*(1+IFERROR(VLOOKUP($D$2,COLORES[],2,FALSE),0)))+F68)
   *(1-IFERROR(_xlfn.XLOOKUP(1,(DESC_PROV[LINEA]=$B$2)*(DESC_PROV[LISTA]=$C$2),DESC_PROV[DESCUENTO]),0)),
   ((B68*(1+IFERROR(VLOOKUP($D$2,COLORES[],2,FALSE),0)))+F68)
   *(1-IFERROR(_xlfn.XLOOKUP(1,(DESC_PROV[LINEA]=$B$2)*(DESC_PROV[LISTA]=$C$2),DESC_PROV[DESCUENTO]),0))
   *(1+VLOOKUP($C$2,LISTAS[],2,FALSE))
   *(1+VLOOKUP($C$2,LISTAS[],3,FALSE))
)
/5,0)*5,0)</f>
        <v>321635</v>
      </c>
      <c r="P68" s="125" cm="1">
        <f t="array" ref="P68">IFERROR(
ROUND(
IF($A$2="COSTO",
   ((B68*(1+IFERROR(VLOOKUP($D$2,COLORES[],2,FALSE),0)))+G68)
   *(1-IFERROR(_xlfn.XLOOKUP(1,(DESC_PROV[LINEA]=$B$2)*(DESC_PROV[LISTA]=$C$2),DESC_PROV[DESCUENTO]),0)),
   ((B68*(1+IFERROR(VLOOKUP($D$2,COLORES[],2,FALSE),0)))+G68)
   *(1-IFERROR(_xlfn.XLOOKUP(1,(DESC_PROV[LINEA]=$B$2)*(DESC_PROV[LISTA]=$C$2),DESC_PROV[DESCUENTO]),0))
   *(1+VLOOKUP($C$2,LISTAS[],2,FALSE))
   *(1+VLOOKUP($C$2,LISTAS[],3,FALSE))
)
/5,0)*5,0)</f>
        <v>252635</v>
      </c>
      <c r="Q68" s="125" cm="1">
        <f t="array" ref="Q68">IFERROR(
ROUND(
IF($A$2="COSTO",
   ((B68*(1+IFERROR(VLOOKUP($D$2,COLORES[],2,FALSE),0)))+H68)
   *(1-IFERROR(_xlfn.XLOOKUP(1,(DESC_PROV[LINEA]=$B$2)*(DESC_PROV[LISTA]=$C$2),DESC_PROV[DESCUENTO]),0)),
   ((B68*(1+IFERROR(VLOOKUP($D$2,COLORES[],2,FALSE),0)))+H68)
   *(1-IFERROR(_xlfn.XLOOKUP(1,(DESC_PROV[LINEA]=$B$2)*(DESC_PROV[LISTA]=$C$2),DESC_PROV[DESCUENTO]),0))
   *(1+VLOOKUP($C$2,LISTAS[],2,FALSE))
   *(1+VLOOKUP($C$2,LISTAS[],3,FALSE))
)
/5,0)*5,0)</f>
        <v>377420</v>
      </c>
      <c r="R68" s="126" cm="1">
        <f t="array" ref="R68">IFERROR(
ROUND(
IF($A$2="COSTO",
   ((B68*(1+IFERROR(VLOOKUP($D$2,COLORES[],2,FALSE),0)))+(D68+I68+D68))
   *(1-IFERROR(_xlfn.XLOOKUP(1,(DESC_PROV[LINEA]=$B$2)*(DESC_PROV[LISTA]=$C$2),DESC_PROV[DESCUENTO]),0)),
   ((B68*(1+IFERROR(VLOOKUP($D$2,COLORES[],2,FALSE),0)))+(D68+I68+D68))
   *(1-IFERROR(_xlfn.XLOOKUP(1,(DESC_PROV[LINEA]=$B$2)*(DESC_PROV[LISTA]=$C$2),DESC_PROV[DESCUENTO]),0))
   *(1+VLOOKUP($C$2,LISTAS[],2,FALSE))
   *(1+VLOOKUP($C$2,LISTAS[],3,FALSE))
)
/5,0)*5,0)</f>
        <v>370530</v>
      </c>
    </row>
    <row r="69" spans="1:18">
      <c r="A69" s="133" t="s">
        <v>148</v>
      </c>
      <c r="B69" s="125">
        <v>147786</v>
      </c>
      <c r="C69" s="125">
        <v>10779</v>
      </c>
      <c r="D69" s="125">
        <v>13050</v>
      </c>
      <c r="E69" s="125">
        <v>17231</v>
      </c>
      <c r="F69" s="125">
        <v>37205</v>
      </c>
      <c r="G69" s="125">
        <v>14371</v>
      </c>
      <c r="H69" s="125">
        <v>55668</v>
      </c>
      <c r="I69" s="125">
        <v>55540</v>
      </c>
      <c r="J69" s="124"/>
      <c r="K69" s="133" t="s">
        <v>148</v>
      </c>
      <c r="L69" s="125" cm="1">
        <f t="array" ref="L69">IFERROR(
ROUND(
IF($A$2="COSTO",
   ((B69*(1+IFERROR(VLOOKUP($D$2,COLORES[],2,FALSE),0)))+C69)
   *(1-IFERROR(_xlfn.XLOOKUP(1,(DESC_PROV[LINEA]=$B$2)*(DESC_PROV[LISTA]=$C$2),DESC_PROV[DESCUENTO]),0)),
   ((B69*(1+IFERROR(VLOOKUP($D$2,COLORES[],2,FALSE),0)))+C69)
   *(1-IFERROR(_xlfn.XLOOKUP(1,(DESC_PROV[LINEA]=$B$2)*(DESC_PROV[LISTA]=$C$2),DESC_PROV[DESCUENTO]),0))
   *(1+VLOOKUP($C$2,LISTAS[],2,FALSE))
   *(1+VLOOKUP($C$2,LISTAS[],3,FALSE))
)
/5,0)*5,0)</f>
        <v>203205</v>
      </c>
      <c r="M69" s="125" cm="1">
        <f t="array" ref="M69">IFERROR(
ROUND(
IF($A$2="COSTO",
   ((B69*(1+IFERROR(VLOOKUP($D$2,COLORES[],2,FALSE),0)))+D69)
   *(1-IFERROR(_xlfn.XLOOKUP(1,(DESC_PROV[LINEA]=$B$2)*(DESC_PROV[LISTA]=$C$2),DESC_PROV[DESCUENTO]),0)),
   ((B69*(1+IFERROR(VLOOKUP($D$2,COLORES[],2,FALSE),0)))+D69)
   *(1-IFERROR(_xlfn.XLOOKUP(1,(DESC_PROV[LINEA]=$B$2)*(DESC_PROV[LISTA]=$C$2),DESC_PROV[DESCUENTO]),0))
   *(1+VLOOKUP($C$2,LISTAS[],2,FALSE))
   *(1+VLOOKUP($C$2,LISTAS[],3,FALSE))
)
/5,0)*5,0)</f>
        <v>206120</v>
      </c>
      <c r="N69" s="125" cm="1">
        <f t="array" ref="N69">IFERROR(
ROUND(
IF($A$2="COSTO",
   ((B69*(1+IFERROR(VLOOKUP($D$2,COLORES[],2,FALSE),0)))+E69)
   *(1-IFERROR(_xlfn.XLOOKUP(1,(DESC_PROV[LINEA]=$B$2)*(DESC_PROV[LISTA]=$C$2),DESC_PROV[DESCUENTO]),0)),
   ((B69*(1+IFERROR(VLOOKUP($D$2,COLORES[],2,FALSE),0)))+E69)
   *(1-IFERROR(_xlfn.XLOOKUP(1,(DESC_PROV[LINEA]=$B$2)*(DESC_PROV[LISTA]=$C$2),DESC_PROV[DESCUENTO]),0))
   *(1+VLOOKUP($C$2,LISTAS[],2,FALSE))
   *(1+VLOOKUP($C$2,LISTAS[],3,FALSE))
)
/5,0)*5,0)</f>
        <v>211475</v>
      </c>
      <c r="O69" s="125" cm="1">
        <f t="array" ref="O69">IFERROR(
ROUND(
IF($A$2="COSTO",
   ((B69*(1+IFERROR(VLOOKUP($D$2,COLORES[],2,FALSE),0)))+F69)
   *(1-IFERROR(_xlfn.XLOOKUP(1,(DESC_PROV[LINEA]=$B$2)*(DESC_PROV[LISTA]=$C$2),DESC_PROV[DESCUENTO]),0)),
   ((B69*(1+IFERROR(VLOOKUP($D$2,COLORES[],2,FALSE),0)))+F69)
   *(1-IFERROR(_xlfn.XLOOKUP(1,(DESC_PROV[LINEA]=$B$2)*(DESC_PROV[LISTA]=$C$2),DESC_PROV[DESCUENTO]),0))
   *(1+VLOOKUP($C$2,LISTAS[],2,FALSE))
   *(1+VLOOKUP($C$2,LISTAS[],3,FALSE))
)
/5,0)*5,0)</f>
        <v>237075</v>
      </c>
      <c r="P69" s="125" cm="1">
        <f t="array" ref="P69">IFERROR(
ROUND(
IF($A$2="COSTO",
   ((B69*(1+IFERROR(VLOOKUP($D$2,COLORES[],2,FALSE),0)))+G69)
   *(1-IFERROR(_xlfn.XLOOKUP(1,(DESC_PROV[LINEA]=$B$2)*(DESC_PROV[LISTA]=$C$2),DESC_PROV[DESCUENTO]),0)),
   ((B69*(1+IFERROR(VLOOKUP($D$2,COLORES[],2,FALSE),0)))+G69)
   *(1-IFERROR(_xlfn.XLOOKUP(1,(DESC_PROV[LINEA]=$B$2)*(DESC_PROV[LISTA]=$C$2),DESC_PROV[DESCUENTO]),0))
   *(1+VLOOKUP($C$2,LISTAS[],2,FALSE))
   *(1+VLOOKUP($C$2,LISTAS[],3,FALSE))
)
/5,0)*5,0)</f>
        <v>207810</v>
      </c>
      <c r="Q69" s="125" cm="1">
        <f t="array" ref="Q69">IFERROR(
ROUND(
IF($A$2="COSTO",
   ((B69*(1+IFERROR(VLOOKUP($D$2,COLORES[],2,FALSE),0)))+H69)
   *(1-IFERROR(_xlfn.XLOOKUP(1,(DESC_PROV[LINEA]=$B$2)*(DESC_PROV[LISTA]=$C$2),DESC_PROV[DESCUENTO]),0)),
   ((B69*(1+IFERROR(VLOOKUP($D$2,COLORES[],2,FALSE),0)))+H69)
   *(1-IFERROR(_xlfn.XLOOKUP(1,(DESC_PROV[LINEA]=$B$2)*(DESC_PROV[LISTA]=$C$2),DESC_PROV[DESCUENTO]),0))
   *(1+VLOOKUP($C$2,LISTAS[],2,FALSE))
   *(1+VLOOKUP($C$2,LISTAS[],3,FALSE))
)
/5,0)*5,0)</f>
        <v>260735</v>
      </c>
      <c r="R69" s="126" cm="1">
        <f t="array" ref="R69">IFERROR(
ROUND(
IF($A$2="COSTO",
   ((B69*(1+IFERROR(VLOOKUP($D$2,COLORES[],2,FALSE),0)))+(D69+I69+D69))
   *(1-IFERROR(_xlfn.XLOOKUP(1,(DESC_PROV[LINEA]=$B$2)*(DESC_PROV[LISTA]=$C$2),DESC_PROV[DESCUENTO]),0)),
   ((B69*(1+IFERROR(VLOOKUP($D$2,COLORES[],2,FALSE),0)))+(D69+I69+D69))
   *(1-IFERROR(_xlfn.XLOOKUP(1,(DESC_PROV[LINEA]=$B$2)*(DESC_PROV[LISTA]=$C$2),DESC_PROV[DESCUENTO]),0))
   *(1+VLOOKUP($C$2,LISTAS[],2,FALSE))
   *(1+VLOOKUP($C$2,LISTAS[],3,FALSE))
)
/5,0)*5,0)</f>
        <v>294020</v>
      </c>
    </row>
    <row r="70" spans="1:18">
      <c r="A70" s="133" t="s">
        <v>149</v>
      </c>
      <c r="B70" s="125">
        <v>152909</v>
      </c>
      <c r="C70" s="125">
        <v>14371</v>
      </c>
      <c r="D70" s="125">
        <v>17403</v>
      </c>
      <c r="E70" s="125">
        <v>22978</v>
      </c>
      <c r="F70" s="125">
        <v>49603</v>
      </c>
      <c r="G70" s="125">
        <v>19159</v>
      </c>
      <c r="H70" s="125">
        <v>74217</v>
      </c>
      <c r="I70" s="125">
        <v>58463</v>
      </c>
      <c r="J70" s="124"/>
      <c r="K70" s="133" t="s">
        <v>149</v>
      </c>
      <c r="L70" s="125" cm="1">
        <f t="array" ref="L70">IFERROR(
ROUND(
IF($A$2="COSTO",
   ((B70*(1+IFERROR(VLOOKUP($D$2,COLORES[],2,FALSE),0)))+C70)
   *(1-IFERROR(_xlfn.XLOOKUP(1,(DESC_PROV[LINEA]=$B$2)*(DESC_PROV[LISTA]=$C$2),DESC_PROV[DESCUENTO]),0)),
   ((B70*(1+IFERROR(VLOOKUP($D$2,COLORES[],2,FALSE),0)))+C70)
   *(1-IFERROR(_xlfn.XLOOKUP(1,(DESC_PROV[LINEA]=$B$2)*(DESC_PROV[LISTA]=$C$2),DESC_PROV[DESCUENTO]),0))
   *(1+VLOOKUP($C$2,LISTAS[],2,FALSE))
   *(1+VLOOKUP($C$2,LISTAS[],3,FALSE))
)
/5,0)*5,0)</f>
        <v>214375</v>
      </c>
      <c r="M70" s="125" cm="1">
        <f t="array" ref="M70">IFERROR(
ROUND(
IF($A$2="COSTO",
   ((B70*(1+IFERROR(VLOOKUP($D$2,COLORES[],2,FALSE),0)))+D70)
   *(1-IFERROR(_xlfn.XLOOKUP(1,(DESC_PROV[LINEA]=$B$2)*(DESC_PROV[LISTA]=$C$2),DESC_PROV[DESCUENTO]),0)),
   ((B70*(1+IFERROR(VLOOKUP($D$2,COLORES[],2,FALSE),0)))+D70)
   *(1-IFERROR(_xlfn.XLOOKUP(1,(DESC_PROV[LINEA]=$B$2)*(DESC_PROV[LISTA]=$C$2),DESC_PROV[DESCUENTO]),0))
   *(1+VLOOKUP($C$2,LISTAS[],2,FALSE))
   *(1+VLOOKUP($C$2,LISTAS[],3,FALSE))
)
/5,0)*5,0)</f>
        <v>218260</v>
      </c>
      <c r="N70" s="125" cm="1">
        <f t="array" ref="N70">IFERROR(
ROUND(
IF($A$2="COSTO",
   ((B70*(1+IFERROR(VLOOKUP($D$2,COLORES[],2,FALSE),0)))+E70)
   *(1-IFERROR(_xlfn.XLOOKUP(1,(DESC_PROV[LINEA]=$B$2)*(DESC_PROV[LISTA]=$C$2),DESC_PROV[DESCUENTO]),0)),
   ((B70*(1+IFERROR(VLOOKUP($D$2,COLORES[],2,FALSE),0)))+E70)
   *(1-IFERROR(_xlfn.XLOOKUP(1,(DESC_PROV[LINEA]=$B$2)*(DESC_PROV[LISTA]=$C$2),DESC_PROV[DESCUENTO]),0))
   *(1+VLOOKUP($C$2,LISTAS[],2,FALSE))
   *(1+VLOOKUP($C$2,LISTAS[],3,FALSE))
)
/5,0)*5,0)</f>
        <v>225405</v>
      </c>
      <c r="O70" s="125" cm="1">
        <f t="array" ref="O70">IFERROR(
ROUND(
IF($A$2="COSTO",
   ((B70*(1+IFERROR(VLOOKUP($D$2,COLORES[],2,FALSE),0)))+F70)
   *(1-IFERROR(_xlfn.XLOOKUP(1,(DESC_PROV[LINEA]=$B$2)*(DESC_PROV[LISTA]=$C$2),DESC_PROV[DESCUENTO]),0)),
   ((B70*(1+IFERROR(VLOOKUP($D$2,COLORES[],2,FALSE),0)))+F70)
   *(1-IFERROR(_xlfn.XLOOKUP(1,(DESC_PROV[LINEA]=$B$2)*(DESC_PROV[LISTA]=$C$2),DESC_PROV[DESCUENTO]),0))
   *(1+VLOOKUP($C$2,LISTAS[],2,FALSE))
   *(1+VLOOKUP($C$2,LISTAS[],3,FALSE))
)
/5,0)*5,0)</f>
        <v>259525</v>
      </c>
      <c r="P70" s="125" cm="1">
        <f t="array" ref="P70">IFERROR(
ROUND(
IF($A$2="COSTO",
   ((B70*(1+IFERROR(VLOOKUP($D$2,COLORES[],2,FALSE),0)))+G70)
   *(1-IFERROR(_xlfn.XLOOKUP(1,(DESC_PROV[LINEA]=$B$2)*(DESC_PROV[LISTA]=$C$2),DESC_PROV[DESCUENTO]),0)),
   ((B70*(1+IFERROR(VLOOKUP($D$2,COLORES[],2,FALSE),0)))+G70)
   *(1-IFERROR(_xlfn.XLOOKUP(1,(DESC_PROV[LINEA]=$B$2)*(DESC_PROV[LISTA]=$C$2),DESC_PROV[DESCUENTO]),0))
   *(1+VLOOKUP($C$2,LISTAS[],2,FALSE))
   *(1+VLOOKUP($C$2,LISTAS[],3,FALSE))
)
/5,0)*5,0)</f>
        <v>220510</v>
      </c>
      <c r="Q70" s="125" cm="1">
        <f t="array" ref="Q70">IFERROR(
ROUND(
IF($A$2="COSTO",
   ((B70*(1+IFERROR(VLOOKUP($D$2,COLORES[],2,FALSE),0)))+H70)
   *(1-IFERROR(_xlfn.XLOOKUP(1,(DESC_PROV[LINEA]=$B$2)*(DESC_PROV[LISTA]=$C$2),DESC_PROV[DESCUENTO]),0)),
   ((B70*(1+IFERROR(VLOOKUP($D$2,COLORES[],2,FALSE),0)))+H70)
   *(1-IFERROR(_xlfn.XLOOKUP(1,(DESC_PROV[LINEA]=$B$2)*(DESC_PROV[LISTA]=$C$2),DESC_PROV[DESCUENTO]),0))
   *(1+VLOOKUP($C$2,LISTAS[],2,FALSE))
   *(1+VLOOKUP($C$2,LISTAS[],3,FALSE))
)
/5,0)*5,0)</f>
        <v>291070</v>
      </c>
      <c r="R70" s="126" cm="1">
        <f t="array" ref="R70">IFERROR(
ROUND(
IF($A$2="COSTO",
   ((B70*(1+IFERROR(VLOOKUP($D$2,COLORES[],2,FALSE),0)))+(D70+I70+D70))
   *(1-IFERROR(_xlfn.XLOOKUP(1,(DESC_PROV[LINEA]=$B$2)*(DESC_PROV[LISTA]=$C$2),DESC_PROV[DESCUENTO]),0)),
   ((B70*(1+IFERROR(VLOOKUP($D$2,COLORES[],2,FALSE),0)))+(D70+I70+D70))
   *(1-IFERROR(_xlfn.XLOOKUP(1,(DESC_PROV[LINEA]=$B$2)*(DESC_PROV[LISTA]=$C$2),DESC_PROV[DESCUENTO]),0))
   *(1+VLOOKUP($C$2,LISTAS[],2,FALSE))
   *(1+VLOOKUP($C$2,LISTAS[],3,FALSE))
)
/5,0)*5,0)</f>
        <v>315485</v>
      </c>
    </row>
    <row r="71" spans="1:18">
      <c r="A71" s="133" t="s">
        <v>150</v>
      </c>
      <c r="B71" s="125">
        <v>158046</v>
      </c>
      <c r="C71" s="125">
        <v>17964</v>
      </c>
      <c r="D71" s="125">
        <v>21756</v>
      </c>
      <c r="E71" s="125">
        <v>28725</v>
      </c>
      <c r="F71" s="125">
        <v>62002</v>
      </c>
      <c r="G71" s="125">
        <v>23946</v>
      </c>
      <c r="H71" s="125">
        <v>92766</v>
      </c>
      <c r="I71" s="125">
        <v>61386</v>
      </c>
      <c r="J71" s="124"/>
      <c r="K71" s="133" t="s">
        <v>150</v>
      </c>
      <c r="L71" s="125" cm="1">
        <f t="array" ref="L71">IFERROR(
ROUND(
IF($A$2="COSTO",
   ((B71*(1+IFERROR(VLOOKUP($D$2,COLORES[],2,FALSE),0)))+C71)
   *(1-IFERROR(_xlfn.XLOOKUP(1,(DESC_PROV[LINEA]=$B$2)*(DESC_PROV[LISTA]=$C$2),DESC_PROV[DESCUENTO]),0)),
   ((B71*(1+IFERROR(VLOOKUP($D$2,COLORES[],2,FALSE),0)))+C71)
   *(1-IFERROR(_xlfn.XLOOKUP(1,(DESC_PROV[LINEA]=$B$2)*(DESC_PROV[LISTA]=$C$2),DESC_PROV[DESCUENTO]),0))
   *(1+VLOOKUP($C$2,LISTAS[],2,FALSE))
   *(1+VLOOKUP($C$2,LISTAS[],3,FALSE))
)
/5,0)*5,0)</f>
        <v>225565</v>
      </c>
      <c r="M71" s="125" cm="1">
        <f t="array" ref="M71">IFERROR(
ROUND(
IF($A$2="COSTO",
   ((B71*(1+IFERROR(VLOOKUP($D$2,COLORES[],2,FALSE),0)))+D71)
   *(1-IFERROR(_xlfn.XLOOKUP(1,(DESC_PROV[LINEA]=$B$2)*(DESC_PROV[LISTA]=$C$2),DESC_PROV[DESCUENTO]),0)),
   ((B71*(1+IFERROR(VLOOKUP($D$2,COLORES[],2,FALSE),0)))+D71)
   *(1-IFERROR(_xlfn.XLOOKUP(1,(DESC_PROV[LINEA]=$B$2)*(DESC_PROV[LISTA]=$C$2),DESC_PROV[DESCUENTO]),0))
   *(1+VLOOKUP($C$2,LISTAS[],2,FALSE))
   *(1+VLOOKUP($C$2,LISTAS[],3,FALSE))
)
/5,0)*5,0)</f>
        <v>230425</v>
      </c>
      <c r="N71" s="125" cm="1">
        <f t="array" ref="N71">IFERROR(
ROUND(
IF($A$2="COSTO",
   ((B71*(1+IFERROR(VLOOKUP($D$2,COLORES[],2,FALSE),0)))+E71)
   *(1-IFERROR(_xlfn.XLOOKUP(1,(DESC_PROV[LINEA]=$B$2)*(DESC_PROV[LISTA]=$C$2),DESC_PROV[DESCUENTO]),0)),
   ((B71*(1+IFERROR(VLOOKUP($D$2,COLORES[],2,FALSE),0)))+E71)
   *(1-IFERROR(_xlfn.XLOOKUP(1,(DESC_PROV[LINEA]=$B$2)*(DESC_PROV[LISTA]=$C$2),DESC_PROV[DESCUENTO]),0))
   *(1+VLOOKUP($C$2,LISTAS[],2,FALSE))
   *(1+VLOOKUP($C$2,LISTAS[],3,FALSE))
)
/5,0)*5,0)</f>
        <v>239355</v>
      </c>
      <c r="O71" s="125" cm="1">
        <f t="array" ref="O71">IFERROR(
ROUND(
IF($A$2="COSTO",
   ((B71*(1+IFERROR(VLOOKUP($D$2,COLORES[],2,FALSE),0)))+F71)
   *(1-IFERROR(_xlfn.XLOOKUP(1,(DESC_PROV[LINEA]=$B$2)*(DESC_PROV[LISTA]=$C$2),DESC_PROV[DESCUENTO]),0)),
   ((B71*(1+IFERROR(VLOOKUP($D$2,COLORES[],2,FALSE),0)))+F71)
   *(1-IFERROR(_xlfn.XLOOKUP(1,(DESC_PROV[LINEA]=$B$2)*(DESC_PROV[LISTA]=$C$2),DESC_PROV[DESCUENTO]),0))
   *(1+VLOOKUP($C$2,LISTAS[],2,FALSE))
   *(1+VLOOKUP($C$2,LISTAS[],3,FALSE))
)
/5,0)*5,0)</f>
        <v>282000</v>
      </c>
      <c r="P71" s="125" cm="1">
        <f t="array" ref="P71">IFERROR(
ROUND(
IF($A$2="COSTO",
   ((B71*(1+IFERROR(VLOOKUP($D$2,COLORES[],2,FALSE),0)))+G71)
   *(1-IFERROR(_xlfn.XLOOKUP(1,(DESC_PROV[LINEA]=$B$2)*(DESC_PROV[LISTA]=$C$2),DESC_PROV[DESCUENTO]),0)),
   ((B71*(1+IFERROR(VLOOKUP($D$2,COLORES[],2,FALSE),0)))+G71)
   *(1-IFERROR(_xlfn.XLOOKUP(1,(DESC_PROV[LINEA]=$B$2)*(DESC_PROV[LISTA]=$C$2),DESC_PROV[DESCUENTO]),0))
   *(1+VLOOKUP($C$2,LISTAS[],2,FALSE))
   *(1+VLOOKUP($C$2,LISTAS[],3,FALSE))
)
/5,0)*5,0)</f>
        <v>233230</v>
      </c>
      <c r="Q71" s="125" cm="1">
        <f t="array" ref="Q71">IFERROR(
ROUND(
IF($A$2="COSTO",
   ((B71*(1+IFERROR(VLOOKUP($D$2,COLORES[],2,FALSE),0)))+H71)
   *(1-IFERROR(_xlfn.XLOOKUP(1,(DESC_PROV[LINEA]=$B$2)*(DESC_PROV[LISTA]=$C$2),DESC_PROV[DESCUENTO]),0)),
   ((B71*(1+IFERROR(VLOOKUP($D$2,COLORES[],2,FALSE),0)))+H71)
   *(1-IFERROR(_xlfn.XLOOKUP(1,(DESC_PROV[LINEA]=$B$2)*(DESC_PROV[LISTA]=$C$2),DESC_PROV[DESCUENTO]),0))
   *(1+VLOOKUP($C$2,LISTAS[],2,FALSE))
   *(1+VLOOKUP($C$2,LISTAS[],3,FALSE))
)
/5,0)*5,0)</f>
        <v>321425</v>
      </c>
      <c r="R71" s="126" cm="1">
        <f t="array" ref="R71">IFERROR(
ROUND(
IF($A$2="COSTO",
   ((B71*(1+IFERROR(VLOOKUP($D$2,COLORES[],2,FALSE),0)))+(D71+I71+D71))
   *(1-IFERROR(_xlfn.XLOOKUP(1,(DESC_PROV[LINEA]=$B$2)*(DESC_PROV[LISTA]=$C$2),DESC_PROV[DESCUENTO]),0)),
   ((B71*(1+IFERROR(VLOOKUP($D$2,COLORES[],2,FALSE),0)))+(D71+I71+D71))
   *(1-IFERROR(_xlfn.XLOOKUP(1,(DESC_PROV[LINEA]=$B$2)*(DESC_PROV[LISTA]=$C$2),DESC_PROV[DESCUENTO]),0))
   *(1+VLOOKUP($C$2,LISTAS[],2,FALSE))
   *(1+VLOOKUP($C$2,LISTAS[],3,FALSE))
)
/5,0)*5,0)</f>
        <v>336975</v>
      </c>
    </row>
    <row r="72" spans="1:18">
      <c r="A72" s="133" t="s">
        <v>151</v>
      </c>
      <c r="B72" s="125">
        <v>163140</v>
      </c>
      <c r="C72" s="125">
        <v>21557</v>
      </c>
      <c r="D72" s="125">
        <v>26109</v>
      </c>
      <c r="E72" s="125">
        <v>34471</v>
      </c>
      <c r="F72" s="125">
        <v>74400</v>
      </c>
      <c r="G72" s="125">
        <v>28734</v>
      </c>
      <c r="H72" s="125">
        <v>111315</v>
      </c>
      <c r="I72" s="125">
        <v>64309</v>
      </c>
      <c r="J72" s="124"/>
      <c r="K72" s="133" t="s">
        <v>151</v>
      </c>
      <c r="L72" s="125" cm="1">
        <f t="array" ref="L72">IFERROR(
ROUND(
IF($A$2="COSTO",
   ((B72*(1+IFERROR(VLOOKUP($D$2,COLORES[],2,FALSE),0)))+C72)
   *(1-IFERROR(_xlfn.XLOOKUP(1,(DESC_PROV[LINEA]=$B$2)*(DESC_PROV[LISTA]=$C$2),DESC_PROV[DESCUENTO]),0)),
   ((B72*(1+IFERROR(VLOOKUP($D$2,COLORES[],2,FALSE),0)))+C72)
   *(1-IFERROR(_xlfn.XLOOKUP(1,(DESC_PROV[LINEA]=$B$2)*(DESC_PROV[LISTA]=$C$2),DESC_PROV[DESCUENTO]),0))
   *(1+VLOOKUP($C$2,LISTAS[],2,FALSE))
   *(1+VLOOKUP($C$2,LISTAS[],3,FALSE))
)
/5,0)*5,0)</f>
        <v>236695</v>
      </c>
      <c r="M72" s="125" cm="1">
        <f t="array" ref="M72">IFERROR(
ROUND(
IF($A$2="COSTO",
   ((B72*(1+IFERROR(VLOOKUP($D$2,COLORES[],2,FALSE),0)))+D72)
   *(1-IFERROR(_xlfn.XLOOKUP(1,(DESC_PROV[LINEA]=$B$2)*(DESC_PROV[LISTA]=$C$2),DESC_PROV[DESCUENTO]),0)),
   ((B72*(1+IFERROR(VLOOKUP($D$2,COLORES[],2,FALSE),0)))+D72)
   *(1-IFERROR(_xlfn.XLOOKUP(1,(DESC_PROV[LINEA]=$B$2)*(DESC_PROV[LISTA]=$C$2),DESC_PROV[DESCUENTO]),0))
   *(1+VLOOKUP($C$2,LISTAS[],2,FALSE))
   *(1+VLOOKUP($C$2,LISTAS[],3,FALSE))
)
/5,0)*5,0)</f>
        <v>242530</v>
      </c>
      <c r="N72" s="125" cm="1">
        <f t="array" ref="N72">IFERROR(
ROUND(
IF($A$2="COSTO",
   ((B72*(1+IFERROR(VLOOKUP($D$2,COLORES[],2,FALSE),0)))+E72)
   *(1-IFERROR(_xlfn.XLOOKUP(1,(DESC_PROV[LINEA]=$B$2)*(DESC_PROV[LISTA]=$C$2),DESC_PROV[DESCUENTO]),0)),
   ((B72*(1+IFERROR(VLOOKUP($D$2,COLORES[],2,FALSE),0)))+E72)
   *(1-IFERROR(_xlfn.XLOOKUP(1,(DESC_PROV[LINEA]=$B$2)*(DESC_PROV[LISTA]=$C$2),DESC_PROV[DESCUENTO]),0))
   *(1+VLOOKUP($C$2,LISTAS[],2,FALSE))
   *(1+VLOOKUP($C$2,LISTAS[],3,FALSE))
)
/5,0)*5,0)</f>
        <v>253245</v>
      </c>
      <c r="O72" s="125" cm="1">
        <f t="array" ref="O72">IFERROR(
ROUND(
IF($A$2="COSTO",
   ((B72*(1+IFERROR(VLOOKUP($D$2,COLORES[],2,FALSE),0)))+F72)
   *(1-IFERROR(_xlfn.XLOOKUP(1,(DESC_PROV[LINEA]=$B$2)*(DESC_PROV[LISTA]=$C$2),DESC_PROV[DESCUENTO]),0)),
   ((B72*(1+IFERROR(VLOOKUP($D$2,COLORES[],2,FALSE),0)))+F72)
   *(1-IFERROR(_xlfn.XLOOKUP(1,(DESC_PROV[LINEA]=$B$2)*(DESC_PROV[LISTA]=$C$2),DESC_PROV[DESCUENTO]),0))
   *(1+VLOOKUP($C$2,LISTAS[],2,FALSE))
   *(1+VLOOKUP($C$2,LISTAS[],3,FALSE))
)
/5,0)*5,0)</f>
        <v>304415</v>
      </c>
      <c r="P72" s="125" cm="1">
        <f t="array" ref="P72">IFERROR(
ROUND(
IF($A$2="COSTO",
   ((B72*(1+IFERROR(VLOOKUP($D$2,COLORES[],2,FALSE),0)))+G72)
   *(1-IFERROR(_xlfn.XLOOKUP(1,(DESC_PROV[LINEA]=$B$2)*(DESC_PROV[LISTA]=$C$2),DESC_PROV[DESCUENTO]),0)),
   ((B72*(1+IFERROR(VLOOKUP($D$2,COLORES[],2,FALSE),0)))+G72)
   *(1-IFERROR(_xlfn.XLOOKUP(1,(DESC_PROV[LINEA]=$B$2)*(DESC_PROV[LISTA]=$C$2),DESC_PROV[DESCUENTO]),0))
   *(1+VLOOKUP($C$2,LISTAS[],2,FALSE))
   *(1+VLOOKUP($C$2,LISTAS[],3,FALSE))
)
/5,0)*5,0)</f>
        <v>245895</v>
      </c>
      <c r="Q72" s="125" cm="1">
        <f t="array" ref="Q72">IFERROR(
ROUND(
IF($A$2="COSTO",
   ((B72*(1+IFERROR(VLOOKUP($D$2,COLORES[],2,FALSE),0)))+H72)
   *(1-IFERROR(_xlfn.XLOOKUP(1,(DESC_PROV[LINEA]=$B$2)*(DESC_PROV[LISTA]=$C$2),DESC_PROV[DESCUENTO]),0)),
   ((B72*(1+IFERROR(VLOOKUP($D$2,COLORES[],2,FALSE),0)))+H72)
   *(1-IFERROR(_xlfn.XLOOKUP(1,(DESC_PROV[LINEA]=$B$2)*(DESC_PROV[LISTA]=$C$2),DESC_PROV[DESCUENTO]),0))
   *(1+VLOOKUP($C$2,LISTAS[],2,FALSE))
   *(1+VLOOKUP($C$2,LISTAS[],3,FALSE))
)
/5,0)*5,0)</f>
        <v>351725</v>
      </c>
      <c r="R72" s="126" cm="1">
        <f t="array" ref="R72">IFERROR(
ROUND(
IF($A$2="COSTO",
   ((B72*(1+IFERROR(VLOOKUP($D$2,COLORES[],2,FALSE),0)))+(D72+I72+D72))
   *(1-IFERROR(_xlfn.XLOOKUP(1,(DESC_PROV[LINEA]=$B$2)*(DESC_PROV[LISTA]=$C$2),DESC_PROV[DESCUENTO]),0)),
   ((B72*(1+IFERROR(VLOOKUP($D$2,COLORES[],2,FALSE),0)))+(D72+I72+D72))
   *(1-IFERROR(_xlfn.XLOOKUP(1,(DESC_PROV[LINEA]=$B$2)*(DESC_PROV[LISTA]=$C$2),DESC_PROV[DESCUENTO]),0))
   *(1+VLOOKUP($C$2,LISTAS[],2,FALSE))
   *(1+VLOOKUP($C$2,LISTAS[],3,FALSE))
)
/5,0)*5,0)</f>
        <v>358405</v>
      </c>
    </row>
    <row r="73" spans="1:18">
      <c r="A73" s="133" t="s">
        <v>152</v>
      </c>
      <c r="B73" s="125">
        <v>168292</v>
      </c>
      <c r="C73" s="125">
        <v>25150</v>
      </c>
      <c r="D73" s="125">
        <v>30462</v>
      </c>
      <c r="E73" s="125">
        <v>40218</v>
      </c>
      <c r="F73" s="125">
        <v>86799</v>
      </c>
      <c r="G73" s="125">
        <v>33521</v>
      </c>
      <c r="H73" s="125">
        <v>123022</v>
      </c>
      <c r="I73" s="125">
        <v>67232</v>
      </c>
      <c r="J73" s="124"/>
      <c r="K73" s="133" t="s">
        <v>152</v>
      </c>
      <c r="L73" s="125" cm="1">
        <f t="array" ref="L73">IFERROR(
ROUND(
IF($A$2="COSTO",
   ((B73*(1+IFERROR(VLOOKUP($D$2,COLORES[],2,FALSE),0)))+C73)
   *(1-IFERROR(_xlfn.XLOOKUP(1,(DESC_PROV[LINEA]=$B$2)*(DESC_PROV[LISTA]=$C$2),DESC_PROV[DESCUENTO]),0)),
   ((B73*(1+IFERROR(VLOOKUP($D$2,COLORES[],2,FALSE),0)))+C73)
   *(1-IFERROR(_xlfn.XLOOKUP(1,(DESC_PROV[LINEA]=$B$2)*(DESC_PROV[LISTA]=$C$2),DESC_PROV[DESCUENTO]),0))
   *(1+VLOOKUP($C$2,LISTAS[],2,FALSE))
   *(1+VLOOKUP($C$2,LISTAS[],3,FALSE))
)
/5,0)*5,0)</f>
        <v>247905</v>
      </c>
      <c r="M73" s="125" cm="1">
        <f t="array" ref="M73">IFERROR(
ROUND(
IF($A$2="COSTO",
   ((B73*(1+IFERROR(VLOOKUP($D$2,COLORES[],2,FALSE),0)))+D73)
   *(1-IFERROR(_xlfn.XLOOKUP(1,(DESC_PROV[LINEA]=$B$2)*(DESC_PROV[LISTA]=$C$2),DESC_PROV[DESCUENTO]),0)),
   ((B73*(1+IFERROR(VLOOKUP($D$2,COLORES[],2,FALSE),0)))+D73)
   *(1-IFERROR(_xlfn.XLOOKUP(1,(DESC_PROV[LINEA]=$B$2)*(DESC_PROV[LISTA]=$C$2),DESC_PROV[DESCUENTO]),0))
   *(1+VLOOKUP($C$2,LISTAS[],2,FALSE))
   *(1+VLOOKUP($C$2,LISTAS[],3,FALSE))
)
/5,0)*5,0)</f>
        <v>254710</v>
      </c>
      <c r="N73" s="125" cm="1">
        <f t="array" ref="N73">IFERROR(
ROUND(
IF($A$2="COSTO",
   ((B73*(1+IFERROR(VLOOKUP($D$2,COLORES[],2,FALSE),0)))+E73)
   *(1-IFERROR(_xlfn.XLOOKUP(1,(DESC_PROV[LINEA]=$B$2)*(DESC_PROV[LISTA]=$C$2),DESC_PROV[DESCUENTO]),0)),
   ((B73*(1+IFERROR(VLOOKUP($D$2,COLORES[],2,FALSE),0)))+E73)
   *(1-IFERROR(_xlfn.XLOOKUP(1,(DESC_PROV[LINEA]=$B$2)*(DESC_PROV[LISTA]=$C$2),DESC_PROV[DESCUENTO]),0))
   *(1+VLOOKUP($C$2,LISTAS[],2,FALSE))
   *(1+VLOOKUP($C$2,LISTAS[],3,FALSE))
)
/5,0)*5,0)</f>
        <v>267215</v>
      </c>
      <c r="O73" s="125" cm="1">
        <f t="array" ref="O73">IFERROR(
ROUND(
IF($A$2="COSTO",
   ((B73*(1+IFERROR(VLOOKUP($D$2,COLORES[],2,FALSE),0)))+F73)
   *(1-IFERROR(_xlfn.XLOOKUP(1,(DESC_PROV[LINEA]=$B$2)*(DESC_PROV[LISTA]=$C$2),DESC_PROV[DESCUENTO]),0)),
   ((B73*(1+IFERROR(VLOOKUP($D$2,COLORES[],2,FALSE),0)))+F73)
   *(1-IFERROR(_xlfn.XLOOKUP(1,(DESC_PROV[LINEA]=$B$2)*(DESC_PROV[LISTA]=$C$2),DESC_PROV[DESCUENTO]),0))
   *(1+VLOOKUP($C$2,LISTAS[],2,FALSE))
   *(1+VLOOKUP($C$2,LISTAS[],3,FALSE))
)
/5,0)*5,0)</f>
        <v>326910</v>
      </c>
      <c r="P73" s="125" cm="1">
        <f t="array" ref="P73">IFERROR(
ROUND(
IF($A$2="COSTO",
   ((B73*(1+IFERROR(VLOOKUP($D$2,COLORES[],2,FALSE),0)))+G73)
   *(1-IFERROR(_xlfn.XLOOKUP(1,(DESC_PROV[LINEA]=$B$2)*(DESC_PROV[LISTA]=$C$2),DESC_PROV[DESCUENTO]),0)),
   ((B73*(1+IFERROR(VLOOKUP($D$2,COLORES[],2,FALSE),0)))+G73)
   *(1-IFERROR(_xlfn.XLOOKUP(1,(DESC_PROV[LINEA]=$B$2)*(DESC_PROV[LISTA]=$C$2),DESC_PROV[DESCUENTO]),0))
   *(1+VLOOKUP($C$2,LISTAS[],2,FALSE))
   *(1+VLOOKUP($C$2,LISTAS[],3,FALSE))
)
/5,0)*5,0)</f>
        <v>258630</v>
      </c>
      <c r="Q73" s="125" cm="1">
        <f t="array" ref="Q73">IFERROR(
ROUND(
IF($A$2="COSTO",
   ((B73*(1+IFERROR(VLOOKUP($D$2,COLORES[],2,FALSE),0)))+H73)
   *(1-IFERROR(_xlfn.XLOOKUP(1,(DESC_PROV[LINEA]=$B$2)*(DESC_PROV[LISTA]=$C$2),DESC_PROV[DESCUENTO]),0)),
   ((B73*(1+IFERROR(VLOOKUP($D$2,COLORES[],2,FALSE),0)))+H73)
   *(1-IFERROR(_xlfn.XLOOKUP(1,(DESC_PROV[LINEA]=$B$2)*(DESC_PROV[LISTA]=$C$2),DESC_PROV[DESCUENTO]),0))
   *(1+VLOOKUP($C$2,LISTAS[],2,FALSE))
   *(1+VLOOKUP($C$2,LISTAS[],3,FALSE))
)
/5,0)*5,0)</f>
        <v>373330</v>
      </c>
      <c r="R73" s="126" cm="1">
        <f t="array" ref="R73">IFERROR(
ROUND(
IF($A$2="COSTO",
   ((B73*(1+IFERROR(VLOOKUP($D$2,COLORES[],2,FALSE),0)))+(D73+I73+D73))
   *(1-IFERROR(_xlfn.XLOOKUP(1,(DESC_PROV[LINEA]=$B$2)*(DESC_PROV[LISTA]=$C$2),DESC_PROV[DESCUENTO]),0)),
   ((B73*(1+IFERROR(VLOOKUP($D$2,COLORES[],2,FALSE),0)))+(D73+I73+D73))
   *(1-IFERROR(_xlfn.XLOOKUP(1,(DESC_PROV[LINEA]=$B$2)*(DESC_PROV[LISTA]=$C$2),DESC_PROV[DESCUENTO]),0))
   *(1+VLOOKUP($C$2,LISTAS[],2,FALSE))
   *(1+VLOOKUP($C$2,LISTAS[],3,FALSE))
)
/5,0)*5,0)</f>
        <v>379910</v>
      </c>
    </row>
    <row r="74" spans="1:18">
      <c r="A74" s="133" t="s">
        <v>153</v>
      </c>
      <c r="B74" s="125">
        <v>173425</v>
      </c>
      <c r="C74" s="125">
        <v>28743</v>
      </c>
      <c r="D74" s="125">
        <v>34815</v>
      </c>
      <c r="E74" s="125">
        <v>45965</v>
      </c>
      <c r="F74" s="125">
        <v>99197</v>
      </c>
      <c r="G74" s="125">
        <v>38309</v>
      </c>
      <c r="H74" s="125">
        <v>134729</v>
      </c>
      <c r="I74" s="125">
        <v>70156</v>
      </c>
      <c r="J74" s="124"/>
      <c r="K74" s="133" t="s">
        <v>153</v>
      </c>
      <c r="L74" s="125" cm="1">
        <f t="array" ref="L74">IFERROR(
ROUND(
IF($A$2="COSTO",
   ((B74*(1+IFERROR(VLOOKUP($D$2,COLORES[],2,FALSE),0)))+C74)
   *(1-IFERROR(_xlfn.XLOOKUP(1,(DESC_PROV[LINEA]=$B$2)*(DESC_PROV[LISTA]=$C$2),DESC_PROV[DESCUENTO]),0)),
   ((B74*(1+IFERROR(VLOOKUP($D$2,COLORES[],2,FALSE),0)))+C74)
   *(1-IFERROR(_xlfn.XLOOKUP(1,(DESC_PROV[LINEA]=$B$2)*(DESC_PROV[LISTA]=$C$2),DESC_PROV[DESCUENTO]),0))
   *(1+VLOOKUP($C$2,LISTAS[],2,FALSE))
   *(1+VLOOKUP($C$2,LISTAS[],3,FALSE))
)
/5,0)*5,0)</f>
        <v>259085</v>
      </c>
      <c r="M74" s="125" cm="1">
        <f t="array" ref="M74">IFERROR(
ROUND(
IF($A$2="COSTO",
   ((B74*(1+IFERROR(VLOOKUP($D$2,COLORES[],2,FALSE),0)))+D74)
   *(1-IFERROR(_xlfn.XLOOKUP(1,(DESC_PROV[LINEA]=$B$2)*(DESC_PROV[LISTA]=$C$2),DESC_PROV[DESCUENTO]),0)),
   ((B74*(1+IFERROR(VLOOKUP($D$2,COLORES[],2,FALSE),0)))+D74)
   *(1-IFERROR(_xlfn.XLOOKUP(1,(DESC_PROV[LINEA]=$B$2)*(DESC_PROV[LISTA]=$C$2),DESC_PROV[DESCUENTO]),0))
   *(1+VLOOKUP($C$2,LISTAS[],2,FALSE))
   *(1+VLOOKUP($C$2,LISTAS[],3,FALSE))
)
/5,0)*5,0)</f>
        <v>266870</v>
      </c>
      <c r="N74" s="125" cm="1">
        <f t="array" ref="N74">IFERROR(
ROUND(
IF($A$2="COSTO",
   ((B74*(1+IFERROR(VLOOKUP($D$2,COLORES[],2,FALSE),0)))+E74)
   *(1-IFERROR(_xlfn.XLOOKUP(1,(DESC_PROV[LINEA]=$B$2)*(DESC_PROV[LISTA]=$C$2),DESC_PROV[DESCUENTO]),0)),
   ((B74*(1+IFERROR(VLOOKUP($D$2,COLORES[],2,FALSE),0)))+E74)
   *(1-IFERROR(_xlfn.XLOOKUP(1,(DESC_PROV[LINEA]=$B$2)*(DESC_PROV[LISTA]=$C$2),DESC_PROV[DESCUENTO]),0))
   *(1+VLOOKUP($C$2,LISTAS[],2,FALSE))
   *(1+VLOOKUP($C$2,LISTAS[],3,FALSE))
)
/5,0)*5,0)</f>
        <v>281155</v>
      </c>
      <c r="O74" s="125" cm="1">
        <f t="array" ref="O74">IFERROR(
ROUND(
IF($A$2="COSTO",
   ((B74*(1+IFERROR(VLOOKUP($D$2,COLORES[],2,FALSE),0)))+F74)
   *(1-IFERROR(_xlfn.XLOOKUP(1,(DESC_PROV[LINEA]=$B$2)*(DESC_PROV[LISTA]=$C$2),DESC_PROV[DESCUENTO]),0)),
   ((B74*(1+IFERROR(VLOOKUP($D$2,COLORES[],2,FALSE),0)))+F74)
   *(1-IFERROR(_xlfn.XLOOKUP(1,(DESC_PROV[LINEA]=$B$2)*(DESC_PROV[LISTA]=$C$2),DESC_PROV[DESCUENTO]),0))
   *(1+VLOOKUP($C$2,LISTAS[],2,FALSE))
   *(1+VLOOKUP($C$2,LISTAS[],3,FALSE))
)
/5,0)*5,0)</f>
        <v>349375</v>
      </c>
      <c r="P74" s="125" cm="1">
        <f t="array" ref="P74">IFERROR(
ROUND(
IF($A$2="COSTO",
   ((B74*(1+IFERROR(VLOOKUP($D$2,COLORES[],2,FALSE),0)))+G74)
   *(1-IFERROR(_xlfn.XLOOKUP(1,(DESC_PROV[LINEA]=$B$2)*(DESC_PROV[LISTA]=$C$2),DESC_PROV[DESCUENTO]),0)),
   ((B74*(1+IFERROR(VLOOKUP($D$2,COLORES[],2,FALSE),0)))+G74)
   *(1-IFERROR(_xlfn.XLOOKUP(1,(DESC_PROV[LINEA]=$B$2)*(DESC_PROV[LISTA]=$C$2),DESC_PROV[DESCUENTO]),0))
   *(1+VLOOKUP($C$2,LISTAS[],2,FALSE))
   *(1+VLOOKUP($C$2,LISTAS[],3,FALSE))
)
/5,0)*5,0)</f>
        <v>271345</v>
      </c>
      <c r="Q74" s="125" cm="1">
        <f t="array" ref="Q74">IFERROR(
ROUND(
IF($A$2="COSTO",
   ((B74*(1+IFERROR(VLOOKUP($D$2,COLORES[],2,FALSE),0)))+H74)
   *(1-IFERROR(_xlfn.XLOOKUP(1,(DESC_PROV[LINEA]=$B$2)*(DESC_PROV[LISTA]=$C$2),DESC_PROV[DESCUENTO]),0)),
   ((B74*(1+IFERROR(VLOOKUP($D$2,COLORES[],2,FALSE),0)))+H74)
   *(1-IFERROR(_xlfn.XLOOKUP(1,(DESC_PROV[LINEA]=$B$2)*(DESC_PROV[LISTA]=$C$2),DESC_PROV[DESCUENTO]),0))
   *(1+VLOOKUP($C$2,LISTAS[],2,FALSE))
   *(1+VLOOKUP($C$2,LISTAS[],3,FALSE))
)
/5,0)*5,0)</f>
        <v>394910</v>
      </c>
      <c r="R74" s="126" cm="1">
        <f t="array" ref="R74">IFERROR(
ROUND(
IF($A$2="COSTO",
   ((B74*(1+IFERROR(VLOOKUP($D$2,COLORES[],2,FALSE),0)))+(D74+I74+D74))
   *(1-IFERROR(_xlfn.XLOOKUP(1,(DESC_PROV[LINEA]=$B$2)*(DESC_PROV[LISTA]=$C$2),DESC_PROV[DESCUENTO]),0)),
   ((B74*(1+IFERROR(VLOOKUP($D$2,COLORES[],2,FALSE),0)))+(D74+I74+D74))
   *(1-IFERROR(_xlfn.XLOOKUP(1,(DESC_PROV[LINEA]=$B$2)*(DESC_PROV[LISTA]=$C$2),DESC_PROV[DESCUENTO]),0))
   *(1+VLOOKUP($C$2,LISTAS[],2,FALSE))
   *(1+VLOOKUP($C$2,LISTAS[],3,FALSE))
)
/5,0)*5,0)</f>
        <v>401390</v>
      </c>
    </row>
    <row r="75" spans="1:18" ht="14.65" thickBot="1">
      <c r="A75" s="134" t="s">
        <v>114</v>
      </c>
      <c r="B75" s="125">
        <v>178550</v>
      </c>
      <c r="C75" s="125">
        <v>32336</v>
      </c>
      <c r="D75" s="125">
        <v>39168</v>
      </c>
      <c r="E75" s="125">
        <v>51712</v>
      </c>
      <c r="F75" s="125">
        <v>111596</v>
      </c>
      <c r="G75" s="125">
        <v>43096</v>
      </c>
      <c r="H75" s="125">
        <v>153278</v>
      </c>
      <c r="I75" s="125">
        <v>73079</v>
      </c>
      <c r="J75" s="124"/>
      <c r="K75" s="134" t="s">
        <v>114</v>
      </c>
      <c r="L75" s="125" cm="1">
        <f t="array" ref="L75">IFERROR(
ROUND(
IF($A$2="COSTO",
   ((B75*(1+IFERROR(VLOOKUP($D$2,COLORES[],2,FALSE),0)))+C75)
   *(1-IFERROR(_xlfn.XLOOKUP(1,(DESC_PROV[LINEA]=$B$2)*(DESC_PROV[LISTA]=$C$2),DESC_PROV[DESCUENTO]),0)),
   ((B75*(1+IFERROR(VLOOKUP($D$2,COLORES[],2,FALSE),0)))+C75)
   *(1-IFERROR(_xlfn.XLOOKUP(1,(DESC_PROV[LINEA]=$B$2)*(DESC_PROV[LISTA]=$C$2),DESC_PROV[DESCUENTO]),0))
   *(1+VLOOKUP($C$2,LISTAS[],2,FALSE))
   *(1+VLOOKUP($C$2,LISTAS[],3,FALSE))
)
/5,0)*5,0)</f>
        <v>270260</v>
      </c>
      <c r="M75" s="125" cm="1">
        <f t="array" ref="M75">IFERROR(
ROUND(
IF($A$2="COSTO",
   ((B75*(1+IFERROR(VLOOKUP($D$2,COLORES[],2,FALSE),0)))+D75)
   *(1-IFERROR(_xlfn.XLOOKUP(1,(DESC_PROV[LINEA]=$B$2)*(DESC_PROV[LISTA]=$C$2),DESC_PROV[DESCUENTO]),0)),
   ((B75*(1+IFERROR(VLOOKUP($D$2,COLORES[],2,FALSE),0)))+D75)
   *(1-IFERROR(_xlfn.XLOOKUP(1,(DESC_PROV[LINEA]=$B$2)*(DESC_PROV[LISTA]=$C$2),DESC_PROV[DESCUENTO]),0))
   *(1+VLOOKUP($C$2,LISTAS[],2,FALSE))
   *(1+VLOOKUP($C$2,LISTAS[],3,FALSE))
)
/5,0)*5,0)</f>
        <v>279015</v>
      </c>
      <c r="N75" s="125" cm="1">
        <f t="array" ref="N75">IFERROR(
ROUND(
IF($A$2="COSTO",
   ((B75*(1+IFERROR(VLOOKUP($D$2,COLORES[],2,FALSE),0)))+E75)
   *(1-IFERROR(_xlfn.XLOOKUP(1,(DESC_PROV[LINEA]=$B$2)*(DESC_PROV[LISTA]=$C$2),DESC_PROV[DESCUENTO]),0)),
   ((B75*(1+IFERROR(VLOOKUP($D$2,COLORES[],2,FALSE),0)))+E75)
   *(1-IFERROR(_xlfn.XLOOKUP(1,(DESC_PROV[LINEA]=$B$2)*(DESC_PROV[LISTA]=$C$2),DESC_PROV[DESCUENTO]),0))
   *(1+VLOOKUP($C$2,LISTAS[],2,FALSE))
   *(1+VLOOKUP($C$2,LISTAS[],3,FALSE))
)
/5,0)*5,0)</f>
        <v>295090</v>
      </c>
      <c r="O75" s="125" cm="1">
        <f t="array" ref="O75">IFERROR(
ROUND(
IF($A$2="COSTO",
   ((B75*(1+IFERROR(VLOOKUP($D$2,COLORES[],2,FALSE),0)))+F75)
   *(1-IFERROR(_xlfn.XLOOKUP(1,(DESC_PROV[LINEA]=$B$2)*(DESC_PROV[LISTA]=$C$2),DESC_PROV[DESCUENTO]),0)),
   ((B75*(1+IFERROR(VLOOKUP($D$2,COLORES[],2,FALSE),0)))+F75)
   *(1-IFERROR(_xlfn.XLOOKUP(1,(DESC_PROV[LINEA]=$B$2)*(DESC_PROV[LISTA]=$C$2),DESC_PROV[DESCUENTO]),0))
   *(1+VLOOKUP($C$2,LISTAS[],2,FALSE))
   *(1+VLOOKUP($C$2,LISTAS[],3,FALSE))
)
/5,0)*5,0)</f>
        <v>371835</v>
      </c>
      <c r="P75" s="125" cm="1">
        <f t="array" ref="P75">IFERROR(
ROUND(
IF($A$2="COSTO",
   ((B75*(1+IFERROR(VLOOKUP($D$2,COLORES[],2,FALSE),0)))+G75)
   *(1-IFERROR(_xlfn.XLOOKUP(1,(DESC_PROV[LINEA]=$B$2)*(DESC_PROV[LISTA]=$C$2),DESC_PROV[DESCUENTO]),0)),
   ((B75*(1+IFERROR(VLOOKUP($D$2,COLORES[],2,FALSE),0)))+G75)
   *(1-IFERROR(_xlfn.XLOOKUP(1,(DESC_PROV[LINEA]=$B$2)*(DESC_PROV[LISTA]=$C$2),DESC_PROV[DESCUENTO]),0))
   *(1+VLOOKUP($C$2,LISTAS[],2,FALSE))
   *(1+VLOOKUP($C$2,LISTAS[],3,FALSE))
)
/5,0)*5,0)</f>
        <v>284050</v>
      </c>
      <c r="Q75" s="125" cm="1">
        <f t="array" ref="Q75">IFERROR(
ROUND(
IF($A$2="COSTO",
   ((B75*(1+IFERROR(VLOOKUP($D$2,COLORES[],2,FALSE),0)))+H75)
   *(1-IFERROR(_xlfn.XLOOKUP(1,(DESC_PROV[LINEA]=$B$2)*(DESC_PROV[LISTA]=$C$2),DESC_PROV[DESCUENTO]),0)),
   ((B75*(1+IFERROR(VLOOKUP($D$2,COLORES[],2,FALSE),0)))+H75)
   *(1-IFERROR(_xlfn.XLOOKUP(1,(DESC_PROV[LINEA]=$B$2)*(DESC_PROV[LISTA]=$C$2),DESC_PROV[DESCUENTO]),0))
   *(1+VLOOKUP($C$2,LISTAS[],2,FALSE))
   *(1+VLOOKUP($C$2,LISTAS[],3,FALSE))
)
/5,0)*5,0)</f>
        <v>425250</v>
      </c>
      <c r="R75" s="126" cm="1">
        <f t="array" ref="R75">IFERROR(
ROUND(
IF($A$2="COSTO",
   ((B75*(1+IFERROR(VLOOKUP($D$2,COLORES[],2,FALSE),0)))+(D75+I75+D75))
   *(1-IFERROR(_xlfn.XLOOKUP(1,(DESC_PROV[LINEA]=$B$2)*(DESC_PROV[LISTA]=$C$2),DESC_PROV[DESCUENTO]),0)),
   ((B75*(1+IFERROR(VLOOKUP($D$2,COLORES[],2,FALSE),0)))+(D75+I75+D75))
   *(1-IFERROR(_xlfn.XLOOKUP(1,(DESC_PROV[LINEA]=$B$2)*(DESC_PROV[LISTA]=$C$2),DESC_PROV[DESCUENTO]),0))
   *(1+VLOOKUP($C$2,LISTAS[],2,FALSE))
   *(1+VLOOKUP($C$2,LISTAS[],3,FALSE))
)
/5,0)*5,0)</f>
        <v>422865</v>
      </c>
    </row>
  </sheetData>
  <mergeCells count="2">
    <mergeCell ref="A5:I5"/>
    <mergeCell ref="K5:R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C607-4C10-4E36-8F4A-087C3737E0D8}">
  <sheetPr codeName="Hoja10">
    <tabColor rgb="FFFF0000"/>
  </sheetPr>
  <dimension ref="A1:R30"/>
  <sheetViews>
    <sheetView zoomScale="40" zoomScaleNormal="40" workbookViewId="0">
      <selection activeCell="E2" sqref="E2"/>
    </sheetView>
  </sheetViews>
  <sheetFormatPr baseColWidth="10" defaultRowHeight="14.25"/>
  <cols>
    <col min="1" max="1" width="17.1328125" customWidth="1"/>
    <col min="2" max="2" width="12.73046875" customWidth="1"/>
    <col min="3" max="5" width="8.73046875"/>
    <col min="6" max="6" width="12.1328125" customWidth="1"/>
    <col min="7" max="7" width="14.73046875" customWidth="1"/>
    <col min="8" max="8" width="11.265625" customWidth="1"/>
    <col min="9" max="9" width="14" customWidth="1"/>
    <col min="10" max="10" width="8.73046875"/>
    <col min="11" max="11" width="17.1328125" customWidth="1"/>
    <col min="12" max="12" width="10.73046875" bestFit="1" customWidth="1"/>
    <col min="13" max="14" width="8.73046875"/>
    <col min="15" max="15" width="12.1328125" customWidth="1"/>
    <col min="16" max="16" width="14.73046875" customWidth="1"/>
    <col min="17" max="17" width="11.265625" customWidth="1"/>
    <col min="18" max="18" width="14" customWidth="1"/>
  </cols>
  <sheetData>
    <row r="1" spans="1:18">
      <c r="A1" s="254" t="s">
        <v>34</v>
      </c>
      <c r="B1" s="255" t="s">
        <v>396</v>
      </c>
      <c r="C1" s="255" t="s">
        <v>397</v>
      </c>
      <c r="D1" s="256" t="s">
        <v>28</v>
      </c>
      <c r="E1" s="256" t="s">
        <v>404</v>
      </c>
    </row>
    <row r="2" spans="1:18" ht="14.65" thickBot="1">
      <c r="A2" s="210" t="str">
        <f>CONTROL!B4</f>
        <v>VENTA</v>
      </c>
      <c r="B2" s="252" t="s">
        <v>400</v>
      </c>
      <c r="C2" s="252" t="str">
        <f>CONTROL!C4</f>
        <v>AMARILLA</v>
      </c>
      <c r="D2" s="253" t="str">
        <f>CONTROL!D4</f>
        <v>BLANCO</v>
      </c>
      <c r="E2" s="257">
        <v>0.8</v>
      </c>
    </row>
    <row r="4" spans="1:18" ht="14.65" thickBot="1"/>
    <row r="5" spans="1:18" ht="25.9" thickBot="1">
      <c r="A5" s="276" t="s">
        <v>262</v>
      </c>
      <c r="B5" s="277"/>
      <c r="C5" s="277"/>
      <c r="D5" s="277"/>
      <c r="E5" s="277"/>
      <c r="F5" s="277"/>
      <c r="G5" s="277"/>
      <c r="H5" s="277"/>
      <c r="I5" s="278"/>
      <c r="J5" s="2"/>
      <c r="K5" s="276" t="s">
        <v>262</v>
      </c>
      <c r="L5" s="277"/>
      <c r="M5" s="277"/>
      <c r="N5" s="277"/>
      <c r="O5" s="277"/>
      <c r="P5" s="277"/>
      <c r="Q5" s="277"/>
      <c r="R5" s="278"/>
    </row>
    <row r="6" spans="1:18" ht="16.899999999999999">
      <c r="A6" s="258"/>
      <c r="B6" s="16" t="s">
        <v>196</v>
      </c>
      <c r="C6" s="16" t="s">
        <v>263</v>
      </c>
      <c r="D6" s="16" t="s">
        <v>264</v>
      </c>
      <c r="E6" s="16" t="s">
        <v>265</v>
      </c>
      <c r="F6" s="16" t="s">
        <v>200</v>
      </c>
      <c r="G6" s="16" t="s">
        <v>201</v>
      </c>
      <c r="H6" s="16" t="s">
        <v>259</v>
      </c>
      <c r="I6" s="17" t="s">
        <v>253</v>
      </c>
      <c r="J6" s="2"/>
      <c r="K6" s="258"/>
      <c r="L6" s="16" t="s">
        <v>263</v>
      </c>
      <c r="M6" s="16" t="s">
        <v>264</v>
      </c>
      <c r="N6" s="16" t="s">
        <v>265</v>
      </c>
      <c r="O6" s="16" t="s">
        <v>200</v>
      </c>
      <c r="P6" s="16" t="s">
        <v>201</v>
      </c>
      <c r="Q6" s="16" t="s">
        <v>259</v>
      </c>
      <c r="R6" s="17" t="s">
        <v>253</v>
      </c>
    </row>
    <row r="7" spans="1:18" ht="16.899999999999999">
      <c r="A7" s="259" t="s">
        <v>203</v>
      </c>
      <c r="B7" s="64">
        <v>262845</v>
      </c>
      <c r="C7" s="64">
        <v>0</v>
      </c>
      <c r="D7" s="64">
        <v>24077</v>
      </c>
      <c r="E7" s="64">
        <v>31709</v>
      </c>
      <c r="F7" s="64">
        <v>26500</v>
      </c>
      <c r="G7" s="64">
        <v>68616</v>
      </c>
      <c r="H7" s="64">
        <v>102678</v>
      </c>
      <c r="I7" s="64">
        <v>70560</v>
      </c>
      <c r="J7" s="2"/>
      <c r="K7" s="259" t="s">
        <v>203</v>
      </c>
      <c r="L7" s="65" cm="1">
        <f t="array" ref="L7">IFERROR(
ROUND(
IF($A$2="COSTO",
   ((B7*(1+IFERROR(VLOOKUP($D$2,COLORES[],2,FALSE),0)) + E7)
   *IF($E$2=0.8,1,IF($E$2=0.7,1-7%,1+10%)))
   *(1-_xlfn.XLOOKUP(1,(DESC_PROV[LINEA]=$B$2)*(DESC_PROV[LISTA]=$C$2),DESC_PROV[DESCUENTO])),
   ((B7*(1+IFERROR(VLOOKUP($D$2,COLORES[],2,FALSE),0)) + E7)
   *IF($E$2=0.8,1,IF($E$2=0.7,1-7%,1+10%)))
   *(1-_xlfn.XLOOKUP(1,(DESC_PROV[LINEA]=$B$2)*(DESC_PROV[LISTA]=$C$2),DESC_PROV[DESCUENTO]))
   *(1+VLOOKUP($C$2,LISTAS[],2,FALSE))
   *(1+VLOOKUP($C$2,LISTAS[],3,FALSE))
)
/5,0)*5,0)</f>
        <v>377485</v>
      </c>
      <c r="M7" s="65" cm="1">
        <f t="array" ref="M7">IFERROR(
ROUND(
IF($A$2="COSTO",
   ((B7*(1+IFERROR(VLOOKUP($D$2,COLORES[],2,FALSE),0)) + D7)
   *IF($E$2=0.8,1,IF($E$2=0.7,1-7%,1+10%)))
   *(1-_xlfn.XLOOKUP(1,(DESC_PROV[LINEA]=$B$2)*(DESC_PROV[LISTA]=$C$2),DESC_PROV[DESCUENTO])),
   ((B7*(1+IFERROR(VLOOKUP($D$2,COLORES[],2,FALSE),0)) + D7)
   *IF($E$2=0.8,1,IF($E$2=0.7,1-7%,1+10%)))
   *(1-_xlfn.XLOOKUP(1,(DESC_PROV[LINEA]=$B$2)*(DESC_PROV[LISTA]=$C$2),DESC_PROV[DESCUENTO]))
   *(1+VLOOKUP($C$2,LISTAS[],2,FALSE))
   *(1+VLOOKUP($C$2,LISTAS[],3,FALSE))
)
/5,0)*5,0)</f>
        <v>367700</v>
      </c>
      <c r="N7" s="65" cm="1">
        <f t="array" ref="N7">IFERROR(
ROUND(
IF($A$2="COSTO",
   ((B7*(1+IFERROR(VLOOKUP($D$2,COLORES[],2,FALSE),0)) + E7)
   *IF($E$2=0.8,1,IF($E$2=0.7,1-7%,1+10%)))
   *(1-_xlfn.XLOOKUP(1,(DESC_PROV[LINEA]=$B$2)*(DESC_PROV[LISTA]=$C$2),DESC_PROV[DESCUENTO])),
   ((B7*(1+IFERROR(VLOOKUP($D$2,COLORES[],2,FALSE),0)) + E7)
   *IF($E$2=0.8,1,IF($E$2=0.7,1-7%,1+10%)))
   *(1-_xlfn.XLOOKUP(1,(DESC_PROV[LINEA]=$B$2)*(DESC_PROV[LISTA]=$C$2),DESC_PROV[DESCUENTO]))
   *(1+VLOOKUP($C$2,LISTAS[],2,FALSE))
   *(1+VLOOKUP($C$2,LISTAS[],3,FALSE))
)
/5,0)*5,0)</f>
        <v>377485</v>
      </c>
      <c r="O7" s="65" cm="1">
        <f t="array" ref="O7">IFERROR(
ROUND(
IF($A$2="COSTO",
   ((B7*(1+IFERROR(VLOOKUP($D$2,COLORES[],2,FALSE),0)) + F7)
   *IF($E$2=0.8,1,IF($E$2=0.7,1-7%,1+10%)))
   *(1-_xlfn.XLOOKUP(1,(DESC_PROV[LINEA]=$B$2)*(DESC_PROV[LISTA]=$C$2),DESC_PROV[DESCUENTO])),
   ((B7*(1+IFERROR(VLOOKUP($D$2,COLORES[],2,FALSE),0)) + F7)
   *IF($E$2=0.8,1,IF($E$2=0.7,1-7%,1+10%)))
   *(1-_xlfn.XLOOKUP(1,(DESC_PROV[LINEA]=$B$2)*(DESC_PROV[LISTA]=$C$2),DESC_PROV[DESCUENTO]))
   *(1+VLOOKUP($C$2,LISTAS[],2,FALSE))
   *(1+VLOOKUP($C$2,LISTAS[],3,FALSE))
)
/5,0)*5,0)</f>
        <v>370805</v>
      </c>
      <c r="P7" s="65" cm="1">
        <f t="array" ref="P7">IFERROR(
ROUND(
IF($A$2="COSTO",
   ((B7*(1+IFERROR(VLOOKUP($D$2,COLORES[],2,FALSE),0)) + G7)
   *IF($E$2=0.8,1,IF($E$2=0.7,1-7%,1+10%)))
   *(1-_xlfn.XLOOKUP(1,(DESC_PROV[LINEA]=$B$2)*(DESC_PROV[LISTA]=$C$2),DESC_PROV[DESCUENTO])),
   ((B7*(1+IFERROR(VLOOKUP($D$2,COLORES[],2,FALSE),0)) + G7)
   *IF($E$2=0.8,1,IF($E$2=0.7,1-7%,1+10%)))
   *(1-_xlfn.XLOOKUP(1,(DESC_PROV[LINEA]=$B$2)*(DESC_PROV[LISTA]=$C$2),DESC_PROV[DESCUENTO]))
   *(1+VLOOKUP($C$2,LISTAS[],2,FALSE))
   *(1+VLOOKUP($C$2,LISTAS[],3,FALSE))
)
/5,0)*5,0)</f>
        <v>424780</v>
      </c>
      <c r="Q7" s="65" cm="1">
        <f t="array" ref="Q7">IFERROR(
ROUND(
IF($A$2="COSTO",
   ((B7*(1+IFERROR(VLOOKUP($D$2,COLORES[],2,FALSE),0)) + H7)
   *IF($E$2=0.8,1,IF($E$2=0.7,1-7%,1+10%)))
   *(1-_xlfn.XLOOKUP(1,(DESC_PROV[LINEA]=$B$2)*(DESC_PROV[LISTA]=$C$2),DESC_PROV[DESCUENTO])),
   ((B7*(1+IFERROR(VLOOKUP($D$2,COLORES[],2,FALSE),0)) + H7)
   *IF($E$2=0.8,1,IF($E$2=0.7,1-7%,1+10%)))
   *(1-_xlfn.XLOOKUP(1,(DESC_PROV[LINEA]=$B$2)*(DESC_PROV[LISTA]=$C$2),DESC_PROV[DESCUENTO]))
   *(1+VLOOKUP($C$2,LISTAS[],2,FALSE))
   *(1+VLOOKUP($C$2,LISTAS[],3,FALSE))
)
/5,0)*5,0)</f>
        <v>468430</v>
      </c>
      <c r="R7" s="65" cm="1">
        <f t="array" ref="R7">IFERROR(
ROUND(
IF($A$2="COSTO",
   ((B7*(1+IFERROR(VLOOKUP($D$2,COLORES[],2,FALSE),0)) + D7 + I7 + D7)
   *IF($E$2=0.8,1,IF($E$2=0.7,1-7%,1+10%)))
   *(1-_xlfn.XLOOKUP(1,(DESC_PROV[LINEA]=$B$2)*(DESC_PROV[LISTA]=$C$2),DESC_PROV[DESCUENTO])),
   ((B7*(1+IFERROR(VLOOKUP($D$2,COLORES[],2,FALSE),0)) + D7 + I7 + D7)
   *IF($E$2=0.8,1,IF($E$2=0.7,1-7%,1+10%)))
   *(1-_xlfn.XLOOKUP(1,(DESC_PROV[LINEA]=$B$2)*(DESC_PROV[LISTA]=$C$2),DESC_PROV[DESCUENTO]))
   *(1+VLOOKUP($C$2,LISTAS[],2,FALSE))
   *(1+VLOOKUP($C$2,LISTAS[],3,FALSE))
)
/5,0)*5,0)</f>
        <v>488985</v>
      </c>
    </row>
    <row r="8" spans="1:18" ht="16.899999999999999">
      <c r="A8" s="259" t="s">
        <v>205</v>
      </c>
      <c r="B8" s="64">
        <v>290723</v>
      </c>
      <c r="C8" s="64">
        <v>0</v>
      </c>
      <c r="D8" s="64">
        <v>24077</v>
      </c>
      <c r="E8" s="64">
        <v>0</v>
      </c>
      <c r="F8" s="64">
        <v>26500</v>
      </c>
      <c r="G8" s="64">
        <v>68616</v>
      </c>
      <c r="H8" s="64">
        <v>0</v>
      </c>
      <c r="I8" s="64">
        <v>0</v>
      </c>
      <c r="J8" s="2"/>
      <c r="K8" s="259" t="s">
        <v>205</v>
      </c>
      <c r="L8" s="65" cm="1">
        <f t="array" ref="L8">IFERROR(
ROUND(
IF($A$2="COSTO",
   ((B8*(1+IFERROR(VLOOKUP($D$2,COLORES[],2,FALSE),0)) + E8)
   *IF($E$2=0.8,1,IF($E$2=0.7,1-7%,1+10%)))
   *(1-_xlfn.XLOOKUP(1,(DESC_PROV[LINEA]=$B$2)*(DESC_PROV[LISTA]=$C$2),DESC_PROV[DESCUENTO])),
   ((B8*(1+IFERROR(VLOOKUP($D$2,COLORES[],2,FALSE),0)) + E8)
   *IF($E$2=0.8,1,IF($E$2=0.7,1-7%,1+10%)))
   *(1-_xlfn.XLOOKUP(1,(DESC_PROV[LINEA]=$B$2)*(DESC_PROV[LISTA]=$C$2),DESC_PROV[DESCUENTO]))
   *(1+VLOOKUP($C$2,LISTAS[],2,FALSE))
   *(1+VLOOKUP($C$2,LISTAS[],3,FALSE))
)
/5,0)*5,0)</f>
        <v>372575</v>
      </c>
      <c r="M8" s="65" cm="1">
        <f t="array" ref="M8">IFERROR(
ROUND(
IF($A$2="COSTO",
   ((B8*(1+IFERROR(VLOOKUP($D$2,COLORES[],2,FALSE),0)) + D8)
   *IF($E$2=0.8,1,IF($E$2=0.7,1-7%,1+10%)))
   *(1-_xlfn.XLOOKUP(1,(DESC_PROV[LINEA]=$B$2)*(DESC_PROV[LISTA]=$C$2),DESC_PROV[DESCUENTO])),
   ((B8*(1+IFERROR(VLOOKUP($D$2,COLORES[],2,FALSE),0)) + D8)
   *IF($E$2=0.8,1,IF($E$2=0.7,1-7%,1+10%)))
   *(1-_xlfn.XLOOKUP(1,(DESC_PROV[LINEA]=$B$2)*(DESC_PROV[LISTA]=$C$2),DESC_PROV[DESCUENTO]))
   *(1+VLOOKUP($C$2,LISTAS[],2,FALSE))
   *(1+VLOOKUP($C$2,LISTAS[],3,FALSE))
)
/5,0)*5,0)</f>
        <v>403430</v>
      </c>
      <c r="N8" s="65" cm="1">
        <f t="array" ref="N8">IFERROR(
ROUND(
IF($A$2="COSTO",
   ((B8*(1+IFERROR(VLOOKUP($D$2,COLORES[],2,FALSE),0)) + E8)
   *IF($E$2=0.8,1,IF($E$2=0.7,1-7%,1+10%)))
   *(1-_xlfn.XLOOKUP(1,(DESC_PROV[LINEA]=$B$2)*(DESC_PROV[LISTA]=$C$2),DESC_PROV[DESCUENTO])),
   ((B8*(1+IFERROR(VLOOKUP($D$2,COLORES[],2,FALSE),0)) + E8)
   *IF($E$2=0.8,1,IF($E$2=0.7,1-7%,1+10%)))
   *(1-_xlfn.XLOOKUP(1,(DESC_PROV[LINEA]=$B$2)*(DESC_PROV[LISTA]=$C$2),DESC_PROV[DESCUENTO]))
   *(1+VLOOKUP($C$2,LISTAS[],2,FALSE))
   *(1+VLOOKUP($C$2,LISTAS[],3,FALSE))
)
/5,0)*5,0)</f>
        <v>372575</v>
      </c>
      <c r="O8" s="65" cm="1">
        <f t="array" ref="O8">IFERROR(
ROUND(
IF($A$2="COSTO",
   ((B8*(1+IFERROR(VLOOKUP($D$2,COLORES[],2,FALSE),0)) + F8)
   *IF($E$2=0.8,1,IF($E$2=0.7,1-7%,1+10%)))
   *(1-_xlfn.XLOOKUP(1,(DESC_PROV[LINEA]=$B$2)*(DESC_PROV[LISTA]=$C$2),DESC_PROV[DESCUENTO])),
   ((B8*(1+IFERROR(VLOOKUP($D$2,COLORES[],2,FALSE),0)) + F8)
   *IF($E$2=0.8,1,IF($E$2=0.7,1-7%,1+10%)))
   *(1-_xlfn.XLOOKUP(1,(DESC_PROV[LINEA]=$B$2)*(DESC_PROV[LISTA]=$C$2),DESC_PROV[DESCUENTO]))
   *(1+VLOOKUP($C$2,LISTAS[],2,FALSE))
   *(1+VLOOKUP($C$2,LISTAS[],3,FALSE))
)
/5,0)*5,0)</f>
        <v>406535</v>
      </c>
      <c r="P8" s="65" cm="1">
        <f t="array" ref="P8">IFERROR(
ROUND(
IF($A$2="COSTO",
   ((B8*(1+IFERROR(VLOOKUP($D$2,COLORES[],2,FALSE),0)) + G8)
   *IF($E$2=0.8,1,IF($E$2=0.7,1-7%,1+10%)))
   *(1-_xlfn.XLOOKUP(1,(DESC_PROV[LINEA]=$B$2)*(DESC_PROV[LISTA]=$C$2),DESC_PROV[DESCUENTO])),
   ((B8*(1+IFERROR(VLOOKUP($D$2,COLORES[],2,FALSE),0)) + G8)
   *IF($E$2=0.8,1,IF($E$2=0.7,1-7%,1+10%)))
   *(1-_xlfn.XLOOKUP(1,(DESC_PROV[LINEA]=$B$2)*(DESC_PROV[LISTA]=$C$2),DESC_PROV[DESCUENTO]))
   *(1+VLOOKUP($C$2,LISTAS[],2,FALSE))
   *(1+VLOOKUP($C$2,LISTAS[],3,FALSE))
)
/5,0)*5,0)</f>
        <v>460505</v>
      </c>
      <c r="Q8" s="65" cm="1">
        <f t="array" ref="Q8">IFERROR(
ROUND(
IF($A$2="COSTO",
   ((B8*(1+IFERROR(VLOOKUP($D$2,COLORES[],2,FALSE),0)) + H8)
   *IF($E$2=0.8,1,IF($E$2=0.7,1-7%,1+10%)))
   *(1-_xlfn.XLOOKUP(1,(DESC_PROV[LINEA]=$B$2)*(DESC_PROV[LISTA]=$C$2),DESC_PROV[DESCUENTO])),
   ((B8*(1+IFERROR(VLOOKUP($D$2,COLORES[],2,FALSE),0)) + H8)
   *IF($E$2=0.8,1,IF($E$2=0.7,1-7%,1+10%)))
   *(1-_xlfn.XLOOKUP(1,(DESC_PROV[LINEA]=$B$2)*(DESC_PROV[LISTA]=$C$2),DESC_PROV[DESCUENTO]))
   *(1+VLOOKUP($C$2,LISTAS[],2,FALSE))
   *(1+VLOOKUP($C$2,LISTAS[],3,FALSE))
)
/5,0)*5,0)</f>
        <v>372575</v>
      </c>
      <c r="R8" s="65" cm="1">
        <f t="array" ref="R8">IFERROR(
ROUND(
IF($A$2="COSTO",
   ((B8*(1+IFERROR(VLOOKUP($D$2,COLORES[],2,FALSE),0)) + D8 + I8 + D8)
   *IF($E$2=0.8,1,IF($E$2=0.7,1-7%,1+10%)))
   *(1-_xlfn.XLOOKUP(1,(DESC_PROV[LINEA]=$B$2)*(DESC_PROV[LISTA]=$C$2),DESC_PROV[DESCUENTO])),
   ((B8*(1+IFERROR(VLOOKUP($D$2,COLORES[],2,FALSE),0)) + D8 + I8 + D8)
   *IF($E$2=0.8,1,IF($E$2=0.7,1-7%,1+10%)))
   *(1-_xlfn.XLOOKUP(1,(DESC_PROV[LINEA]=$B$2)*(DESC_PROV[LISTA]=$C$2),DESC_PROV[DESCUENTO]))
   *(1+VLOOKUP($C$2,LISTAS[],2,FALSE))
   *(1+VLOOKUP($C$2,LISTAS[],3,FALSE))
)
/5,0)*5,0)</f>
        <v>434285</v>
      </c>
    </row>
    <row r="9" spans="1:18" ht="16.899999999999999">
      <c r="A9" s="259" t="s">
        <v>206</v>
      </c>
      <c r="B9" s="64">
        <v>272881</v>
      </c>
      <c r="C9" s="64">
        <v>18819</v>
      </c>
      <c r="D9" s="64">
        <v>22817</v>
      </c>
      <c r="E9" s="64">
        <v>30037</v>
      </c>
      <c r="F9" s="64">
        <v>25104</v>
      </c>
      <c r="G9" s="64">
        <v>65006</v>
      </c>
      <c r="H9" s="64">
        <v>97268</v>
      </c>
      <c r="I9" s="64">
        <v>90720</v>
      </c>
      <c r="J9" s="2"/>
      <c r="K9" s="259" t="s">
        <v>206</v>
      </c>
      <c r="L9" s="65" cm="1">
        <f t="array" ref="L9">IFERROR(
ROUND(
IF($A$2="COSTO",
   ((B9*(1+IFERROR(VLOOKUP($D$2,COLORES[],2,FALSE),0)) + E9)
   *IF($E$2=0.8,1,IF($E$2=0.7,1-7%,1+10%)))
   *(1-_xlfn.XLOOKUP(1,(DESC_PROV[LINEA]=$B$2)*(DESC_PROV[LISTA]=$C$2),DESC_PROV[DESCUENTO])),
   ((B9*(1+IFERROR(VLOOKUP($D$2,COLORES[],2,FALSE),0)) + E9)
   *IF($E$2=0.8,1,IF($E$2=0.7,1-7%,1+10%)))
   *(1-_xlfn.XLOOKUP(1,(DESC_PROV[LINEA]=$B$2)*(DESC_PROV[LISTA]=$C$2),DESC_PROV[DESCUENTO]))
   *(1+VLOOKUP($C$2,LISTAS[],2,FALSE))
   *(1+VLOOKUP($C$2,LISTAS[],3,FALSE))
)
/5,0)*5,0)</f>
        <v>388200</v>
      </c>
      <c r="M9" s="65" cm="1">
        <f t="array" ref="M9">IFERROR(
ROUND(
IF($A$2="COSTO",
   ((B9*(1+IFERROR(VLOOKUP($D$2,COLORES[],2,FALSE),0)) + D9)
   *IF($E$2=0.8,1,IF($E$2=0.7,1-7%,1+10%)))
   *(1-_xlfn.XLOOKUP(1,(DESC_PROV[LINEA]=$B$2)*(DESC_PROV[LISTA]=$C$2),DESC_PROV[DESCUENTO])),
   ((B9*(1+IFERROR(VLOOKUP($D$2,COLORES[],2,FALSE),0)) + D9)
   *IF($E$2=0.8,1,IF($E$2=0.7,1-7%,1+10%)))
   *(1-_xlfn.XLOOKUP(1,(DESC_PROV[LINEA]=$B$2)*(DESC_PROV[LISTA]=$C$2),DESC_PROV[DESCUENTO]))
   *(1+VLOOKUP($C$2,LISTAS[],2,FALSE))
   *(1+VLOOKUP($C$2,LISTAS[],3,FALSE))
)
/5,0)*5,0)</f>
        <v>378950</v>
      </c>
      <c r="N9" s="65" cm="1">
        <f t="array" ref="N9">IFERROR(
ROUND(
IF($A$2="COSTO",
   ((B9*(1+IFERROR(VLOOKUP($D$2,COLORES[],2,FALSE),0)) + E9)
   *IF($E$2=0.8,1,IF($E$2=0.7,1-7%,1+10%)))
   *(1-_xlfn.XLOOKUP(1,(DESC_PROV[LINEA]=$B$2)*(DESC_PROV[LISTA]=$C$2),DESC_PROV[DESCUENTO])),
   ((B9*(1+IFERROR(VLOOKUP($D$2,COLORES[],2,FALSE),0)) + E9)
   *IF($E$2=0.8,1,IF($E$2=0.7,1-7%,1+10%)))
   *(1-_xlfn.XLOOKUP(1,(DESC_PROV[LINEA]=$B$2)*(DESC_PROV[LISTA]=$C$2),DESC_PROV[DESCUENTO]))
   *(1+VLOOKUP($C$2,LISTAS[],2,FALSE))
   *(1+VLOOKUP($C$2,LISTAS[],3,FALSE))
)
/5,0)*5,0)</f>
        <v>388200</v>
      </c>
      <c r="O9" s="65" cm="1">
        <f t="array" ref="O9">IFERROR(
ROUND(
IF($A$2="COSTO",
   ((B9*(1+IFERROR(VLOOKUP($D$2,COLORES[],2,FALSE),0)) + F9)
   *IF($E$2=0.8,1,IF($E$2=0.7,1-7%,1+10%)))
   *(1-_xlfn.XLOOKUP(1,(DESC_PROV[LINEA]=$B$2)*(DESC_PROV[LISTA]=$C$2),DESC_PROV[DESCUENTO])),
   ((B9*(1+IFERROR(VLOOKUP($D$2,COLORES[],2,FALSE),0)) + F9)
   *IF($E$2=0.8,1,IF($E$2=0.7,1-7%,1+10%)))
   *(1-_xlfn.XLOOKUP(1,(DESC_PROV[LINEA]=$B$2)*(DESC_PROV[LISTA]=$C$2),DESC_PROV[DESCUENTO]))
   *(1+VLOOKUP($C$2,LISTAS[],2,FALSE))
   *(1+VLOOKUP($C$2,LISTAS[],3,FALSE))
)
/5,0)*5,0)</f>
        <v>381880</v>
      </c>
      <c r="P9" s="65" cm="1">
        <f t="array" ref="P9">IFERROR(
ROUND(
IF($A$2="COSTO",
   ((B9*(1+IFERROR(VLOOKUP($D$2,COLORES[],2,FALSE),0)) + G9)
   *IF($E$2=0.8,1,IF($E$2=0.7,1-7%,1+10%)))
   *(1-_xlfn.XLOOKUP(1,(DESC_PROV[LINEA]=$B$2)*(DESC_PROV[LISTA]=$C$2),DESC_PROV[DESCUENTO])),
   ((B9*(1+IFERROR(VLOOKUP($D$2,COLORES[],2,FALSE),0)) + G9)
   *IF($E$2=0.8,1,IF($E$2=0.7,1-7%,1+10%)))
   *(1-_xlfn.XLOOKUP(1,(DESC_PROV[LINEA]=$B$2)*(DESC_PROV[LISTA]=$C$2),DESC_PROV[DESCUENTO]))
   *(1+VLOOKUP($C$2,LISTAS[],2,FALSE))
   *(1+VLOOKUP($C$2,LISTAS[],3,FALSE))
)
/5,0)*5,0)</f>
        <v>433015</v>
      </c>
      <c r="Q9" s="65" cm="1">
        <f t="array" ref="Q9">IFERROR(
ROUND(
IF($A$2="COSTO",
   ((B9*(1+IFERROR(VLOOKUP($D$2,COLORES[],2,FALSE),0)) + H9)
   *IF($E$2=0.8,1,IF($E$2=0.7,1-7%,1+10%)))
   *(1-_xlfn.XLOOKUP(1,(DESC_PROV[LINEA]=$B$2)*(DESC_PROV[LISTA]=$C$2),DESC_PROV[DESCUENTO])),
   ((B9*(1+IFERROR(VLOOKUP($D$2,COLORES[],2,FALSE),0)) + H9)
   *IF($E$2=0.8,1,IF($E$2=0.7,1-7%,1+10%)))
   *(1-_xlfn.XLOOKUP(1,(DESC_PROV[LINEA]=$B$2)*(DESC_PROV[LISTA]=$C$2),DESC_PROV[DESCUENTO]))
   *(1+VLOOKUP($C$2,LISTAS[],2,FALSE))
   *(1+VLOOKUP($C$2,LISTAS[],3,FALSE))
)
/5,0)*5,0)</f>
        <v>474360</v>
      </c>
      <c r="R9" s="65" cm="1">
        <f t="array" ref="R9">IFERROR(
ROUND(
IF($A$2="COSTO",
   ((B9*(1+IFERROR(VLOOKUP($D$2,COLORES[],2,FALSE),0)) + D9 + I9 + D9)
   *IF($E$2=0.8,1,IF($E$2=0.7,1-7%,1+10%)))
   *(1-_xlfn.XLOOKUP(1,(DESC_PROV[LINEA]=$B$2)*(DESC_PROV[LISTA]=$C$2),DESC_PROV[DESCUENTO])),
   ((B9*(1+IFERROR(VLOOKUP($D$2,COLORES[],2,FALSE),0)) + D9 + I9 + D9)
   *IF($E$2=0.8,1,IF($E$2=0.7,1-7%,1+10%)))
   *(1-_xlfn.XLOOKUP(1,(DESC_PROV[LINEA]=$B$2)*(DESC_PROV[LISTA]=$C$2),DESC_PROV[DESCUENTO]))
   *(1+VLOOKUP($C$2,LISTAS[],2,FALSE))
   *(1+VLOOKUP($C$2,LISTAS[],3,FALSE))
)
/5,0)*5,0)</f>
        <v>524450</v>
      </c>
    </row>
    <row r="10" spans="1:18" ht="16.899999999999999">
      <c r="A10" s="259" t="s">
        <v>207</v>
      </c>
      <c r="B10" s="64">
        <v>323060</v>
      </c>
      <c r="C10" s="64">
        <v>9410</v>
      </c>
      <c r="D10" s="64">
        <v>11408</v>
      </c>
      <c r="E10" s="64">
        <v>15018</v>
      </c>
      <c r="F10" s="64">
        <v>12552</v>
      </c>
      <c r="G10" s="64">
        <v>32503</v>
      </c>
      <c r="H10" s="64">
        <v>48634</v>
      </c>
      <c r="I10" s="64">
        <v>45360</v>
      </c>
      <c r="J10" s="2"/>
      <c r="K10" s="259" t="s">
        <v>207</v>
      </c>
      <c r="L10" s="65" cm="1">
        <f t="array" ref="L10">IFERROR(
ROUND(
IF($A$2="COSTO",
   ((B10*(1+IFERROR(VLOOKUP($D$2,COLORES[],2,FALSE),0)) + E10)
   *IF($E$2=0.8,1,IF($E$2=0.7,1-7%,1+10%)))
   *(1-_xlfn.XLOOKUP(1,(DESC_PROV[LINEA]=$B$2)*(DESC_PROV[LISTA]=$C$2),DESC_PROV[DESCUENTO])),
   ((B10*(1+IFERROR(VLOOKUP($D$2,COLORES[],2,FALSE),0)) + E10)
   *IF($E$2=0.8,1,IF($E$2=0.7,1-7%,1+10%)))
   *(1-_xlfn.XLOOKUP(1,(DESC_PROV[LINEA]=$B$2)*(DESC_PROV[LISTA]=$C$2),DESC_PROV[DESCUENTO]))
   *(1+VLOOKUP($C$2,LISTAS[],2,FALSE))
   *(1+VLOOKUP($C$2,LISTAS[],3,FALSE))
)
/5,0)*5,0)</f>
        <v>433260</v>
      </c>
      <c r="M10" s="65" cm="1">
        <f t="array" ref="M10">IFERROR(
ROUND(
IF($A$2="COSTO",
   ((B10*(1+IFERROR(VLOOKUP($D$2,COLORES[],2,FALSE),0)) + D10)
   *IF($E$2=0.8,1,IF($E$2=0.7,1-7%,1+10%)))
   *(1-_xlfn.XLOOKUP(1,(DESC_PROV[LINEA]=$B$2)*(DESC_PROV[LISTA]=$C$2),DESC_PROV[DESCUENTO])),
   ((B10*(1+IFERROR(VLOOKUP($D$2,COLORES[],2,FALSE),0)) + D10)
   *IF($E$2=0.8,1,IF($E$2=0.7,1-7%,1+10%)))
   *(1-_xlfn.XLOOKUP(1,(DESC_PROV[LINEA]=$B$2)*(DESC_PROV[LISTA]=$C$2),DESC_PROV[DESCUENTO]))
   *(1+VLOOKUP($C$2,LISTAS[],2,FALSE))
   *(1+VLOOKUP($C$2,LISTAS[],3,FALSE))
)
/5,0)*5,0)</f>
        <v>428635</v>
      </c>
      <c r="N10" s="65" cm="1">
        <f t="array" ref="N10">IFERROR(
ROUND(
IF($A$2="COSTO",
   ((B10*(1+IFERROR(VLOOKUP($D$2,COLORES[],2,FALSE),0)) + E10)
   *IF($E$2=0.8,1,IF($E$2=0.7,1-7%,1+10%)))
   *(1-_xlfn.XLOOKUP(1,(DESC_PROV[LINEA]=$B$2)*(DESC_PROV[LISTA]=$C$2),DESC_PROV[DESCUENTO])),
   ((B10*(1+IFERROR(VLOOKUP($D$2,COLORES[],2,FALSE),0)) + E10)
   *IF($E$2=0.8,1,IF($E$2=0.7,1-7%,1+10%)))
   *(1-_xlfn.XLOOKUP(1,(DESC_PROV[LINEA]=$B$2)*(DESC_PROV[LISTA]=$C$2),DESC_PROV[DESCUENTO]))
   *(1+VLOOKUP($C$2,LISTAS[],2,FALSE))
   *(1+VLOOKUP($C$2,LISTAS[],3,FALSE))
)
/5,0)*5,0)</f>
        <v>433260</v>
      </c>
      <c r="O10" s="65" cm="1">
        <f t="array" ref="O10">IFERROR(
ROUND(
IF($A$2="COSTO",
   ((B10*(1+IFERROR(VLOOKUP($D$2,COLORES[],2,FALSE),0)) + F10)
   *IF($E$2=0.8,1,IF($E$2=0.7,1-7%,1+10%)))
   *(1-_xlfn.XLOOKUP(1,(DESC_PROV[LINEA]=$B$2)*(DESC_PROV[LISTA]=$C$2),DESC_PROV[DESCUENTO])),
   ((B10*(1+IFERROR(VLOOKUP($D$2,COLORES[],2,FALSE),0)) + F10)
   *IF($E$2=0.8,1,IF($E$2=0.7,1-7%,1+10%)))
   *(1-_xlfn.XLOOKUP(1,(DESC_PROV[LINEA]=$B$2)*(DESC_PROV[LISTA]=$C$2),DESC_PROV[DESCUENTO]))
   *(1+VLOOKUP($C$2,LISTAS[],2,FALSE))
   *(1+VLOOKUP($C$2,LISTAS[],3,FALSE))
)
/5,0)*5,0)</f>
        <v>430100</v>
      </c>
      <c r="P10" s="65" cm="1">
        <f t="array" ref="P10">IFERROR(
ROUND(
IF($A$2="COSTO",
   ((B10*(1+IFERROR(VLOOKUP($D$2,COLORES[],2,FALSE),0)) + G10)
   *IF($E$2=0.8,1,IF($E$2=0.7,1-7%,1+10%)))
   *(1-_xlfn.XLOOKUP(1,(DESC_PROV[LINEA]=$B$2)*(DESC_PROV[LISTA]=$C$2),DESC_PROV[DESCUENTO])),
   ((B10*(1+IFERROR(VLOOKUP($D$2,COLORES[],2,FALSE),0)) + G10)
   *IF($E$2=0.8,1,IF($E$2=0.7,1-7%,1+10%)))
   *(1-_xlfn.XLOOKUP(1,(DESC_PROV[LINEA]=$B$2)*(DESC_PROV[LISTA]=$C$2),DESC_PROV[DESCUENTO]))
   *(1+VLOOKUP($C$2,LISTAS[],2,FALSE))
   *(1+VLOOKUP($C$2,LISTAS[],3,FALSE))
)
/5,0)*5,0)</f>
        <v>455670</v>
      </c>
      <c r="Q10" s="65" cm="1">
        <f t="array" ref="Q10">IFERROR(
ROUND(
IF($A$2="COSTO",
   ((B10*(1+IFERROR(VLOOKUP($D$2,COLORES[],2,FALSE),0)) + H10)
   *IF($E$2=0.8,1,IF($E$2=0.7,1-7%,1+10%)))
   *(1-_xlfn.XLOOKUP(1,(DESC_PROV[LINEA]=$B$2)*(DESC_PROV[LISTA]=$C$2),DESC_PROV[DESCUENTO])),
   ((B10*(1+IFERROR(VLOOKUP($D$2,COLORES[],2,FALSE),0)) + H10)
   *IF($E$2=0.8,1,IF($E$2=0.7,1-7%,1+10%)))
   *(1-_xlfn.XLOOKUP(1,(DESC_PROV[LINEA]=$B$2)*(DESC_PROV[LISTA]=$C$2),DESC_PROV[DESCUENTO]))
   *(1+VLOOKUP($C$2,LISTAS[],2,FALSE))
   *(1+VLOOKUP($C$2,LISTAS[],3,FALSE))
)
/5,0)*5,0)</f>
        <v>476340</v>
      </c>
      <c r="R10" s="65" cm="1">
        <f t="array" ref="R10">IFERROR(
ROUND(
IF($A$2="COSTO",
   ((B10*(1+IFERROR(VLOOKUP($D$2,COLORES[],2,FALSE),0)) + D10 + I10 + D10)
   *IF($E$2=0.8,1,IF($E$2=0.7,1-7%,1+10%)))
   *(1-_xlfn.XLOOKUP(1,(DESC_PROV[LINEA]=$B$2)*(DESC_PROV[LISTA]=$C$2),DESC_PROV[DESCUENTO])),
   ((B10*(1+IFERROR(VLOOKUP($D$2,COLORES[],2,FALSE),0)) + D10 + I10 + D10)
   *IF($E$2=0.8,1,IF($E$2=0.7,1-7%,1+10%)))
   *(1-_xlfn.XLOOKUP(1,(DESC_PROV[LINEA]=$B$2)*(DESC_PROV[LISTA]=$C$2),DESC_PROV[DESCUENTO]))
   *(1+VLOOKUP($C$2,LISTAS[],2,FALSE))
   *(1+VLOOKUP($C$2,LISTAS[],3,FALSE))
)
/5,0)*5,0)</f>
        <v>501385</v>
      </c>
    </row>
    <row r="11" spans="1:18" ht="16.899999999999999">
      <c r="A11" s="259" t="s">
        <v>208</v>
      </c>
      <c r="B11" s="64">
        <v>338672</v>
      </c>
      <c r="C11" s="64">
        <v>9410</v>
      </c>
      <c r="D11" s="64">
        <v>0</v>
      </c>
      <c r="E11" s="64">
        <v>0</v>
      </c>
      <c r="F11" s="64">
        <v>12552</v>
      </c>
      <c r="G11" s="64">
        <v>32503</v>
      </c>
      <c r="H11" s="64">
        <v>0</v>
      </c>
      <c r="I11" s="64">
        <v>0</v>
      </c>
      <c r="J11" s="2"/>
      <c r="K11" s="259" t="s">
        <v>208</v>
      </c>
      <c r="L11" s="65" cm="1">
        <f t="array" ref="L11">IFERROR(
ROUND(
IF($A$2="COSTO",
   ((B11*(1+IFERROR(VLOOKUP($D$2,COLORES[],2,FALSE),0)) + E11)
   *IF($E$2=0.8,1,IF($E$2=0.7,1-7%,1+10%)))
   *(1-_xlfn.XLOOKUP(1,(DESC_PROV[LINEA]=$B$2)*(DESC_PROV[LISTA]=$C$2),DESC_PROV[DESCUENTO])),
   ((B11*(1+IFERROR(VLOOKUP($D$2,COLORES[],2,FALSE),0)) + E11)
   *IF($E$2=0.8,1,IF($E$2=0.7,1-7%,1+10%)))
   *(1-_xlfn.XLOOKUP(1,(DESC_PROV[LINEA]=$B$2)*(DESC_PROV[LISTA]=$C$2),DESC_PROV[DESCUENTO]))
   *(1+VLOOKUP($C$2,LISTAS[],2,FALSE))
   *(1+VLOOKUP($C$2,LISTAS[],3,FALSE))
)
/5,0)*5,0)</f>
        <v>434020</v>
      </c>
      <c r="M11" s="65" cm="1">
        <f t="array" ref="M11">IFERROR(
ROUND(
IF($A$2="COSTO",
   ((B11*(1+IFERROR(VLOOKUP($D$2,COLORES[],2,FALSE),0)) + D11)
   *IF($E$2=0.8,1,IF($E$2=0.7,1-7%,1+10%)))
   *(1-_xlfn.XLOOKUP(1,(DESC_PROV[LINEA]=$B$2)*(DESC_PROV[LISTA]=$C$2),DESC_PROV[DESCUENTO])),
   ((B11*(1+IFERROR(VLOOKUP($D$2,COLORES[],2,FALSE),0)) + D11)
   *IF($E$2=0.8,1,IF($E$2=0.7,1-7%,1+10%)))
   *(1-_xlfn.XLOOKUP(1,(DESC_PROV[LINEA]=$B$2)*(DESC_PROV[LISTA]=$C$2),DESC_PROV[DESCUENTO]))
   *(1+VLOOKUP($C$2,LISTAS[],2,FALSE))
   *(1+VLOOKUP($C$2,LISTAS[],3,FALSE))
)
/5,0)*5,0)</f>
        <v>434020</v>
      </c>
      <c r="N11" s="65" cm="1">
        <f t="array" ref="N11">IFERROR(
ROUND(
IF($A$2="COSTO",
   ((B11*(1+IFERROR(VLOOKUP($D$2,COLORES[],2,FALSE),0)) + E11)
   *IF($E$2=0.8,1,IF($E$2=0.7,1-7%,1+10%)))
   *(1-_xlfn.XLOOKUP(1,(DESC_PROV[LINEA]=$B$2)*(DESC_PROV[LISTA]=$C$2),DESC_PROV[DESCUENTO])),
   ((B11*(1+IFERROR(VLOOKUP($D$2,COLORES[],2,FALSE),0)) + E11)
   *IF($E$2=0.8,1,IF($E$2=0.7,1-7%,1+10%)))
   *(1-_xlfn.XLOOKUP(1,(DESC_PROV[LINEA]=$B$2)*(DESC_PROV[LISTA]=$C$2),DESC_PROV[DESCUENTO]))
   *(1+VLOOKUP($C$2,LISTAS[],2,FALSE))
   *(1+VLOOKUP($C$2,LISTAS[],3,FALSE))
)
/5,0)*5,0)</f>
        <v>434020</v>
      </c>
      <c r="O11" s="65" cm="1">
        <f t="array" ref="O11">IFERROR(
ROUND(
IF($A$2="COSTO",
   ((B11*(1+IFERROR(VLOOKUP($D$2,COLORES[],2,FALSE),0)) + F11)
   *IF($E$2=0.8,1,IF($E$2=0.7,1-7%,1+10%)))
   *(1-_xlfn.XLOOKUP(1,(DESC_PROV[LINEA]=$B$2)*(DESC_PROV[LISTA]=$C$2),DESC_PROV[DESCUENTO])),
   ((B11*(1+IFERROR(VLOOKUP($D$2,COLORES[],2,FALSE),0)) + F11)
   *IF($E$2=0.8,1,IF($E$2=0.7,1-7%,1+10%)))
   *(1-_xlfn.XLOOKUP(1,(DESC_PROV[LINEA]=$B$2)*(DESC_PROV[LISTA]=$C$2),DESC_PROV[DESCUENTO]))
   *(1+VLOOKUP($C$2,LISTAS[],2,FALSE))
   *(1+VLOOKUP($C$2,LISTAS[],3,FALSE))
)
/5,0)*5,0)</f>
        <v>450110</v>
      </c>
      <c r="P11" s="65" cm="1">
        <f t="array" ref="P11">IFERROR(
ROUND(
IF($A$2="COSTO",
   ((B11*(1+IFERROR(VLOOKUP($D$2,COLORES[],2,FALSE),0)) + G11)
   *IF($E$2=0.8,1,IF($E$2=0.7,1-7%,1+10%)))
   *(1-_xlfn.XLOOKUP(1,(DESC_PROV[LINEA]=$B$2)*(DESC_PROV[LISTA]=$C$2),DESC_PROV[DESCUENTO])),
   ((B11*(1+IFERROR(VLOOKUP($D$2,COLORES[],2,FALSE),0)) + G11)
   *IF($E$2=0.8,1,IF($E$2=0.7,1-7%,1+10%)))
   *(1-_xlfn.XLOOKUP(1,(DESC_PROV[LINEA]=$B$2)*(DESC_PROV[LISTA]=$C$2),DESC_PROV[DESCUENTO]))
   *(1+VLOOKUP($C$2,LISTAS[],2,FALSE))
   *(1+VLOOKUP($C$2,LISTAS[],3,FALSE))
)
/5,0)*5,0)</f>
        <v>475675</v>
      </c>
      <c r="Q11" s="65" cm="1">
        <f t="array" ref="Q11">IFERROR(
ROUND(
IF($A$2="COSTO",
   ((B11*(1+IFERROR(VLOOKUP($D$2,COLORES[],2,FALSE),0)) + H11)
   *IF($E$2=0.8,1,IF($E$2=0.7,1-7%,1+10%)))
   *(1-_xlfn.XLOOKUP(1,(DESC_PROV[LINEA]=$B$2)*(DESC_PROV[LISTA]=$C$2),DESC_PROV[DESCUENTO])),
   ((B11*(1+IFERROR(VLOOKUP($D$2,COLORES[],2,FALSE),0)) + H11)
   *IF($E$2=0.8,1,IF($E$2=0.7,1-7%,1+10%)))
   *(1-_xlfn.XLOOKUP(1,(DESC_PROV[LINEA]=$B$2)*(DESC_PROV[LISTA]=$C$2),DESC_PROV[DESCUENTO]))
   *(1+VLOOKUP($C$2,LISTAS[],2,FALSE))
   *(1+VLOOKUP($C$2,LISTAS[],3,FALSE))
)
/5,0)*5,0)</f>
        <v>434020</v>
      </c>
      <c r="R11" s="65" cm="1">
        <f t="array" ref="R11">IFERROR(
ROUND(
IF($A$2="COSTO",
   ((B11*(1+IFERROR(VLOOKUP($D$2,COLORES[],2,FALSE),0)) + D11 + I11 + D11)
   *IF($E$2=0.8,1,IF($E$2=0.7,1-7%,1+10%)))
   *(1-_xlfn.XLOOKUP(1,(DESC_PROV[LINEA]=$B$2)*(DESC_PROV[LISTA]=$C$2),DESC_PROV[DESCUENTO])),
   ((B11*(1+IFERROR(VLOOKUP($D$2,COLORES[],2,FALSE),0)) + D11 + I11 + D11)
   *IF($E$2=0.8,1,IF($E$2=0.7,1-7%,1+10%)))
   *(1-_xlfn.XLOOKUP(1,(DESC_PROV[LINEA]=$B$2)*(DESC_PROV[LISTA]=$C$2),DESC_PROV[DESCUENTO]))
   *(1+VLOOKUP($C$2,LISTAS[],2,FALSE))
   *(1+VLOOKUP($C$2,LISTAS[],3,FALSE))
)
/5,0)*5,0)</f>
        <v>434020</v>
      </c>
    </row>
    <row r="12" spans="1:18" ht="16.899999999999999">
      <c r="A12" s="259" t="s">
        <v>209</v>
      </c>
      <c r="B12" s="64">
        <v>339787</v>
      </c>
      <c r="C12" s="64">
        <v>5258</v>
      </c>
      <c r="D12" s="64">
        <v>6335</v>
      </c>
      <c r="E12" s="64">
        <v>8346</v>
      </c>
      <c r="F12" s="64">
        <v>6974</v>
      </c>
      <c r="G12" s="64">
        <v>18056</v>
      </c>
      <c r="H12" s="64">
        <v>27018</v>
      </c>
      <c r="I12" s="64">
        <v>32760</v>
      </c>
      <c r="J12" s="2"/>
      <c r="K12" s="259" t="s">
        <v>209</v>
      </c>
      <c r="L12" s="65" cm="1">
        <f t="array" ref="L12">IFERROR(
ROUND(
IF($A$2="COSTO",
   ((B12*(1+IFERROR(VLOOKUP($D$2,COLORES[],2,FALSE),0)) + E12)
   *IF($E$2=0.8,1,IF($E$2=0.7,1-7%,1+10%)))
   *(1-_xlfn.XLOOKUP(1,(DESC_PROV[LINEA]=$B$2)*(DESC_PROV[LISTA]=$C$2),DESC_PROV[DESCUENTO])),
   ((B12*(1+IFERROR(VLOOKUP($D$2,COLORES[],2,FALSE),0)) + E12)
   *IF($E$2=0.8,1,IF($E$2=0.7,1-7%,1+10%)))
   *(1-_xlfn.XLOOKUP(1,(DESC_PROV[LINEA]=$B$2)*(DESC_PROV[LISTA]=$C$2),DESC_PROV[DESCUENTO]))
   *(1+VLOOKUP($C$2,LISTAS[],2,FALSE))
   *(1+VLOOKUP($C$2,LISTAS[],3,FALSE))
)
/5,0)*5,0)</f>
        <v>446145</v>
      </c>
      <c r="M12" s="65" cm="1">
        <f t="array" ref="M12">IFERROR(
ROUND(
IF($A$2="COSTO",
   ((B12*(1+IFERROR(VLOOKUP($D$2,COLORES[],2,FALSE),0)) + D12)
   *IF($E$2=0.8,1,IF($E$2=0.7,1-7%,1+10%)))
   *(1-_xlfn.XLOOKUP(1,(DESC_PROV[LINEA]=$B$2)*(DESC_PROV[LISTA]=$C$2),DESC_PROV[DESCUENTO])),
   ((B12*(1+IFERROR(VLOOKUP($D$2,COLORES[],2,FALSE),0)) + D12)
   *IF($E$2=0.8,1,IF($E$2=0.7,1-7%,1+10%)))
   *(1-_xlfn.XLOOKUP(1,(DESC_PROV[LINEA]=$B$2)*(DESC_PROV[LISTA]=$C$2),DESC_PROV[DESCUENTO]))
   *(1+VLOOKUP($C$2,LISTAS[],2,FALSE))
   *(1+VLOOKUP($C$2,LISTAS[],3,FALSE))
)
/5,0)*5,0)</f>
        <v>443570</v>
      </c>
      <c r="N12" s="65" cm="1">
        <f t="array" ref="N12">IFERROR(
ROUND(
IF($A$2="COSTO",
   ((B12*(1+IFERROR(VLOOKUP($D$2,COLORES[],2,FALSE),0)) + E12)
   *IF($E$2=0.8,1,IF($E$2=0.7,1-7%,1+10%)))
   *(1-_xlfn.XLOOKUP(1,(DESC_PROV[LINEA]=$B$2)*(DESC_PROV[LISTA]=$C$2),DESC_PROV[DESCUENTO])),
   ((B12*(1+IFERROR(VLOOKUP($D$2,COLORES[],2,FALSE),0)) + E12)
   *IF($E$2=0.8,1,IF($E$2=0.7,1-7%,1+10%)))
   *(1-_xlfn.XLOOKUP(1,(DESC_PROV[LINEA]=$B$2)*(DESC_PROV[LISTA]=$C$2),DESC_PROV[DESCUENTO]))
   *(1+VLOOKUP($C$2,LISTAS[],2,FALSE))
   *(1+VLOOKUP($C$2,LISTAS[],3,FALSE))
)
/5,0)*5,0)</f>
        <v>446145</v>
      </c>
      <c r="O12" s="65" cm="1">
        <f t="array" ref="O12">IFERROR(
ROUND(
IF($A$2="COSTO",
   ((B12*(1+IFERROR(VLOOKUP($D$2,COLORES[],2,FALSE),0)) + F12)
   *IF($E$2=0.8,1,IF($E$2=0.7,1-7%,1+10%)))
   *(1-_xlfn.XLOOKUP(1,(DESC_PROV[LINEA]=$B$2)*(DESC_PROV[LISTA]=$C$2),DESC_PROV[DESCUENTO])),
   ((B12*(1+IFERROR(VLOOKUP($D$2,COLORES[],2,FALSE),0)) + F12)
   *IF($E$2=0.8,1,IF($E$2=0.7,1-7%,1+10%)))
   *(1-_xlfn.XLOOKUP(1,(DESC_PROV[LINEA]=$B$2)*(DESC_PROV[LISTA]=$C$2),DESC_PROV[DESCUENTO]))
   *(1+VLOOKUP($C$2,LISTAS[],2,FALSE))
   *(1+VLOOKUP($C$2,LISTAS[],3,FALSE))
)
/5,0)*5,0)</f>
        <v>444390</v>
      </c>
      <c r="P12" s="65" cm="1">
        <f t="array" ref="P12">IFERROR(
ROUND(
IF($A$2="COSTO",
   ((B12*(1+IFERROR(VLOOKUP($D$2,COLORES[],2,FALSE),0)) + G12)
   *IF($E$2=0.8,1,IF($E$2=0.7,1-7%,1+10%)))
   *(1-_xlfn.XLOOKUP(1,(DESC_PROV[LINEA]=$B$2)*(DESC_PROV[LISTA]=$C$2),DESC_PROV[DESCUENTO])),
   ((B12*(1+IFERROR(VLOOKUP($D$2,COLORES[],2,FALSE),0)) + G12)
   *IF($E$2=0.8,1,IF($E$2=0.7,1-7%,1+10%)))
   *(1-_xlfn.XLOOKUP(1,(DESC_PROV[LINEA]=$B$2)*(DESC_PROV[LISTA]=$C$2),DESC_PROV[DESCUENTO]))
   *(1+VLOOKUP($C$2,LISTAS[],2,FALSE))
   *(1+VLOOKUP($C$2,LISTAS[],3,FALSE))
)
/5,0)*5,0)</f>
        <v>458590</v>
      </c>
      <c r="Q12" s="65" cm="1">
        <f t="array" ref="Q12">IFERROR(
ROUND(
IF($A$2="COSTO",
   ((B12*(1+IFERROR(VLOOKUP($D$2,COLORES[],2,FALSE),0)) + H12)
   *IF($E$2=0.8,1,IF($E$2=0.7,1-7%,1+10%)))
   *(1-_xlfn.XLOOKUP(1,(DESC_PROV[LINEA]=$B$2)*(DESC_PROV[LISTA]=$C$2),DESC_PROV[DESCUENTO])),
   ((B12*(1+IFERROR(VLOOKUP($D$2,COLORES[],2,FALSE),0)) + H12)
   *IF($E$2=0.8,1,IF($E$2=0.7,1-7%,1+10%)))
   *(1-_xlfn.XLOOKUP(1,(DESC_PROV[LINEA]=$B$2)*(DESC_PROV[LISTA]=$C$2),DESC_PROV[DESCUENTO]))
   *(1+VLOOKUP($C$2,LISTAS[],2,FALSE))
   *(1+VLOOKUP($C$2,LISTAS[],3,FALSE))
)
/5,0)*5,0)</f>
        <v>470075</v>
      </c>
      <c r="R12" s="65" cm="1">
        <f t="array" ref="R12">IFERROR(
ROUND(
IF($A$2="COSTO",
   ((B12*(1+IFERROR(VLOOKUP($D$2,COLORES[],2,FALSE),0)) + D12 + I12 + D12)
   *IF($E$2=0.8,1,IF($E$2=0.7,1-7%,1+10%)))
   *(1-_xlfn.XLOOKUP(1,(DESC_PROV[LINEA]=$B$2)*(DESC_PROV[LISTA]=$C$2),DESC_PROV[DESCUENTO])),
   ((B12*(1+IFERROR(VLOOKUP($D$2,COLORES[],2,FALSE),0)) + D12 + I12 + D12)
   *IF($E$2=0.8,1,IF($E$2=0.7,1-7%,1+10%)))
   *(1-_xlfn.XLOOKUP(1,(DESC_PROV[LINEA]=$B$2)*(DESC_PROV[LISTA]=$C$2),DESC_PROV[DESCUENTO]))
   *(1+VLOOKUP($C$2,LISTAS[],2,FALSE))
   *(1+VLOOKUP($C$2,LISTAS[],3,FALSE))
)
/5,0)*5,0)</f>
        <v>493670</v>
      </c>
    </row>
    <row r="13" spans="1:18" ht="16.899999999999999">
      <c r="A13" s="259" t="s">
        <v>210</v>
      </c>
      <c r="B13" s="64">
        <v>348708</v>
      </c>
      <c r="C13" s="64">
        <v>5258</v>
      </c>
      <c r="D13" s="64">
        <v>0</v>
      </c>
      <c r="E13" s="64">
        <v>0</v>
      </c>
      <c r="F13" s="64">
        <v>6974</v>
      </c>
      <c r="G13" s="64">
        <v>18056</v>
      </c>
      <c r="H13" s="64">
        <v>0</v>
      </c>
      <c r="I13" s="64">
        <v>0</v>
      </c>
      <c r="J13" s="2"/>
      <c r="K13" s="259" t="s">
        <v>210</v>
      </c>
      <c r="L13" s="65" cm="1">
        <f t="array" ref="L13">IFERROR(
ROUND(
IF($A$2="COSTO",
   ((B13*(1+IFERROR(VLOOKUP($D$2,COLORES[],2,FALSE),0)) + E13)
   *IF($E$2=0.8,1,IF($E$2=0.7,1-7%,1+10%)))
   *(1-_xlfn.XLOOKUP(1,(DESC_PROV[LINEA]=$B$2)*(DESC_PROV[LISTA]=$C$2),DESC_PROV[DESCUENTO])),
   ((B13*(1+IFERROR(VLOOKUP($D$2,COLORES[],2,FALSE),0)) + E13)
   *IF($E$2=0.8,1,IF($E$2=0.7,1-7%,1+10%)))
   *(1-_xlfn.XLOOKUP(1,(DESC_PROV[LINEA]=$B$2)*(DESC_PROV[LISTA]=$C$2),DESC_PROV[DESCUENTO]))
   *(1+VLOOKUP($C$2,LISTAS[],2,FALSE))
   *(1+VLOOKUP($C$2,LISTAS[],3,FALSE))
)
/5,0)*5,0)</f>
        <v>446885</v>
      </c>
      <c r="M13" s="65" cm="1">
        <f t="array" ref="M13">IFERROR(
ROUND(
IF($A$2="COSTO",
   ((B13*(1+IFERROR(VLOOKUP($D$2,COLORES[],2,FALSE),0)) + D13)
   *IF($E$2=0.8,1,IF($E$2=0.7,1-7%,1+10%)))
   *(1-_xlfn.XLOOKUP(1,(DESC_PROV[LINEA]=$B$2)*(DESC_PROV[LISTA]=$C$2),DESC_PROV[DESCUENTO])),
   ((B13*(1+IFERROR(VLOOKUP($D$2,COLORES[],2,FALSE),0)) + D13)
   *IF($E$2=0.8,1,IF($E$2=0.7,1-7%,1+10%)))
   *(1-_xlfn.XLOOKUP(1,(DESC_PROV[LINEA]=$B$2)*(DESC_PROV[LISTA]=$C$2),DESC_PROV[DESCUENTO]))
   *(1+VLOOKUP($C$2,LISTAS[],2,FALSE))
   *(1+VLOOKUP($C$2,LISTAS[],3,FALSE))
)
/5,0)*5,0)</f>
        <v>446885</v>
      </c>
      <c r="N13" s="65" cm="1">
        <f t="array" ref="N13">IFERROR(
ROUND(
IF($A$2="COSTO",
   ((B13*(1+IFERROR(VLOOKUP($D$2,COLORES[],2,FALSE),0)) + E13)
   *IF($E$2=0.8,1,IF($E$2=0.7,1-7%,1+10%)))
   *(1-_xlfn.XLOOKUP(1,(DESC_PROV[LINEA]=$B$2)*(DESC_PROV[LISTA]=$C$2),DESC_PROV[DESCUENTO])),
   ((B13*(1+IFERROR(VLOOKUP($D$2,COLORES[],2,FALSE),0)) + E13)
   *IF($E$2=0.8,1,IF($E$2=0.7,1-7%,1+10%)))
   *(1-_xlfn.XLOOKUP(1,(DESC_PROV[LINEA]=$B$2)*(DESC_PROV[LISTA]=$C$2),DESC_PROV[DESCUENTO]))
   *(1+VLOOKUP($C$2,LISTAS[],2,FALSE))
   *(1+VLOOKUP($C$2,LISTAS[],3,FALSE))
)
/5,0)*5,0)</f>
        <v>446885</v>
      </c>
      <c r="O13" s="65" cm="1">
        <f t="array" ref="O13">IFERROR(
ROUND(
IF($A$2="COSTO",
   ((B13*(1+IFERROR(VLOOKUP($D$2,COLORES[],2,FALSE),0)) + F13)
   *IF($E$2=0.8,1,IF($E$2=0.7,1-7%,1+10%)))
   *(1-_xlfn.XLOOKUP(1,(DESC_PROV[LINEA]=$B$2)*(DESC_PROV[LISTA]=$C$2),DESC_PROV[DESCUENTO])),
   ((B13*(1+IFERROR(VLOOKUP($D$2,COLORES[],2,FALSE),0)) + F13)
   *IF($E$2=0.8,1,IF($E$2=0.7,1-7%,1+10%)))
   *(1-_xlfn.XLOOKUP(1,(DESC_PROV[LINEA]=$B$2)*(DESC_PROV[LISTA]=$C$2),DESC_PROV[DESCUENTO]))
   *(1+VLOOKUP($C$2,LISTAS[],2,FALSE))
   *(1+VLOOKUP($C$2,LISTAS[],3,FALSE))
)
/5,0)*5,0)</f>
        <v>455820</v>
      </c>
      <c r="P13" s="65" cm="1">
        <f t="array" ref="P13">IFERROR(
ROUND(
IF($A$2="COSTO",
   ((B13*(1+IFERROR(VLOOKUP($D$2,COLORES[],2,FALSE),0)) + G13)
   *IF($E$2=0.8,1,IF($E$2=0.7,1-7%,1+10%)))
   *(1-_xlfn.XLOOKUP(1,(DESC_PROV[LINEA]=$B$2)*(DESC_PROV[LISTA]=$C$2),DESC_PROV[DESCUENTO])),
   ((B13*(1+IFERROR(VLOOKUP($D$2,COLORES[],2,FALSE),0)) + G13)
   *IF($E$2=0.8,1,IF($E$2=0.7,1-7%,1+10%)))
   *(1-_xlfn.XLOOKUP(1,(DESC_PROV[LINEA]=$B$2)*(DESC_PROV[LISTA]=$C$2),DESC_PROV[DESCUENTO]))
   *(1+VLOOKUP($C$2,LISTAS[],2,FALSE))
   *(1+VLOOKUP($C$2,LISTAS[],3,FALSE))
)
/5,0)*5,0)</f>
        <v>470025</v>
      </c>
      <c r="Q13" s="65" cm="1">
        <f t="array" ref="Q13">IFERROR(
ROUND(
IF($A$2="COSTO",
   ((B13*(1+IFERROR(VLOOKUP($D$2,COLORES[],2,FALSE),0)) + H13)
   *IF($E$2=0.8,1,IF($E$2=0.7,1-7%,1+10%)))
   *(1-_xlfn.XLOOKUP(1,(DESC_PROV[LINEA]=$B$2)*(DESC_PROV[LISTA]=$C$2),DESC_PROV[DESCUENTO])),
   ((B13*(1+IFERROR(VLOOKUP($D$2,COLORES[],2,FALSE),0)) + H13)
   *IF($E$2=0.8,1,IF($E$2=0.7,1-7%,1+10%)))
   *(1-_xlfn.XLOOKUP(1,(DESC_PROV[LINEA]=$B$2)*(DESC_PROV[LISTA]=$C$2),DESC_PROV[DESCUENTO]))
   *(1+VLOOKUP($C$2,LISTAS[],2,FALSE))
   *(1+VLOOKUP($C$2,LISTAS[],3,FALSE))
)
/5,0)*5,0)</f>
        <v>446885</v>
      </c>
      <c r="R13" s="65" cm="1">
        <f t="array" ref="R13">IFERROR(
ROUND(
IF($A$2="COSTO",
   ((B13*(1+IFERROR(VLOOKUP($D$2,COLORES[],2,FALSE),0)) + D13 + I13 + D13)
   *IF($E$2=0.8,1,IF($E$2=0.7,1-7%,1+10%)))
   *(1-_xlfn.XLOOKUP(1,(DESC_PROV[LINEA]=$B$2)*(DESC_PROV[LISTA]=$C$2),DESC_PROV[DESCUENTO])),
   ((B13*(1+IFERROR(VLOOKUP($D$2,COLORES[],2,FALSE),0)) + D13 + I13 + D13)
   *IF($E$2=0.8,1,IF($E$2=0.7,1-7%,1+10%)))
   *(1-_xlfn.XLOOKUP(1,(DESC_PROV[LINEA]=$B$2)*(DESC_PROV[LISTA]=$C$2),DESC_PROV[DESCUENTO]))
   *(1+VLOOKUP($C$2,LISTAS[],2,FALSE))
   *(1+VLOOKUP($C$2,LISTAS[],3,FALSE))
)
/5,0)*5,0)</f>
        <v>446885</v>
      </c>
    </row>
    <row r="14" spans="1:18" ht="16.899999999999999">
      <c r="A14" s="259" t="s">
        <v>211</v>
      </c>
      <c r="B14" s="64">
        <v>363204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2"/>
      <c r="K14" s="259" t="s">
        <v>211</v>
      </c>
      <c r="L14" s="65" cm="1">
        <f t="array" ref="L14">IFERROR(
ROUND(
IF($A$2="COSTO",
   ((B14*(1+IFERROR(VLOOKUP($D$2,COLORES[],2,FALSE),0)) + E14)
   *IF($E$2=0.8,1,IF($E$2=0.7,1-7%,1+10%)))
   *(1-_xlfn.XLOOKUP(1,(DESC_PROV[LINEA]=$B$2)*(DESC_PROV[LISTA]=$C$2),DESC_PROV[DESCUENTO])),
   ((B14*(1+IFERROR(VLOOKUP($D$2,COLORES[],2,FALSE),0)) + E14)
   *IF($E$2=0.8,1,IF($E$2=0.7,1-7%,1+10%)))
   *(1-_xlfn.XLOOKUP(1,(DESC_PROV[LINEA]=$B$2)*(DESC_PROV[LISTA]=$C$2),DESC_PROV[DESCUENTO]))
   *(1+VLOOKUP($C$2,LISTAS[],2,FALSE))
   *(1+VLOOKUP($C$2,LISTAS[],3,FALSE))
)
/5,0)*5,0)</f>
        <v>465460</v>
      </c>
      <c r="M14" s="65" cm="1">
        <f t="array" ref="M14">IFERROR(
ROUND(
IF($A$2="COSTO",
   ((B14*(1+IFERROR(VLOOKUP($D$2,COLORES[],2,FALSE),0)) + D14)
   *IF($E$2=0.8,1,IF($E$2=0.7,1-7%,1+10%)))
   *(1-_xlfn.XLOOKUP(1,(DESC_PROV[LINEA]=$B$2)*(DESC_PROV[LISTA]=$C$2),DESC_PROV[DESCUENTO])),
   ((B14*(1+IFERROR(VLOOKUP($D$2,COLORES[],2,FALSE),0)) + D14)
   *IF($E$2=0.8,1,IF($E$2=0.7,1-7%,1+10%)))
   *(1-_xlfn.XLOOKUP(1,(DESC_PROV[LINEA]=$B$2)*(DESC_PROV[LISTA]=$C$2),DESC_PROV[DESCUENTO]))
   *(1+VLOOKUP($C$2,LISTAS[],2,FALSE))
   *(1+VLOOKUP($C$2,LISTAS[],3,FALSE))
)
/5,0)*5,0)</f>
        <v>465460</v>
      </c>
      <c r="N14" s="65" cm="1">
        <f t="array" ref="N14">IFERROR(
ROUND(
IF($A$2="COSTO",
   ((B14*(1+IFERROR(VLOOKUP($D$2,COLORES[],2,FALSE),0)) + E14)
   *IF($E$2=0.8,1,IF($E$2=0.7,1-7%,1+10%)))
   *(1-_xlfn.XLOOKUP(1,(DESC_PROV[LINEA]=$B$2)*(DESC_PROV[LISTA]=$C$2),DESC_PROV[DESCUENTO])),
   ((B14*(1+IFERROR(VLOOKUP($D$2,COLORES[],2,FALSE),0)) + E14)
   *IF($E$2=0.8,1,IF($E$2=0.7,1-7%,1+10%)))
   *(1-_xlfn.XLOOKUP(1,(DESC_PROV[LINEA]=$B$2)*(DESC_PROV[LISTA]=$C$2),DESC_PROV[DESCUENTO]))
   *(1+VLOOKUP($C$2,LISTAS[],2,FALSE))
   *(1+VLOOKUP($C$2,LISTAS[],3,FALSE))
)
/5,0)*5,0)</f>
        <v>465460</v>
      </c>
      <c r="O14" s="65" cm="1">
        <f t="array" ref="O14">IFERROR(
ROUND(
IF($A$2="COSTO",
   ((B14*(1+IFERROR(VLOOKUP($D$2,COLORES[],2,FALSE),0)) + F14)
   *IF($E$2=0.8,1,IF($E$2=0.7,1-7%,1+10%)))
   *(1-_xlfn.XLOOKUP(1,(DESC_PROV[LINEA]=$B$2)*(DESC_PROV[LISTA]=$C$2),DESC_PROV[DESCUENTO])),
   ((B14*(1+IFERROR(VLOOKUP($D$2,COLORES[],2,FALSE),0)) + F14)
   *IF($E$2=0.8,1,IF($E$2=0.7,1-7%,1+10%)))
   *(1-_xlfn.XLOOKUP(1,(DESC_PROV[LINEA]=$B$2)*(DESC_PROV[LISTA]=$C$2),DESC_PROV[DESCUENTO]))
   *(1+VLOOKUP($C$2,LISTAS[],2,FALSE))
   *(1+VLOOKUP($C$2,LISTAS[],3,FALSE))
)
/5,0)*5,0)</f>
        <v>465460</v>
      </c>
      <c r="P14" s="65" cm="1">
        <f t="array" ref="P14">IFERROR(
ROUND(
IF($A$2="COSTO",
   ((B14*(1+IFERROR(VLOOKUP($D$2,COLORES[],2,FALSE),0)) + G14)
   *IF($E$2=0.8,1,IF($E$2=0.7,1-7%,1+10%)))
   *(1-_xlfn.XLOOKUP(1,(DESC_PROV[LINEA]=$B$2)*(DESC_PROV[LISTA]=$C$2),DESC_PROV[DESCUENTO])),
   ((B14*(1+IFERROR(VLOOKUP($D$2,COLORES[],2,FALSE),0)) + G14)
   *IF($E$2=0.8,1,IF($E$2=0.7,1-7%,1+10%)))
   *(1-_xlfn.XLOOKUP(1,(DESC_PROV[LINEA]=$B$2)*(DESC_PROV[LISTA]=$C$2),DESC_PROV[DESCUENTO]))
   *(1+VLOOKUP($C$2,LISTAS[],2,FALSE))
   *(1+VLOOKUP($C$2,LISTAS[],3,FALSE))
)
/5,0)*5,0)</f>
        <v>465460</v>
      </c>
      <c r="Q14" s="65" cm="1">
        <f t="array" ref="Q14">IFERROR(
ROUND(
IF($A$2="COSTO",
   ((B14*(1+IFERROR(VLOOKUP($D$2,COLORES[],2,FALSE),0)) + H14)
   *IF($E$2=0.8,1,IF($E$2=0.7,1-7%,1+10%)))
   *(1-_xlfn.XLOOKUP(1,(DESC_PROV[LINEA]=$B$2)*(DESC_PROV[LISTA]=$C$2),DESC_PROV[DESCUENTO])),
   ((B14*(1+IFERROR(VLOOKUP($D$2,COLORES[],2,FALSE),0)) + H14)
   *IF($E$2=0.8,1,IF($E$2=0.7,1-7%,1+10%)))
   *(1-_xlfn.XLOOKUP(1,(DESC_PROV[LINEA]=$B$2)*(DESC_PROV[LISTA]=$C$2),DESC_PROV[DESCUENTO]))
   *(1+VLOOKUP($C$2,LISTAS[],2,FALSE))
   *(1+VLOOKUP($C$2,LISTAS[],3,FALSE))
)
/5,0)*5,0)</f>
        <v>465460</v>
      </c>
      <c r="R14" s="65" cm="1">
        <f t="array" ref="R14">IFERROR(
ROUND(
IF($A$2="COSTO",
   ((B14*(1+IFERROR(VLOOKUP($D$2,COLORES[],2,FALSE),0)) + D14 + I14 + D14)
   *IF($E$2=0.8,1,IF($E$2=0.7,1-7%,1+10%)))
   *(1-_xlfn.XLOOKUP(1,(DESC_PROV[LINEA]=$B$2)*(DESC_PROV[LISTA]=$C$2),DESC_PROV[DESCUENTO])),
   ((B14*(1+IFERROR(VLOOKUP($D$2,COLORES[],2,FALSE),0)) + D14 + I14 + D14)
   *IF($E$2=0.8,1,IF($E$2=0.7,1-7%,1+10%)))
   *(1-_xlfn.XLOOKUP(1,(DESC_PROV[LINEA]=$B$2)*(DESC_PROV[LISTA]=$C$2),DESC_PROV[DESCUENTO]))
   *(1+VLOOKUP($C$2,LISTAS[],2,FALSE))
   *(1+VLOOKUP($C$2,LISTAS[],3,FALSE))
)
/5,0)*5,0)</f>
        <v>465460</v>
      </c>
    </row>
    <row r="15" spans="1:18" ht="16.899999999999999">
      <c r="A15" s="259" t="s">
        <v>212</v>
      </c>
      <c r="B15" s="64">
        <v>348708</v>
      </c>
      <c r="C15" s="64">
        <v>9410</v>
      </c>
      <c r="D15" s="64">
        <v>11408</v>
      </c>
      <c r="E15" s="64">
        <v>15018</v>
      </c>
      <c r="F15" s="64">
        <v>12552</v>
      </c>
      <c r="G15" s="64">
        <v>32503</v>
      </c>
      <c r="H15" s="64">
        <v>48634</v>
      </c>
      <c r="I15" s="64">
        <v>95760</v>
      </c>
      <c r="J15" s="2"/>
      <c r="K15" s="259" t="s">
        <v>212</v>
      </c>
      <c r="L15" s="65" cm="1">
        <f t="array" ref="L15">IFERROR(
ROUND(
IF($A$2="COSTO",
   ((B15*(1+IFERROR(VLOOKUP($D$2,COLORES[],2,FALSE),0)) + E15)
   *IF($E$2=0.8,1,IF($E$2=0.7,1-7%,1+10%)))
   *(1-_xlfn.XLOOKUP(1,(DESC_PROV[LINEA]=$B$2)*(DESC_PROV[LISTA]=$C$2),DESC_PROV[DESCUENTO])),
   ((B15*(1+IFERROR(VLOOKUP($D$2,COLORES[],2,FALSE),0)) + E15)
   *IF($E$2=0.8,1,IF($E$2=0.7,1-7%,1+10%)))
   *(1-_xlfn.XLOOKUP(1,(DESC_PROV[LINEA]=$B$2)*(DESC_PROV[LISTA]=$C$2),DESC_PROV[DESCUENTO]))
   *(1+VLOOKUP($C$2,LISTAS[],2,FALSE))
   *(1+VLOOKUP($C$2,LISTAS[],3,FALSE))
)
/5,0)*5,0)</f>
        <v>466130</v>
      </c>
      <c r="M15" s="65" cm="1">
        <f t="array" ref="M15">IFERROR(
ROUND(
IF($A$2="COSTO",
   ((B15*(1+IFERROR(VLOOKUP($D$2,COLORES[],2,FALSE),0)) + D15)
   *IF($E$2=0.8,1,IF($E$2=0.7,1-7%,1+10%)))
   *(1-_xlfn.XLOOKUP(1,(DESC_PROV[LINEA]=$B$2)*(DESC_PROV[LISTA]=$C$2),DESC_PROV[DESCUENTO])),
   ((B15*(1+IFERROR(VLOOKUP($D$2,COLORES[],2,FALSE),0)) + D15)
   *IF($E$2=0.8,1,IF($E$2=0.7,1-7%,1+10%)))
   *(1-_xlfn.XLOOKUP(1,(DESC_PROV[LINEA]=$B$2)*(DESC_PROV[LISTA]=$C$2),DESC_PROV[DESCUENTO]))
   *(1+VLOOKUP($C$2,LISTAS[],2,FALSE))
   *(1+VLOOKUP($C$2,LISTAS[],3,FALSE))
)
/5,0)*5,0)</f>
        <v>461505</v>
      </c>
      <c r="N15" s="65" cm="1">
        <f t="array" ref="N15">IFERROR(
ROUND(
IF($A$2="COSTO",
   ((B15*(1+IFERROR(VLOOKUP($D$2,COLORES[],2,FALSE),0)) + E15)
   *IF($E$2=0.8,1,IF($E$2=0.7,1-7%,1+10%)))
   *(1-_xlfn.XLOOKUP(1,(DESC_PROV[LINEA]=$B$2)*(DESC_PROV[LISTA]=$C$2),DESC_PROV[DESCUENTO])),
   ((B15*(1+IFERROR(VLOOKUP($D$2,COLORES[],2,FALSE),0)) + E15)
   *IF($E$2=0.8,1,IF($E$2=0.7,1-7%,1+10%)))
   *(1-_xlfn.XLOOKUP(1,(DESC_PROV[LINEA]=$B$2)*(DESC_PROV[LISTA]=$C$2),DESC_PROV[DESCUENTO]))
   *(1+VLOOKUP($C$2,LISTAS[],2,FALSE))
   *(1+VLOOKUP($C$2,LISTAS[],3,FALSE))
)
/5,0)*5,0)</f>
        <v>466130</v>
      </c>
      <c r="O15" s="65" cm="1">
        <f t="array" ref="O15">IFERROR(
ROUND(
IF($A$2="COSTO",
   ((B15*(1+IFERROR(VLOOKUP($D$2,COLORES[],2,FALSE),0)) + F15)
   *IF($E$2=0.8,1,IF($E$2=0.7,1-7%,1+10%)))
   *(1-_xlfn.XLOOKUP(1,(DESC_PROV[LINEA]=$B$2)*(DESC_PROV[LISTA]=$C$2),DESC_PROV[DESCUENTO])),
   ((B15*(1+IFERROR(VLOOKUP($D$2,COLORES[],2,FALSE),0)) + F15)
   *IF($E$2=0.8,1,IF($E$2=0.7,1-7%,1+10%)))
   *(1-_xlfn.XLOOKUP(1,(DESC_PROV[LINEA]=$B$2)*(DESC_PROV[LISTA]=$C$2),DESC_PROV[DESCUENTO]))
   *(1+VLOOKUP($C$2,LISTAS[],2,FALSE))
   *(1+VLOOKUP($C$2,LISTAS[],3,FALSE))
)
/5,0)*5,0)</f>
        <v>462970</v>
      </c>
      <c r="P15" s="65" cm="1">
        <f t="array" ref="P15">IFERROR(
ROUND(
IF($A$2="COSTO",
   ((B15*(1+IFERROR(VLOOKUP($D$2,COLORES[],2,FALSE),0)) + G15)
   *IF($E$2=0.8,1,IF($E$2=0.7,1-7%,1+10%)))
   *(1-_xlfn.XLOOKUP(1,(DESC_PROV[LINEA]=$B$2)*(DESC_PROV[LISTA]=$C$2),DESC_PROV[DESCUENTO])),
   ((B15*(1+IFERROR(VLOOKUP($D$2,COLORES[],2,FALSE),0)) + G15)
   *IF($E$2=0.8,1,IF($E$2=0.7,1-7%,1+10%)))
   *(1-_xlfn.XLOOKUP(1,(DESC_PROV[LINEA]=$B$2)*(DESC_PROV[LISTA]=$C$2),DESC_PROV[DESCUENTO]))
   *(1+VLOOKUP($C$2,LISTAS[],2,FALSE))
   *(1+VLOOKUP($C$2,LISTAS[],3,FALSE))
)
/5,0)*5,0)</f>
        <v>488535</v>
      </c>
      <c r="Q15" s="65" cm="1">
        <f t="array" ref="Q15">IFERROR(
ROUND(
IF($A$2="COSTO",
   ((B15*(1+IFERROR(VLOOKUP($D$2,COLORES[],2,FALSE),0)) + H15)
   *IF($E$2=0.8,1,IF($E$2=0.7,1-7%,1+10%)))
   *(1-_xlfn.XLOOKUP(1,(DESC_PROV[LINEA]=$B$2)*(DESC_PROV[LISTA]=$C$2),DESC_PROV[DESCUENTO])),
   ((B15*(1+IFERROR(VLOOKUP($D$2,COLORES[],2,FALSE),0)) + H15)
   *IF($E$2=0.8,1,IF($E$2=0.7,1-7%,1+10%)))
   *(1-_xlfn.XLOOKUP(1,(DESC_PROV[LINEA]=$B$2)*(DESC_PROV[LISTA]=$C$2),DESC_PROV[DESCUENTO]))
   *(1+VLOOKUP($C$2,LISTAS[],2,FALSE))
   *(1+VLOOKUP($C$2,LISTAS[],3,FALSE))
)
/5,0)*5,0)</f>
        <v>509210</v>
      </c>
      <c r="R15" s="65" cm="1">
        <f t="array" ref="R15">IFERROR(
ROUND(
IF($A$2="COSTO",
   ((B15*(1+IFERROR(VLOOKUP($D$2,COLORES[],2,FALSE),0)) + D15 + I15 + D15)
   *IF($E$2=0.8,1,IF($E$2=0.7,1-7%,1+10%)))
   *(1-_xlfn.XLOOKUP(1,(DESC_PROV[LINEA]=$B$2)*(DESC_PROV[LISTA]=$C$2),DESC_PROV[DESCUENTO])),
   ((B15*(1+IFERROR(VLOOKUP($D$2,COLORES[],2,FALSE),0)) + D15 + I15 + D15)
   *IF($E$2=0.8,1,IF($E$2=0.7,1-7%,1+10%)))
   *(1-_xlfn.XLOOKUP(1,(DESC_PROV[LINEA]=$B$2)*(DESC_PROV[LISTA]=$C$2),DESC_PROV[DESCUENTO]))
   *(1+VLOOKUP($C$2,LISTAS[],2,FALSE))
   *(1+VLOOKUP($C$2,LISTAS[],3,FALSE))
)
/5,0)*5,0)</f>
        <v>598845</v>
      </c>
    </row>
    <row r="16" spans="1:18" ht="16.899999999999999">
      <c r="A16" s="259" t="s">
        <v>213</v>
      </c>
      <c r="B16" s="64">
        <v>349823</v>
      </c>
      <c r="C16" s="64">
        <v>5258</v>
      </c>
      <c r="D16" s="64">
        <v>6335</v>
      </c>
      <c r="E16" s="64">
        <v>8346</v>
      </c>
      <c r="F16" s="64">
        <v>6974</v>
      </c>
      <c r="G16" s="64">
        <v>18056</v>
      </c>
      <c r="H16" s="64">
        <v>27018</v>
      </c>
      <c r="I16" s="64">
        <v>57960</v>
      </c>
      <c r="J16" s="2"/>
      <c r="K16" s="259" t="s">
        <v>213</v>
      </c>
      <c r="L16" s="65" cm="1">
        <f t="array" ref="L16">IFERROR(
ROUND(
IF($A$2="COSTO",
   ((B16*(1+IFERROR(VLOOKUP($D$2,COLORES[],2,FALSE),0)) + E16)
   *IF($E$2=0.8,1,IF($E$2=0.7,1-7%,1+10%)))
   *(1-_xlfn.XLOOKUP(1,(DESC_PROV[LINEA]=$B$2)*(DESC_PROV[LISTA]=$C$2),DESC_PROV[DESCUENTO])),
   ((B16*(1+IFERROR(VLOOKUP($D$2,COLORES[],2,FALSE),0)) + E16)
   *IF($E$2=0.8,1,IF($E$2=0.7,1-7%,1+10%)))
   *(1-_xlfn.XLOOKUP(1,(DESC_PROV[LINEA]=$B$2)*(DESC_PROV[LISTA]=$C$2),DESC_PROV[DESCUENTO]))
   *(1+VLOOKUP($C$2,LISTAS[],2,FALSE))
   *(1+VLOOKUP($C$2,LISTAS[],3,FALSE))
)
/5,0)*5,0)</f>
        <v>459010</v>
      </c>
      <c r="M16" s="65" cm="1">
        <f t="array" ref="M16">IFERROR(
ROUND(
IF($A$2="COSTO",
   ((B16*(1+IFERROR(VLOOKUP($D$2,COLORES[],2,FALSE),0)) + D16)
   *IF($E$2=0.8,1,IF($E$2=0.7,1-7%,1+10%)))
   *(1-_xlfn.XLOOKUP(1,(DESC_PROV[LINEA]=$B$2)*(DESC_PROV[LISTA]=$C$2),DESC_PROV[DESCUENTO])),
   ((B16*(1+IFERROR(VLOOKUP($D$2,COLORES[],2,FALSE),0)) + D16)
   *IF($E$2=0.8,1,IF($E$2=0.7,1-7%,1+10%)))
   *(1-_xlfn.XLOOKUP(1,(DESC_PROV[LINEA]=$B$2)*(DESC_PROV[LISTA]=$C$2),DESC_PROV[DESCUENTO]))
   *(1+VLOOKUP($C$2,LISTAS[],2,FALSE))
   *(1+VLOOKUP($C$2,LISTAS[],3,FALSE))
)
/5,0)*5,0)</f>
        <v>456430</v>
      </c>
      <c r="N16" s="65" cm="1">
        <f t="array" ref="N16">IFERROR(
ROUND(
IF($A$2="COSTO",
   ((B16*(1+IFERROR(VLOOKUP($D$2,COLORES[],2,FALSE),0)) + E16)
   *IF($E$2=0.8,1,IF($E$2=0.7,1-7%,1+10%)))
   *(1-_xlfn.XLOOKUP(1,(DESC_PROV[LINEA]=$B$2)*(DESC_PROV[LISTA]=$C$2),DESC_PROV[DESCUENTO])),
   ((B16*(1+IFERROR(VLOOKUP($D$2,COLORES[],2,FALSE),0)) + E16)
   *IF($E$2=0.8,1,IF($E$2=0.7,1-7%,1+10%)))
   *(1-_xlfn.XLOOKUP(1,(DESC_PROV[LINEA]=$B$2)*(DESC_PROV[LISTA]=$C$2),DESC_PROV[DESCUENTO]))
   *(1+VLOOKUP($C$2,LISTAS[],2,FALSE))
   *(1+VLOOKUP($C$2,LISTAS[],3,FALSE))
)
/5,0)*5,0)</f>
        <v>459010</v>
      </c>
      <c r="O16" s="65" cm="1">
        <f t="array" ref="O16">IFERROR(
ROUND(
IF($A$2="COSTO",
   ((B16*(1+IFERROR(VLOOKUP($D$2,COLORES[],2,FALSE),0)) + F16)
   *IF($E$2=0.8,1,IF($E$2=0.7,1-7%,1+10%)))
   *(1-_xlfn.XLOOKUP(1,(DESC_PROV[LINEA]=$B$2)*(DESC_PROV[LISTA]=$C$2),DESC_PROV[DESCUENTO])),
   ((B16*(1+IFERROR(VLOOKUP($D$2,COLORES[],2,FALSE),0)) + F16)
   *IF($E$2=0.8,1,IF($E$2=0.7,1-7%,1+10%)))
   *(1-_xlfn.XLOOKUP(1,(DESC_PROV[LINEA]=$B$2)*(DESC_PROV[LISTA]=$C$2),DESC_PROV[DESCUENTO]))
   *(1+VLOOKUP($C$2,LISTAS[],2,FALSE))
   *(1+VLOOKUP($C$2,LISTAS[],3,FALSE))
)
/5,0)*5,0)</f>
        <v>457250</v>
      </c>
      <c r="P16" s="65" cm="1">
        <f t="array" ref="P16">IFERROR(
ROUND(
IF($A$2="COSTO",
   ((B16*(1+IFERROR(VLOOKUP($D$2,COLORES[],2,FALSE),0)) + G16)
   *IF($E$2=0.8,1,IF($E$2=0.7,1-7%,1+10%)))
   *(1-_xlfn.XLOOKUP(1,(DESC_PROV[LINEA]=$B$2)*(DESC_PROV[LISTA]=$C$2),DESC_PROV[DESCUENTO])),
   ((B16*(1+IFERROR(VLOOKUP($D$2,COLORES[],2,FALSE),0)) + G16)
   *IF($E$2=0.8,1,IF($E$2=0.7,1-7%,1+10%)))
   *(1-_xlfn.XLOOKUP(1,(DESC_PROV[LINEA]=$B$2)*(DESC_PROV[LISTA]=$C$2),DESC_PROV[DESCUENTO]))
   *(1+VLOOKUP($C$2,LISTAS[],2,FALSE))
   *(1+VLOOKUP($C$2,LISTAS[],3,FALSE))
)
/5,0)*5,0)</f>
        <v>471450</v>
      </c>
      <c r="Q16" s="65" cm="1">
        <f t="array" ref="Q16">IFERROR(
ROUND(
IF($A$2="COSTO",
   ((B16*(1+IFERROR(VLOOKUP($D$2,COLORES[],2,FALSE),0)) + H16)
   *IF($E$2=0.8,1,IF($E$2=0.7,1-7%,1+10%)))
   *(1-_xlfn.XLOOKUP(1,(DESC_PROV[LINEA]=$B$2)*(DESC_PROV[LISTA]=$C$2),DESC_PROV[DESCUENTO])),
   ((B16*(1+IFERROR(VLOOKUP($D$2,COLORES[],2,FALSE),0)) + H16)
   *IF($E$2=0.8,1,IF($E$2=0.7,1-7%,1+10%)))
   *(1-_xlfn.XLOOKUP(1,(DESC_PROV[LINEA]=$B$2)*(DESC_PROV[LISTA]=$C$2),DESC_PROV[DESCUENTO]))
   *(1+VLOOKUP($C$2,LISTAS[],2,FALSE))
   *(1+VLOOKUP($C$2,LISTAS[],3,FALSE))
)
/5,0)*5,0)</f>
        <v>482935</v>
      </c>
      <c r="R16" s="65" cm="1">
        <f t="array" ref="R16">IFERROR(
ROUND(
IF($A$2="COSTO",
   ((B16*(1+IFERROR(VLOOKUP($D$2,COLORES[],2,FALSE),0)) + D16 + I16 + D16)
   *IF($E$2=0.8,1,IF($E$2=0.7,1-7%,1+10%)))
   *(1-_xlfn.XLOOKUP(1,(DESC_PROV[LINEA]=$B$2)*(DESC_PROV[LISTA]=$C$2),DESC_PROV[DESCUENTO])),
   ((B16*(1+IFERROR(VLOOKUP($D$2,COLORES[],2,FALSE),0)) + D16 + I16 + D16)
   *IF($E$2=0.8,1,IF($E$2=0.7,1-7%,1+10%)))
   *(1-_xlfn.XLOOKUP(1,(DESC_PROV[LINEA]=$B$2)*(DESC_PROV[LISTA]=$C$2),DESC_PROV[DESCUENTO]))
   *(1+VLOOKUP($C$2,LISTAS[],2,FALSE))
   *(1+VLOOKUP($C$2,LISTAS[],3,FALSE))
)
/5,0)*5,0)</f>
        <v>538825</v>
      </c>
    </row>
    <row r="17" spans="1:18" ht="16.899999999999999">
      <c r="A17" s="259" t="s">
        <v>214</v>
      </c>
      <c r="B17" s="64">
        <v>292953</v>
      </c>
      <c r="C17" s="64">
        <v>21033</v>
      </c>
      <c r="D17" s="64">
        <v>25338</v>
      </c>
      <c r="E17" s="64">
        <v>33382</v>
      </c>
      <c r="F17" s="64">
        <v>27896</v>
      </c>
      <c r="G17" s="64">
        <v>72226</v>
      </c>
      <c r="H17" s="64">
        <v>108073</v>
      </c>
      <c r="I17" s="64">
        <v>131040</v>
      </c>
      <c r="J17" s="2"/>
      <c r="K17" s="259" t="s">
        <v>214</v>
      </c>
      <c r="L17" s="65" cm="1">
        <f t="array" ref="L17">IFERROR(
ROUND(
IF($A$2="COSTO",
   ((B17*(1+IFERROR(VLOOKUP($D$2,COLORES[],2,FALSE),0)) + E17)
   *IF($E$2=0.8,1,IF($E$2=0.7,1-7%,1+10%)))
   *(1-_xlfn.XLOOKUP(1,(DESC_PROV[LINEA]=$B$2)*(DESC_PROV[LISTA]=$C$2),DESC_PROV[DESCUENTO])),
   ((B17*(1+IFERROR(VLOOKUP($D$2,COLORES[],2,FALSE),0)) + E17)
   *IF($E$2=0.8,1,IF($E$2=0.7,1-7%,1+10%)))
   *(1-_xlfn.XLOOKUP(1,(DESC_PROV[LINEA]=$B$2)*(DESC_PROV[LISTA]=$C$2),DESC_PROV[DESCUENTO]))
   *(1+VLOOKUP($C$2,LISTAS[],2,FALSE))
   *(1+VLOOKUP($C$2,LISTAS[],3,FALSE))
)
/5,0)*5,0)</f>
        <v>418210</v>
      </c>
      <c r="M17" s="65" cm="1">
        <f t="array" ref="M17">IFERROR(
ROUND(
IF($A$2="COSTO",
   ((B17*(1+IFERROR(VLOOKUP($D$2,COLORES[],2,FALSE),0)) + D17)
   *IF($E$2=0.8,1,IF($E$2=0.7,1-7%,1+10%)))
   *(1-_xlfn.XLOOKUP(1,(DESC_PROV[LINEA]=$B$2)*(DESC_PROV[LISTA]=$C$2),DESC_PROV[DESCUENTO])),
   ((B17*(1+IFERROR(VLOOKUP($D$2,COLORES[],2,FALSE),0)) + D17)
   *IF($E$2=0.8,1,IF($E$2=0.7,1-7%,1+10%)))
   *(1-_xlfn.XLOOKUP(1,(DESC_PROV[LINEA]=$B$2)*(DESC_PROV[LISTA]=$C$2),DESC_PROV[DESCUENTO]))
   *(1+VLOOKUP($C$2,LISTAS[],2,FALSE))
   *(1+VLOOKUP($C$2,LISTAS[],3,FALSE))
)
/5,0)*5,0)</f>
        <v>407905</v>
      </c>
      <c r="N17" s="65" cm="1">
        <f t="array" ref="N17">IFERROR(
ROUND(
IF($A$2="COSTO",
   ((B17*(1+IFERROR(VLOOKUP($D$2,COLORES[],2,FALSE),0)) + E17)
   *IF($E$2=0.8,1,IF($E$2=0.7,1-7%,1+10%)))
   *(1-_xlfn.XLOOKUP(1,(DESC_PROV[LINEA]=$B$2)*(DESC_PROV[LISTA]=$C$2),DESC_PROV[DESCUENTO])),
   ((B17*(1+IFERROR(VLOOKUP($D$2,COLORES[],2,FALSE),0)) + E17)
   *IF($E$2=0.8,1,IF($E$2=0.7,1-7%,1+10%)))
   *(1-_xlfn.XLOOKUP(1,(DESC_PROV[LINEA]=$B$2)*(DESC_PROV[LISTA]=$C$2),DESC_PROV[DESCUENTO]))
   *(1+VLOOKUP($C$2,LISTAS[],2,FALSE))
   *(1+VLOOKUP($C$2,LISTAS[],3,FALSE))
)
/5,0)*5,0)</f>
        <v>418210</v>
      </c>
      <c r="O17" s="65" cm="1">
        <f t="array" ref="O17">IFERROR(
ROUND(
IF($A$2="COSTO",
   ((B17*(1+IFERROR(VLOOKUP($D$2,COLORES[],2,FALSE),0)) + F17)
   *IF($E$2=0.8,1,IF($E$2=0.7,1-7%,1+10%)))
   *(1-_xlfn.XLOOKUP(1,(DESC_PROV[LINEA]=$B$2)*(DESC_PROV[LISTA]=$C$2),DESC_PROV[DESCUENTO])),
   ((B17*(1+IFERROR(VLOOKUP($D$2,COLORES[],2,FALSE),0)) + F17)
   *IF($E$2=0.8,1,IF($E$2=0.7,1-7%,1+10%)))
   *(1-_xlfn.XLOOKUP(1,(DESC_PROV[LINEA]=$B$2)*(DESC_PROV[LISTA]=$C$2),DESC_PROV[DESCUENTO]))
   *(1+VLOOKUP($C$2,LISTAS[],2,FALSE))
   *(1+VLOOKUP($C$2,LISTAS[],3,FALSE))
)
/5,0)*5,0)</f>
        <v>411180</v>
      </c>
      <c r="P17" s="65" cm="1">
        <f t="array" ref="P17">IFERROR(
ROUND(
IF($A$2="COSTO",
   ((B17*(1+IFERROR(VLOOKUP($D$2,COLORES[],2,FALSE),0)) + G17)
   *IF($E$2=0.8,1,IF($E$2=0.7,1-7%,1+10%)))
   *(1-_xlfn.XLOOKUP(1,(DESC_PROV[LINEA]=$B$2)*(DESC_PROV[LISTA]=$C$2),DESC_PROV[DESCUENTO])),
   ((B17*(1+IFERROR(VLOOKUP($D$2,COLORES[],2,FALSE),0)) + G17)
   *IF($E$2=0.8,1,IF($E$2=0.7,1-7%,1+10%)))
   *(1-_xlfn.XLOOKUP(1,(DESC_PROV[LINEA]=$B$2)*(DESC_PROV[LISTA]=$C$2),DESC_PROV[DESCUENTO]))
   *(1+VLOOKUP($C$2,LISTAS[],2,FALSE))
   *(1+VLOOKUP($C$2,LISTAS[],3,FALSE))
)
/5,0)*5,0)</f>
        <v>467990</v>
      </c>
      <c r="Q17" s="65" cm="1">
        <f t="array" ref="Q17">IFERROR(
ROUND(
IF($A$2="COSTO",
   ((B17*(1+IFERROR(VLOOKUP($D$2,COLORES[],2,FALSE),0)) + H17)
   *IF($E$2=0.8,1,IF($E$2=0.7,1-7%,1+10%)))
   *(1-_xlfn.XLOOKUP(1,(DESC_PROV[LINEA]=$B$2)*(DESC_PROV[LISTA]=$C$2),DESC_PROV[DESCUENTO])),
   ((B17*(1+IFERROR(VLOOKUP($D$2,COLORES[],2,FALSE),0)) + H17)
   *IF($E$2=0.8,1,IF($E$2=0.7,1-7%,1+10%)))
   *(1-_xlfn.XLOOKUP(1,(DESC_PROV[LINEA]=$B$2)*(DESC_PROV[LISTA]=$C$2),DESC_PROV[DESCUENTO]))
   *(1+VLOOKUP($C$2,LISTAS[],2,FALSE))
   *(1+VLOOKUP($C$2,LISTAS[],3,FALSE))
)
/5,0)*5,0)</f>
        <v>513930</v>
      </c>
      <c r="R17" s="65" cm="1">
        <f t="array" ref="R17">IFERROR(
ROUND(
IF($A$2="COSTO",
   ((B17*(1+IFERROR(VLOOKUP($D$2,COLORES[],2,FALSE),0)) + D17 + I17 + D17)
   *IF($E$2=0.8,1,IF($E$2=0.7,1-7%,1+10%)))
   *(1-_xlfn.XLOOKUP(1,(DESC_PROV[LINEA]=$B$2)*(DESC_PROV[LISTA]=$C$2),DESC_PROV[DESCUENTO])),
   ((B17*(1+IFERROR(VLOOKUP($D$2,COLORES[],2,FALSE),0)) + D17 + I17 + D17)
   *IF($E$2=0.8,1,IF($E$2=0.7,1-7%,1+10%)))
   *(1-_xlfn.XLOOKUP(1,(DESC_PROV[LINEA]=$B$2)*(DESC_PROV[LISTA]=$C$2),DESC_PROV[DESCUENTO]))
   *(1+VLOOKUP($C$2,LISTAS[],2,FALSE))
   *(1+VLOOKUP($C$2,LISTAS[],3,FALSE))
)
/5,0)*5,0)</f>
        <v>608305</v>
      </c>
    </row>
    <row r="18" spans="1:18" ht="16.899999999999999">
      <c r="A18" s="259" t="s">
        <v>215</v>
      </c>
      <c r="B18" s="64">
        <v>357629</v>
      </c>
      <c r="C18" s="64">
        <v>6624</v>
      </c>
      <c r="D18" s="64">
        <v>8026</v>
      </c>
      <c r="E18" s="64">
        <v>10572</v>
      </c>
      <c r="F18" s="64">
        <v>8856</v>
      </c>
      <c r="G18" s="64">
        <v>22878</v>
      </c>
      <c r="H18" s="64">
        <v>34228</v>
      </c>
      <c r="I18" s="64">
        <v>59220</v>
      </c>
      <c r="J18" s="2"/>
      <c r="K18" s="259" t="s">
        <v>215</v>
      </c>
      <c r="L18" s="65" cm="1">
        <f t="array" ref="L18">IFERROR(
ROUND(
IF($A$2="COSTO",
   ((B18*(1+IFERROR(VLOOKUP($D$2,COLORES[],2,FALSE),0)) + E18)
   *IF($E$2=0.8,1,IF($E$2=0.7,1-7%,1+10%)))
   *(1-_xlfn.XLOOKUP(1,(DESC_PROV[LINEA]=$B$2)*(DESC_PROV[LISTA]=$C$2),DESC_PROV[DESCUENTO])),
   ((B18*(1+IFERROR(VLOOKUP($D$2,COLORES[],2,FALSE),0)) + E18)
   *IF($E$2=0.8,1,IF($E$2=0.7,1-7%,1+10%)))
   *(1-_xlfn.XLOOKUP(1,(DESC_PROV[LINEA]=$B$2)*(DESC_PROV[LISTA]=$C$2),DESC_PROV[DESCUENTO]))
   *(1+VLOOKUP($C$2,LISTAS[],2,FALSE))
   *(1+VLOOKUP($C$2,LISTAS[],3,FALSE))
)
/5,0)*5,0)</f>
        <v>471865</v>
      </c>
      <c r="M18" s="65" cm="1">
        <f t="array" ref="M18">IFERROR(
ROUND(
IF($A$2="COSTO",
   ((B18*(1+IFERROR(VLOOKUP($D$2,COLORES[],2,FALSE),0)) + D18)
   *IF($E$2=0.8,1,IF($E$2=0.7,1-7%,1+10%)))
   *(1-_xlfn.XLOOKUP(1,(DESC_PROV[LINEA]=$B$2)*(DESC_PROV[LISTA]=$C$2),DESC_PROV[DESCUENTO])),
   ((B18*(1+IFERROR(VLOOKUP($D$2,COLORES[],2,FALSE),0)) + D18)
   *IF($E$2=0.8,1,IF($E$2=0.7,1-7%,1+10%)))
   *(1-_xlfn.XLOOKUP(1,(DESC_PROV[LINEA]=$B$2)*(DESC_PROV[LISTA]=$C$2),DESC_PROV[DESCUENTO]))
   *(1+VLOOKUP($C$2,LISTAS[],2,FALSE))
   *(1+VLOOKUP($C$2,LISTAS[],3,FALSE))
)
/5,0)*5,0)</f>
        <v>468600</v>
      </c>
      <c r="N18" s="65" cm="1">
        <f t="array" ref="N18">IFERROR(
ROUND(
IF($A$2="COSTO",
   ((B18*(1+IFERROR(VLOOKUP($D$2,COLORES[],2,FALSE),0)) + E18)
   *IF($E$2=0.8,1,IF($E$2=0.7,1-7%,1+10%)))
   *(1-_xlfn.XLOOKUP(1,(DESC_PROV[LINEA]=$B$2)*(DESC_PROV[LISTA]=$C$2),DESC_PROV[DESCUENTO])),
   ((B18*(1+IFERROR(VLOOKUP($D$2,COLORES[],2,FALSE),0)) + E18)
   *IF($E$2=0.8,1,IF($E$2=0.7,1-7%,1+10%)))
   *(1-_xlfn.XLOOKUP(1,(DESC_PROV[LINEA]=$B$2)*(DESC_PROV[LISTA]=$C$2),DESC_PROV[DESCUENTO]))
   *(1+VLOOKUP($C$2,LISTAS[],2,FALSE))
   *(1+VLOOKUP($C$2,LISTAS[],3,FALSE))
)
/5,0)*5,0)</f>
        <v>471865</v>
      </c>
      <c r="O18" s="65" cm="1">
        <f t="array" ref="O18">IFERROR(
ROUND(
IF($A$2="COSTO",
   ((B18*(1+IFERROR(VLOOKUP($D$2,COLORES[],2,FALSE),0)) + F18)
   *IF($E$2=0.8,1,IF($E$2=0.7,1-7%,1+10%)))
   *(1-_xlfn.XLOOKUP(1,(DESC_PROV[LINEA]=$B$2)*(DESC_PROV[LISTA]=$C$2),DESC_PROV[DESCUENTO])),
   ((B18*(1+IFERROR(VLOOKUP($D$2,COLORES[],2,FALSE),0)) + F18)
   *IF($E$2=0.8,1,IF($E$2=0.7,1-7%,1+10%)))
   *(1-_xlfn.XLOOKUP(1,(DESC_PROV[LINEA]=$B$2)*(DESC_PROV[LISTA]=$C$2),DESC_PROV[DESCUENTO]))
   *(1+VLOOKUP($C$2,LISTAS[],2,FALSE))
   *(1+VLOOKUP($C$2,LISTAS[],3,FALSE))
)
/5,0)*5,0)</f>
        <v>469665</v>
      </c>
      <c r="P18" s="65" cm="1">
        <f t="array" ref="P18">IFERROR(
ROUND(
IF($A$2="COSTO",
   ((B18*(1+IFERROR(VLOOKUP($D$2,COLORES[],2,FALSE),0)) + G18)
   *IF($E$2=0.8,1,IF($E$2=0.7,1-7%,1+10%)))
   *(1-_xlfn.XLOOKUP(1,(DESC_PROV[LINEA]=$B$2)*(DESC_PROV[LISTA]=$C$2),DESC_PROV[DESCUENTO])),
   ((B18*(1+IFERROR(VLOOKUP($D$2,COLORES[],2,FALSE),0)) + G18)
   *IF($E$2=0.8,1,IF($E$2=0.7,1-7%,1+10%)))
   *(1-_xlfn.XLOOKUP(1,(DESC_PROV[LINEA]=$B$2)*(DESC_PROV[LISTA]=$C$2),DESC_PROV[DESCUENTO]))
   *(1+VLOOKUP($C$2,LISTAS[],2,FALSE))
   *(1+VLOOKUP($C$2,LISTAS[],3,FALSE))
)
/5,0)*5,0)</f>
        <v>487635</v>
      </c>
      <c r="Q18" s="65" cm="1">
        <f t="array" ref="Q18">IFERROR(
ROUND(
IF($A$2="COSTO",
   ((B18*(1+IFERROR(VLOOKUP($D$2,COLORES[],2,FALSE),0)) + H18)
   *IF($E$2=0.8,1,IF($E$2=0.7,1-7%,1+10%)))
   *(1-_xlfn.XLOOKUP(1,(DESC_PROV[LINEA]=$B$2)*(DESC_PROV[LISTA]=$C$2),DESC_PROV[DESCUENTO])),
   ((B18*(1+IFERROR(VLOOKUP($D$2,COLORES[],2,FALSE),0)) + H18)
   *IF($E$2=0.8,1,IF($E$2=0.7,1-7%,1+10%)))
   *(1-_xlfn.XLOOKUP(1,(DESC_PROV[LINEA]=$B$2)*(DESC_PROV[LISTA]=$C$2),DESC_PROV[DESCUENTO]))
   *(1+VLOOKUP($C$2,LISTAS[],2,FALSE))
   *(1+VLOOKUP($C$2,LISTAS[],3,FALSE))
)
/5,0)*5,0)</f>
        <v>502180</v>
      </c>
      <c r="R18" s="65" cm="1">
        <f t="array" ref="R18">IFERROR(
ROUND(
IF($A$2="COSTO",
   ((B18*(1+IFERROR(VLOOKUP($D$2,COLORES[],2,FALSE),0)) + D18 + I18 + D18)
   *IF($E$2=0.8,1,IF($E$2=0.7,1-7%,1+10%)))
   *(1-_xlfn.XLOOKUP(1,(DESC_PROV[LINEA]=$B$2)*(DESC_PROV[LISTA]=$C$2),DESC_PROV[DESCUENTO])),
   ((B18*(1+IFERROR(VLOOKUP($D$2,COLORES[],2,FALSE),0)) + D18 + I18 + D18)
   *IF($E$2=0.8,1,IF($E$2=0.7,1-7%,1+10%)))
   *(1-_xlfn.XLOOKUP(1,(DESC_PROV[LINEA]=$B$2)*(DESC_PROV[LISTA]=$C$2),DESC_PROV[DESCUENTO]))
   *(1+VLOOKUP($C$2,LISTAS[],2,FALSE))
   *(1+VLOOKUP($C$2,LISTAS[],3,FALSE))
)
/5,0)*5,0)</f>
        <v>554780</v>
      </c>
    </row>
    <row r="19" spans="1:18" ht="16.899999999999999">
      <c r="A19" s="259" t="s">
        <v>216</v>
      </c>
      <c r="B19" s="64">
        <v>365210</v>
      </c>
      <c r="C19" s="64">
        <v>3659</v>
      </c>
      <c r="D19" s="64">
        <v>5068</v>
      </c>
      <c r="E19" s="64">
        <v>6673</v>
      </c>
      <c r="F19" s="64">
        <v>5578</v>
      </c>
      <c r="G19" s="64">
        <v>14446</v>
      </c>
      <c r="H19" s="64">
        <v>21609</v>
      </c>
      <c r="I19" s="64">
        <v>34020</v>
      </c>
      <c r="J19" s="2"/>
      <c r="K19" s="259" t="s">
        <v>216</v>
      </c>
      <c r="L19" s="65" cm="1">
        <f t="array" ref="L19">IFERROR(
ROUND(
IF($A$2="COSTO",
   ((B19*(1+IFERROR(VLOOKUP($D$2,COLORES[],2,FALSE),0)) + E19)
   *IF($E$2=0.8,1,IF($E$2=0.7,1-7%,1+10%)))
   *(1-_xlfn.XLOOKUP(1,(DESC_PROV[LINEA]=$B$2)*(DESC_PROV[LISTA]=$C$2),DESC_PROV[DESCUENTO])),
   ((B19*(1+IFERROR(VLOOKUP($D$2,COLORES[],2,FALSE),0)) + E19)
   *IF($E$2=0.8,1,IF($E$2=0.7,1-7%,1+10%)))
   *(1-_xlfn.XLOOKUP(1,(DESC_PROV[LINEA]=$B$2)*(DESC_PROV[LISTA]=$C$2),DESC_PROV[DESCUENTO]))
   *(1+VLOOKUP($C$2,LISTAS[],2,FALSE))
   *(1+VLOOKUP($C$2,LISTAS[],3,FALSE))
)
/5,0)*5,0)</f>
        <v>476585</v>
      </c>
      <c r="M19" s="65" cm="1">
        <f t="array" ref="M19">IFERROR(
ROUND(
IF($A$2="COSTO",
   ((B19*(1+IFERROR(VLOOKUP($D$2,COLORES[],2,FALSE),0)) + D19)
   *IF($E$2=0.8,1,IF($E$2=0.7,1-7%,1+10%)))
   *(1-_xlfn.XLOOKUP(1,(DESC_PROV[LINEA]=$B$2)*(DESC_PROV[LISTA]=$C$2),DESC_PROV[DESCUENTO])),
   ((B19*(1+IFERROR(VLOOKUP($D$2,COLORES[],2,FALSE),0)) + D19)
   *IF($E$2=0.8,1,IF($E$2=0.7,1-7%,1+10%)))
   *(1-_xlfn.XLOOKUP(1,(DESC_PROV[LINEA]=$B$2)*(DESC_PROV[LISTA]=$C$2),DESC_PROV[DESCUENTO]))
   *(1+VLOOKUP($C$2,LISTAS[],2,FALSE))
   *(1+VLOOKUP($C$2,LISTAS[],3,FALSE))
)
/5,0)*5,0)</f>
        <v>474525</v>
      </c>
      <c r="N19" s="65" cm="1">
        <f t="array" ref="N19">IFERROR(
ROUND(
IF($A$2="COSTO",
   ((B19*(1+IFERROR(VLOOKUP($D$2,COLORES[],2,FALSE),0)) + E19)
   *IF($E$2=0.8,1,IF($E$2=0.7,1-7%,1+10%)))
   *(1-_xlfn.XLOOKUP(1,(DESC_PROV[LINEA]=$B$2)*(DESC_PROV[LISTA]=$C$2),DESC_PROV[DESCUENTO])),
   ((B19*(1+IFERROR(VLOOKUP($D$2,COLORES[],2,FALSE),0)) + E19)
   *IF($E$2=0.8,1,IF($E$2=0.7,1-7%,1+10%)))
   *(1-_xlfn.XLOOKUP(1,(DESC_PROV[LINEA]=$B$2)*(DESC_PROV[LISTA]=$C$2),DESC_PROV[DESCUENTO]))
   *(1+VLOOKUP($C$2,LISTAS[],2,FALSE))
   *(1+VLOOKUP($C$2,LISTAS[],3,FALSE))
)
/5,0)*5,0)</f>
        <v>476585</v>
      </c>
      <c r="O19" s="65" cm="1">
        <f t="array" ref="O19">IFERROR(
ROUND(
IF($A$2="COSTO",
   ((B19*(1+IFERROR(VLOOKUP($D$2,COLORES[],2,FALSE),0)) + F19)
   *IF($E$2=0.8,1,IF($E$2=0.7,1-7%,1+10%)))
   *(1-_xlfn.XLOOKUP(1,(DESC_PROV[LINEA]=$B$2)*(DESC_PROV[LISTA]=$C$2),DESC_PROV[DESCUENTO])),
   ((B19*(1+IFERROR(VLOOKUP($D$2,COLORES[],2,FALSE),0)) + F19)
   *IF($E$2=0.8,1,IF($E$2=0.7,1-7%,1+10%)))
   *(1-_xlfn.XLOOKUP(1,(DESC_PROV[LINEA]=$B$2)*(DESC_PROV[LISTA]=$C$2),DESC_PROV[DESCUENTO]))
   *(1+VLOOKUP($C$2,LISTAS[],2,FALSE))
   *(1+VLOOKUP($C$2,LISTAS[],3,FALSE))
)
/5,0)*5,0)</f>
        <v>475180</v>
      </c>
      <c r="P19" s="65" cm="1">
        <f t="array" ref="P19">IFERROR(
ROUND(
IF($A$2="COSTO",
   ((B19*(1+IFERROR(VLOOKUP($D$2,COLORES[],2,FALSE),0)) + G19)
   *IF($E$2=0.8,1,IF($E$2=0.7,1-7%,1+10%)))
   *(1-_xlfn.XLOOKUP(1,(DESC_PROV[LINEA]=$B$2)*(DESC_PROV[LISTA]=$C$2),DESC_PROV[DESCUENTO])),
   ((B19*(1+IFERROR(VLOOKUP($D$2,COLORES[],2,FALSE),0)) + G19)
   *IF($E$2=0.8,1,IF($E$2=0.7,1-7%,1+10%)))
   *(1-_xlfn.XLOOKUP(1,(DESC_PROV[LINEA]=$B$2)*(DESC_PROV[LISTA]=$C$2),DESC_PROV[DESCUENTO]))
   *(1+VLOOKUP($C$2,LISTAS[],2,FALSE))
   *(1+VLOOKUP($C$2,LISTAS[],3,FALSE))
)
/5,0)*5,0)</f>
        <v>486545</v>
      </c>
      <c r="Q19" s="65" cm="1">
        <f t="array" ref="Q19">IFERROR(
ROUND(
IF($A$2="COSTO",
   ((B19*(1+IFERROR(VLOOKUP($D$2,COLORES[],2,FALSE),0)) + H19)
   *IF($E$2=0.8,1,IF($E$2=0.7,1-7%,1+10%)))
   *(1-_xlfn.XLOOKUP(1,(DESC_PROV[LINEA]=$B$2)*(DESC_PROV[LISTA]=$C$2),DESC_PROV[DESCUENTO])),
   ((B19*(1+IFERROR(VLOOKUP($D$2,COLORES[],2,FALSE),0)) + H19)
   *IF($E$2=0.8,1,IF($E$2=0.7,1-7%,1+10%)))
   *(1-_xlfn.XLOOKUP(1,(DESC_PROV[LINEA]=$B$2)*(DESC_PROV[LISTA]=$C$2),DESC_PROV[DESCUENTO]))
   *(1+VLOOKUP($C$2,LISTAS[],2,FALSE))
   *(1+VLOOKUP($C$2,LISTAS[],3,FALSE))
)
/5,0)*5,0)</f>
        <v>495725</v>
      </c>
      <c r="R19" s="65" cm="1">
        <f t="array" ref="R19">IFERROR(
ROUND(
IF($A$2="COSTO",
   ((B19*(1+IFERROR(VLOOKUP($D$2,COLORES[],2,FALSE),0)) + D19 + I19 + D19)
   *IF($E$2=0.8,1,IF($E$2=0.7,1-7%,1+10%)))
   *(1-_xlfn.XLOOKUP(1,(DESC_PROV[LINEA]=$B$2)*(DESC_PROV[LISTA]=$C$2),DESC_PROV[DESCUENTO])),
   ((B19*(1+IFERROR(VLOOKUP($D$2,COLORES[],2,FALSE),0)) + D19 + I19 + D19)
   *IF($E$2=0.8,1,IF($E$2=0.7,1-7%,1+10%)))
   *(1-_xlfn.XLOOKUP(1,(DESC_PROV[LINEA]=$B$2)*(DESC_PROV[LISTA]=$C$2),DESC_PROV[DESCUENTO]))
   *(1+VLOOKUP($C$2,LISTAS[],2,FALSE))
   *(1+VLOOKUP($C$2,LISTAS[],3,FALSE))
)
/5,0)*5,0)</f>
        <v>524620</v>
      </c>
    </row>
    <row r="20" spans="1:18" ht="16.899999999999999">
      <c r="A20" s="259" t="s">
        <v>217</v>
      </c>
      <c r="B20" s="64">
        <v>416021</v>
      </c>
      <c r="C20" s="64">
        <v>3659</v>
      </c>
      <c r="D20" s="64">
        <v>0</v>
      </c>
      <c r="E20" s="64">
        <v>0</v>
      </c>
      <c r="F20" s="64">
        <v>5578</v>
      </c>
      <c r="G20" s="64">
        <v>14446</v>
      </c>
      <c r="H20" s="64">
        <v>0</v>
      </c>
      <c r="I20" s="64">
        <v>0</v>
      </c>
      <c r="J20" s="2"/>
      <c r="K20" s="259" t="s">
        <v>217</v>
      </c>
      <c r="L20" s="65" cm="1">
        <f t="array" ref="L20">IFERROR(
ROUND(
IF($A$2="COSTO",
   ((B20*(1+IFERROR(VLOOKUP($D$2,COLORES[],2,FALSE),0)) + E20)
   *IF($E$2=0.8,1,IF($E$2=0.7,1-7%,1+10%)))
   *(1-_xlfn.XLOOKUP(1,(DESC_PROV[LINEA]=$B$2)*(DESC_PROV[LISTA]=$C$2),DESC_PROV[DESCUENTO])),
   ((B20*(1+IFERROR(VLOOKUP($D$2,COLORES[],2,FALSE),0)) + E20)
   *IF($E$2=0.8,1,IF($E$2=0.7,1-7%,1+10%)))
   *(1-_xlfn.XLOOKUP(1,(DESC_PROV[LINEA]=$B$2)*(DESC_PROV[LISTA]=$C$2),DESC_PROV[DESCUENTO]))
   *(1+VLOOKUP($C$2,LISTAS[],2,FALSE))
   *(1+VLOOKUP($C$2,LISTAS[],3,FALSE))
)
/5,0)*5,0)</f>
        <v>533150</v>
      </c>
      <c r="M20" s="65" cm="1">
        <f t="array" ref="M20">IFERROR(
ROUND(
IF($A$2="COSTO",
   ((B20*(1+IFERROR(VLOOKUP($D$2,COLORES[],2,FALSE),0)) + D20)
   *IF($E$2=0.8,1,IF($E$2=0.7,1-7%,1+10%)))
   *(1-_xlfn.XLOOKUP(1,(DESC_PROV[LINEA]=$B$2)*(DESC_PROV[LISTA]=$C$2),DESC_PROV[DESCUENTO])),
   ((B20*(1+IFERROR(VLOOKUP($D$2,COLORES[],2,FALSE),0)) + D20)
   *IF($E$2=0.8,1,IF($E$2=0.7,1-7%,1+10%)))
   *(1-_xlfn.XLOOKUP(1,(DESC_PROV[LINEA]=$B$2)*(DESC_PROV[LISTA]=$C$2),DESC_PROV[DESCUENTO]))
   *(1+VLOOKUP($C$2,LISTAS[],2,FALSE))
   *(1+VLOOKUP($C$2,LISTAS[],3,FALSE))
)
/5,0)*5,0)</f>
        <v>533150</v>
      </c>
      <c r="N20" s="65" cm="1">
        <f t="array" ref="N20">IFERROR(
ROUND(
IF($A$2="COSTO",
   ((B20*(1+IFERROR(VLOOKUP($D$2,COLORES[],2,FALSE),0)) + E20)
   *IF($E$2=0.8,1,IF($E$2=0.7,1-7%,1+10%)))
   *(1-_xlfn.XLOOKUP(1,(DESC_PROV[LINEA]=$B$2)*(DESC_PROV[LISTA]=$C$2),DESC_PROV[DESCUENTO])),
   ((B20*(1+IFERROR(VLOOKUP($D$2,COLORES[],2,FALSE),0)) + E20)
   *IF($E$2=0.8,1,IF($E$2=0.7,1-7%,1+10%)))
   *(1-_xlfn.XLOOKUP(1,(DESC_PROV[LINEA]=$B$2)*(DESC_PROV[LISTA]=$C$2),DESC_PROV[DESCUENTO]))
   *(1+VLOOKUP($C$2,LISTAS[],2,FALSE))
   *(1+VLOOKUP($C$2,LISTAS[],3,FALSE))
)
/5,0)*5,0)</f>
        <v>533150</v>
      </c>
      <c r="O20" s="65" cm="1">
        <f t="array" ref="O20">IFERROR(
ROUND(
IF($A$2="COSTO",
   ((B20*(1+IFERROR(VLOOKUP($D$2,COLORES[],2,FALSE),0)) + F20)
   *IF($E$2=0.8,1,IF($E$2=0.7,1-7%,1+10%)))
   *(1-_xlfn.XLOOKUP(1,(DESC_PROV[LINEA]=$B$2)*(DESC_PROV[LISTA]=$C$2),DESC_PROV[DESCUENTO])),
   ((B20*(1+IFERROR(VLOOKUP($D$2,COLORES[],2,FALSE),0)) + F20)
   *IF($E$2=0.8,1,IF($E$2=0.7,1-7%,1+10%)))
   *(1-_xlfn.XLOOKUP(1,(DESC_PROV[LINEA]=$B$2)*(DESC_PROV[LISTA]=$C$2),DESC_PROV[DESCUENTO]))
   *(1+VLOOKUP($C$2,LISTAS[],2,FALSE))
   *(1+VLOOKUP($C$2,LISTAS[],3,FALSE))
)
/5,0)*5,0)</f>
        <v>540295</v>
      </c>
      <c r="P20" s="65" cm="1">
        <f t="array" ref="P20">IFERROR(
ROUND(
IF($A$2="COSTO",
   ((B20*(1+IFERROR(VLOOKUP($D$2,COLORES[],2,FALSE),0)) + G20)
   *IF($E$2=0.8,1,IF($E$2=0.7,1-7%,1+10%)))
   *(1-_xlfn.XLOOKUP(1,(DESC_PROV[LINEA]=$B$2)*(DESC_PROV[LISTA]=$C$2),DESC_PROV[DESCUENTO])),
   ((B20*(1+IFERROR(VLOOKUP($D$2,COLORES[],2,FALSE),0)) + G20)
   *IF($E$2=0.8,1,IF($E$2=0.7,1-7%,1+10%)))
   *(1-_xlfn.XLOOKUP(1,(DESC_PROV[LINEA]=$B$2)*(DESC_PROV[LISTA]=$C$2),DESC_PROV[DESCUENTO]))
   *(1+VLOOKUP($C$2,LISTAS[],2,FALSE))
   *(1+VLOOKUP($C$2,LISTAS[],3,FALSE))
)
/5,0)*5,0)</f>
        <v>551660</v>
      </c>
      <c r="Q20" s="65" cm="1">
        <f t="array" ref="Q20">IFERROR(
ROUND(
IF($A$2="COSTO",
   ((B20*(1+IFERROR(VLOOKUP($D$2,COLORES[],2,FALSE),0)) + H20)
   *IF($E$2=0.8,1,IF($E$2=0.7,1-7%,1+10%)))
   *(1-_xlfn.XLOOKUP(1,(DESC_PROV[LINEA]=$B$2)*(DESC_PROV[LISTA]=$C$2),DESC_PROV[DESCUENTO])),
   ((B20*(1+IFERROR(VLOOKUP($D$2,COLORES[],2,FALSE),0)) + H20)
   *IF($E$2=0.8,1,IF($E$2=0.7,1-7%,1+10%)))
   *(1-_xlfn.XLOOKUP(1,(DESC_PROV[LINEA]=$B$2)*(DESC_PROV[LISTA]=$C$2),DESC_PROV[DESCUENTO]))
   *(1+VLOOKUP($C$2,LISTAS[],2,FALSE))
   *(1+VLOOKUP($C$2,LISTAS[],3,FALSE))
)
/5,0)*5,0)</f>
        <v>533150</v>
      </c>
      <c r="R20" s="65" cm="1">
        <f t="array" ref="R20">IFERROR(
ROUND(
IF($A$2="COSTO",
   ((B20*(1+IFERROR(VLOOKUP($D$2,COLORES[],2,FALSE),0)) + D20 + I20 + D20)
   *IF($E$2=0.8,1,IF($E$2=0.7,1-7%,1+10%)))
   *(1-_xlfn.XLOOKUP(1,(DESC_PROV[LINEA]=$B$2)*(DESC_PROV[LISTA]=$C$2),DESC_PROV[DESCUENTO])),
   ((B20*(1+IFERROR(VLOOKUP($D$2,COLORES[],2,FALSE),0)) + D20 + I20 + D20)
   *IF($E$2=0.8,1,IF($E$2=0.7,1-7%,1+10%)))
   *(1-_xlfn.XLOOKUP(1,(DESC_PROV[LINEA]=$B$2)*(DESC_PROV[LISTA]=$C$2),DESC_PROV[DESCUENTO]))
   *(1+VLOOKUP($C$2,LISTAS[],2,FALSE))
   *(1+VLOOKUP($C$2,LISTAS[],3,FALSE))
)
/5,0)*5,0)</f>
        <v>533150</v>
      </c>
    </row>
    <row r="21" spans="1:18" ht="16.899999999999999">
      <c r="A21" s="259" t="s">
        <v>218</v>
      </c>
      <c r="B21" s="64">
        <v>335002</v>
      </c>
      <c r="C21" s="64">
        <v>14643</v>
      </c>
      <c r="D21" s="64">
        <v>19004</v>
      </c>
      <c r="E21" s="64">
        <v>25031</v>
      </c>
      <c r="F21" s="64">
        <v>20922</v>
      </c>
      <c r="G21" s="64">
        <v>54175</v>
      </c>
      <c r="H21" s="64">
        <v>81062</v>
      </c>
      <c r="I21" s="64">
        <v>133560</v>
      </c>
      <c r="J21" s="2"/>
      <c r="K21" s="259" t="s">
        <v>218</v>
      </c>
      <c r="L21" s="65" cm="1">
        <f t="array" ref="L21">IFERROR(
ROUND(
IF($A$2="COSTO",
   ((B21*(1+IFERROR(VLOOKUP($D$2,COLORES[],2,FALSE),0)) + E21)
   *IF($E$2=0.8,1,IF($E$2=0.7,1-7%,1+10%)))
   *(1-_xlfn.XLOOKUP(1,(DESC_PROV[LINEA]=$B$2)*(DESC_PROV[LISTA]=$C$2),DESC_PROV[DESCUENTO])),
   ((B21*(1+IFERROR(VLOOKUP($D$2,COLORES[],2,FALSE),0)) + E21)
   *IF($E$2=0.8,1,IF($E$2=0.7,1-7%,1+10%)))
   *(1-_xlfn.XLOOKUP(1,(DESC_PROV[LINEA]=$B$2)*(DESC_PROV[LISTA]=$C$2),DESC_PROV[DESCUENTO]))
   *(1+VLOOKUP($C$2,LISTAS[],2,FALSE))
   *(1+VLOOKUP($C$2,LISTAS[],3,FALSE))
)
/5,0)*5,0)</f>
        <v>461395</v>
      </c>
      <c r="M21" s="65" cm="1">
        <f t="array" ref="M21">IFERROR(
ROUND(
IF($A$2="COSTO",
   ((B21*(1+IFERROR(VLOOKUP($D$2,COLORES[],2,FALSE),0)) + D21)
   *IF($E$2=0.8,1,IF($E$2=0.7,1-7%,1+10%)))
   *(1-_xlfn.XLOOKUP(1,(DESC_PROV[LINEA]=$B$2)*(DESC_PROV[LISTA]=$C$2),DESC_PROV[DESCUENTO])),
   ((B21*(1+IFERROR(VLOOKUP($D$2,COLORES[],2,FALSE),0)) + D21)
   *IF($E$2=0.8,1,IF($E$2=0.7,1-7%,1+10%)))
   *(1-_xlfn.XLOOKUP(1,(DESC_PROV[LINEA]=$B$2)*(DESC_PROV[LISTA]=$C$2),DESC_PROV[DESCUENTO]))
   *(1+VLOOKUP($C$2,LISTAS[],2,FALSE))
   *(1+VLOOKUP($C$2,LISTAS[],3,FALSE))
)
/5,0)*5,0)</f>
        <v>453675</v>
      </c>
      <c r="N21" s="65" cm="1">
        <f t="array" ref="N21">IFERROR(
ROUND(
IF($A$2="COSTO",
   ((B21*(1+IFERROR(VLOOKUP($D$2,COLORES[],2,FALSE),0)) + E21)
   *IF($E$2=0.8,1,IF($E$2=0.7,1-7%,1+10%)))
   *(1-_xlfn.XLOOKUP(1,(DESC_PROV[LINEA]=$B$2)*(DESC_PROV[LISTA]=$C$2),DESC_PROV[DESCUENTO])),
   ((B21*(1+IFERROR(VLOOKUP($D$2,COLORES[],2,FALSE),0)) + E21)
   *IF($E$2=0.8,1,IF($E$2=0.7,1-7%,1+10%)))
   *(1-_xlfn.XLOOKUP(1,(DESC_PROV[LINEA]=$B$2)*(DESC_PROV[LISTA]=$C$2),DESC_PROV[DESCUENTO]))
   *(1+VLOOKUP($C$2,LISTAS[],2,FALSE))
   *(1+VLOOKUP($C$2,LISTAS[],3,FALSE))
)
/5,0)*5,0)</f>
        <v>461395</v>
      </c>
      <c r="O21" s="65" cm="1">
        <f t="array" ref="O21">IFERROR(
ROUND(
IF($A$2="COSTO",
   ((B21*(1+IFERROR(VLOOKUP($D$2,COLORES[],2,FALSE),0)) + F21)
   *IF($E$2=0.8,1,IF($E$2=0.7,1-7%,1+10%)))
   *(1-_xlfn.XLOOKUP(1,(DESC_PROV[LINEA]=$B$2)*(DESC_PROV[LISTA]=$C$2),DESC_PROV[DESCUENTO])),
   ((B21*(1+IFERROR(VLOOKUP($D$2,COLORES[],2,FALSE),0)) + F21)
   *IF($E$2=0.8,1,IF($E$2=0.7,1-7%,1+10%)))
   *(1-_xlfn.XLOOKUP(1,(DESC_PROV[LINEA]=$B$2)*(DESC_PROV[LISTA]=$C$2),DESC_PROV[DESCUENTO]))
   *(1+VLOOKUP($C$2,LISTAS[],2,FALSE))
   *(1+VLOOKUP($C$2,LISTAS[],3,FALSE))
)
/5,0)*5,0)</f>
        <v>456130</v>
      </c>
      <c r="P21" s="65" cm="1">
        <f t="array" ref="P21">IFERROR(
ROUND(
IF($A$2="COSTO",
   ((B21*(1+IFERROR(VLOOKUP($D$2,COLORES[],2,FALSE),0)) + G21)
   *IF($E$2=0.8,1,IF($E$2=0.7,1-7%,1+10%)))
   *(1-_xlfn.XLOOKUP(1,(DESC_PROV[LINEA]=$B$2)*(DESC_PROV[LISTA]=$C$2),DESC_PROV[DESCUENTO])),
   ((B21*(1+IFERROR(VLOOKUP($D$2,COLORES[],2,FALSE),0)) + G21)
   *IF($E$2=0.8,1,IF($E$2=0.7,1-7%,1+10%)))
   *(1-_xlfn.XLOOKUP(1,(DESC_PROV[LINEA]=$B$2)*(DESC_PROV[LISTA]=$C$2),DESC_PROV[DESCUENTO]))
   *(1+VLOOKUP($C$2,LISTAS[],2,FALSE))
   *(1+VLOOKUP($C$2,LISTAS[],3,FALSE))
)
/5,0)*5,0)</f>
        <v>498745</v>
      </c>
      <c r="Q21" s="65" cm="1">
        <f t="array" ref="Q21">IFERROR(
ROUND(
IF($A$2="COSTO",
   ((B21*(1+IFERROR(VLOOKUP($D$2,COLORES[],2,FALSE),0)) + H21)
   *IF($E$2=0.8,1,IF($E$2=0.7,1-7%,1+10%)))
   *(1-_xlfn.XLOOKUP(1,(DESC_PROV[LINEA]=$B$2)*(DESC_PROV[LISTA]=$C$2),DESC_PROV[DESCUENTO])),
   ((B21*(1+IFERROR(VLOOKUP($D$2,COLORES[],2,FALSE),0)) + H21)
   *IF($E$2=0.8,1,IF($E$2=0.7,1-7%,1+10%)))
   *(1-_xlfn.XLOOKUP(1,(DESC_PROV[LINEA]=$B$2)*(DESC_PROV[LISTA]=$C$2),DESC_PROV[DESCUENTO]))
   *(1+VLOOKUP($C$2,LISTAS[],2,FALSE))
   *(1+VLOOKUP($C$2,LISTAS[],3,FALSE))
)
/5,0)*5,0)</f>
        <v>533205</v>
      </c>
      <c r="R21" s="65" cm="1">
        <f t="array" ref="R21">IFERROR(
ROUND(
IF($A$2="COSTO",
   ((B21*(1+IFERROR(VLOOKUP($D$2,COLORES[],2,FALSE),0)) + D21 + I21 + D21)
   *IF($E$2=0.8,1,IF($E$2=0.7,1-7%,1+10%)))
   *(1-_xlfn.XLOOKUP(1,(DESC_PROV[LINEA]=$B$2)*(DESC_PROV[LISTA]=$C$2),DESC_PROV[DESCUENTO])),
   ((B21*(1+IFERROR(VLOOKUP($D$2,COLORES[],2,FALSE),0)) + D21 + I21 + D21)
   *IF($E$2=0.8,1,IF($E$2=0.7,1-7%,1+10%)))
   *(1-_xlfn.XLOOKUP(1,(DESC_PROV[LINEA]=$B$2)*(DESC_PROV[LISTA]=$C$2),DESC_PROV[DESCUENTO]))
   *(1+VLOOKUP($C$2,LISTAS[],2,FALSE))
   *(1+VLOOKUP($C$2,LISTAS[],3,FALSE))
)
/5,0)*5,0)</f>
        <v>649190</v>
      </c>
    </row>
    <row r="22" spans="1:18" ht="16.899999999999999">
      <c r="A22" s="259" t="s">
        <v>219</v>
      </c>
      <c r="B22" s="64">
        <v>301874</v>
      </c>
      <c r="C22" s="64">
        <v>14643</v>
      </c>
      <c r="D22" s="64">
        <v>19004</v>
      </c>
      <c r="E22" s="64">
        <v>25031</v>
      </c>
      <c r="F22" s="64">
        <v>20922</v>
      </c>
      <c r="G22" s="64">
        <v>54175</v>
      </c>
      <c r="H22" s="64">
        <v>81062</v>
      </c>
      <c r="I22" s="64">
        <v>57960</v>
      </c>
      <c r="J22" s="2"/>
      <c r="K22" s="259" t="s">
        <v>219</v>
      </c>
      <c r="L22" s="65" cm="1">
        <f t="array" ref="L22">IFERROR(
ROUND(
IF($A$2="COSTO",
   ((B22*(1+IFERROR(VLOOKUP($D$2,COLORES[],2,FALSE),0)) + E22)
   *IF($E$2=0.8,1,IF($E$2=0.7,1-7%,1+10%)))
   *(1-_xlfn.XLOOKUP(1,(DESC_PROV[LINEA]=$B$2)*(DESC_PROV[LISTA]=$C$2),DESC_PROV[DESCUENTO])),
   ((B22*(1+IFERROR(VLOOKUP($D$2,COLORES[],2,FALSE),0)) + E22)
   *IF($E$2=0.8,1,IF($E$2=0.7,1-7%,1+10%)))
   *(1-_xlfn.XLOOKUP(1,(DESC_PROV[LINEA]=$B$2)*(DESC_PROV[LISTA]=$C$2),DESC_PROV[DESCUENTO]))
   *(1+VLOOKUP($C$2,LISTAS[],2,FALSE))
   *(1+VLOOKUP($C$2,LISTAS[],3,FALSE))
)
/5,0)*5,0)</f>
        <v>418940</v>
      </c>
      <c r="M22" s="65" cm="1">
        <f t="array" ref="M22">IFERROR(
ROUND(
IF($A$2="COSTO",
   ((B22*(1+IFERROR(VLOOKUP($D$2,COLORES[],2,FALSE),0)) + D22)
   *IF($E$2=0.8,1,IF($E$2=0.7,1-7%,1+10%)))
   *(1-_xlfn.XLOOKUP(1,(DESC_PROV[LINEA]=$B$2)*(DESC_PROV[LISTA]=$C$2),DESC_PROV[DESCUENTO])),
   ((B22*(1+IFERROR(VLOOKUP($D$2,COLORES[],2,FALSE),0)) + D22)
   *IF($E$2=0.8,1,IF($E$2=0.7,1-7%,1+10%)))
   *(1-_xlfn.XLOOKUP(1,(DESC_PROV[LINEA]=$B$2)*(DESC_PROV[LISTA]=$C$2),DESC_PROV[DESCUENTO]))
   *(1+VLOOKUP($C$2,LISTAS[],2,FALSE))
   *(1+VLOOKUP($C$2,LISTAS[],3,FALSE))
)
/5,0)*5,0)</f>
        <v>411220</v>
      </c>
      <c r="N22" s="65" cm="1">
        <f t="array" ref="N22">IFERROR(
ROUND(
IF($A$2="COSTO",
   ((B22*(1+IFERROR(VLOOKUP($D$2,COLORES[],2,FALSE),0)) + E22)
   *IF($E$2=0.8,1,IF($E$2=0.7,1-7%,1+10%)))
   *(1-_xlfn.XLOOKUP(1,(DESC_PROV[LINEA]=$B$2)*(DESC_PROV[LISTA]=$C$2),DESC_PROV[DESCUENTO])),
   ((B22*(1+IFERROR(VLOOKUP($D$2,COLORES[],2,FALSE),0)) + E22)
   *IF($E$2=0.8,1,IF($E$2=0.7,1-7%,1+10%)))
   *(1-_xlfn.XLOOKUP(1,(DESC_PROV[LINEA]=$B$2)*(DESC_PROV[LISTA]=$C$2),DESC_PROV[DESCUENTO]))
   *(1+VLOOKUP($C$2,LISTAS[],2,FALSE))
   *(1+VLOOKUP($C$2,LISTAS[],3,FALSE))
)
/5,0)*5,0)</f>
        <v>418940</v>
      </c>
      <c r="O22" s="65" cm="1">
        <f t="array" ref="O22">IFERROR(
ROUND(
IF($A$2="COSTO",
   ((B22*(1+IFERROR(VLOOKUP($D$2,COLORES[],2,FALSE),0)) + F22)
   *IF($E$2=0.8,1,IF($E$2=0.7,1-7%,1+10%)))
   *(1-_xlfn.XLOOKUP(1,(DESC_PROV[LINEA]=$B$2)*(DESC_PROV[LISTA]=$C$2),DESC_PROV[DESCUENTO])),
   ((B22*(1+IFERROR(VLOOKUP($D$2,COLORES[],2,FALSE),0)) + F22)
   *IF($E$2=0.8,1,IF($E$2=0.7,1-7%,1+10%)))
   *(1-_xlfn.XLOOKUP(1,(DESC_PROV[LINEA]=$B$2)*(DESC_PROV[LISTA]=$C$2),DESC_PROV[DESCUENTO]))
   *(1+VLOOKUP($C$2,LISTAS[],2,FALSE))
   *(1+VLOOKUP($C$2,LISTAS[],3,FALSE))
)
/5,0)*5,0)</f>
        <v>413675</v>
      </c>
      <c r="P22" s="65" cm="1">
        <f t="array" ref="P22">IFERROR(
ROUND(
IF($A$2="COSTO",
   ((B22*(1+IFERROR(VLOOKUP($D$2,COLORES[],2,FALSE),0)) + G22)
   *IF($E$2=0.8,1,IF($E$2=0.7,1-7%,1+10%)))
   *(1-_xlfn.XLOOKUP(1,(DESC_PROV[LINEA]=$B$2)*(DESC_PROV[LISTA]=$C$2),DESC_PROV[DESCUENTO])),
   ((B22*(1+IFERROR(VLOOKUP($D$2,COLORES[],2,FALSE),0)) + G22)
   *IF($E$2=0.8,1,IF($E$2=0.7,1-7%,1+10%)))
   *(1-_xlfn.XLOOKUP(1,(DESC_PROV[LINEA]=$B$2)*(DESC_PROV[LISTA]=$C$2),DESC_PROV[DESCUENTO]))
   *(1+VLOOKUP($C$2,LISTAS[],2,FALSE))
   *(1+VLOOKUP($C$2,LISTAS[],3,FALSE))
)
/5,0)*5,0)</f>
        <v>456290</v>
      </c>
      <c r="Q22" s="65" cm="1">
        <f t="array" ref="Q22">IFERROR(
ROUND(
IF($A$2="COSTO",
   ((B22*(1+IFERROR(VLOOKUP($D$2,COLORES[],2,FALSE),0)) + H22)
   *IF($E$2=0.8,1,IF($E$2=0.7,1-7%,1+10%)))
   *(1-_xlfn.XLOOKUP(1,(DESC_PROV[LINEA]=$B$2)*(DESC_PROV[LISTA]=$C$2),DESC_PROV[DESCUENTO])),
   ((B22*(1+IFERROR(VLOOKUP($D$2,COLORES[],2,FALSE),0)) + H22)
   *IF($E$2=0.8,1,IF($E$2=0.7,1-7%,1+10%)))
   *(1-_xlfn.XLOOKUP(1,(DESC_PROV[LINEA]=$B$2)*(DESC_PROV[LISTA]=$C$2),DESC_PROV[DESCUENTO]))
   *(1+VLOOKUP($C$2,LISTAS[],2,FALSE))
   *(1+VLOOKUP($C$2,LISTAS[],3,FALSE))
)
/5,0)*5,0)</f>
        <v>490750</v>
      </c>
      <c r="R22" s="65" cm="1">
        <f t="array" ref="R22">IFERROR(
ROUND(
IF($A$2="COSTO",
   ((B22*(1+IFERROR(VLOOKUP($D$2,COLORES[],2,FALSE),0)) + D22 + I22 + D22)
   *IF($E$2=0.8,1,IF($E$2=0.7,1-7%,1+10%)))
   *(1-_xlfn.XLOOKUP(1,(DESC_PROV[LINEA]=$B$2)*(DESC_PROV[LISTA]=$C$2),DESC_PROV[DESCUENTO])),
   ((B22*(1+IFERROR(VLOOKUP($D$2,COLORES[],2,FALSE),0)) + D22 + I22 + D22)
   *IF($E$2=0.8,1,IF($E$2=0.7,1-7%,1+10%)))
   *(1-_xlfn.XLOOKUP(1,(DESC_PROV[LINEA]=$B$2)*(DESC_PROV[LISTA]=$C$2),DESC_PROV[DESCUENTO]))
   *(1+VLOOKUP($C$2,LISTAS[],2,FALSE))
   *(1+VLOOKUP($C$2,LISTAS[],3,FALSE))
)
/5,0)*5,0)</f>
        <v>509850</v>
      </c>
    </row>
    <row r="23" spans="1:18" ht="17.25" thickBot="1">
      <c r="A23" s="260" t="s">
        <v>266</v>
      </c>
      <c r="B23" s="64">
        <v>391082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2"/>
      <c r="K23" s="260" t="s">
        <v>266</v>
      </c>
      <c r="L23" s="65" cm="1">
        <f t="array" ref="L23">IFERROR(
ROUND(
IF($A$2="COSTO",
   ((B23*(1+IFERROR(VLOOKUP($D$2,COLORES[],2,FALSE),0)) + E23)
   *IF($E$2=0.8,1,IF($E$2=0.7,1-7%,1+10%)))
   *(1-_xlfn.XLOOKUP(1,(DESC_PROV[LINEA]=$B$2)*(DESC_PROV[LISTA]=$C$2),DESC_PROV[DESCUENTO])),
   ((B23*(1+IFERROR(VLOOKUP($D$2,COLORES[],2,FALSE),0)) + E23)
   *IF($E$2=0.8,1,IF($E$2=0.7,1-7%,1+10%)))
   *(1-_xlfn.XLOOKUP(1,(DESC_PROV[LINEA]=$B$2)*(DESC_PROV[LISTA]=$C$2),DESC_PROV[DESCUENTO]))
   *(1+VLOOKUP($C$2,LISTAS[],2,FALSE))
   *(1+VLOOKUP($C$2,LISTAS[],3,FALSE))
)
/5,0)*5,0)</f>
        <v>501185</v>
      </c>
      <c r="M23" s="65" cm="1">
        <f t="array" ref="M23">IFERROR(
ROUND(
IF($A$2="COSTO",
   ((B23*(1+IFERROR(VLOOKUP($D$2,COLORES[],2,FALSE),0)) + D23)
   *IF($E$2=0.8,1,IF($E$2=0.7,1-7%,1+10%)))
   *(1-_xlfn.XLOOKUP(1,(DESC_PROV[LINEA]=$B$2)*(DESC_PROV[LISTA]=$C$2),DESC_PROV[DESCUENTO])),
   ((B23*(1+IFERROR(VLOOKUP($D$2,COLORES[],2,FALSE),0)) + D23)
   *IF($E$2=0.8,1,IF($E$2=0.7,1-7%,1+10%)))
   *(1-_xlfn.XLOOKUP(1,(DESC_PROV[LINEA]=$B$2)*(DESC_PROV[LISTA]=$C$2),DESC_PROV[DESCUENTO]))
   *(1+VLOOKUP($C$2,LISTAS[],2,FALSE))
   *(1+VLOOKUP($C$2,LISTAS[],3,FALSE))
)
/5,0)*5,0)</f>
        <v>501185</v>
      </c>
      <c r="N23" s="65" cm="1">
        <f t="array" ref="N23">IFERROR(
ROUND(
IF($A$2="COSTO",
   ((B23*(1+IFERROR(VLOOKUP($D$2,COLORES[],2,FALSE),0)) + E23)
   *IF($E$2=0.8,1,IF($E$2=0.7,1-7%,1+10%)))
   *(1-_xlfn.XLOOKUP(1,(DESC_PROV[LINEA]=$B$2)*(DESC_PROV[LISTA]=$C$2),DESC_PROV[DESCUENTO])),
   ((B23*(1+IFERROR(VLOOKUP($D$2,COLORES[],2,FALSE),0)) + E23)
   *IF($E$2=0.8,1,IF($E$2=0.7,1-7%,1+10%)))
   *(1-_xlfn.XLOOKUP(1,(DESC_PROV[LINEA]=$B$2)*(DESC_PROV[LISTA]=$C$2),DESC_PROV[DESCUENTO]))
   *(1+VLOOKUP($C$2,LISTAS[],2,FALSE))
   *(1+VLOOKUP($C$2,LISTAS[],3,FALSE))
)
/5,0)*5,0)</f>
        <v>501185</v>
      </c>
      <c r="O23" s="65" cm="1">
        <f t="array" ref="O23">IFERROR(
ROUND(
IF($A$2="COSTO",
   ((B23*(1+IFERROR(VLOOKUP($D$2,COLORES[],2,FALSE),0)) + F23)
   *IF($E$2=0.8,1,IF($E$2=0.7,1-7%,1+10%)))
   *(1-_xlfn.XLOOKUP(1,(DESC_PROV[LINEA]=$B$2)*(DESC_PROV[LISTA]=$C$2),DESC_PROV[DESCUENTO])),
   ((B23*(1+IFERROR(VLOOKUP($D$2,COLORES[],2,FALSE),0)) + F23)
   *IF($E$2=0.8,1,IF($E$2=0.7,1-7%,1+10%)))
   *(1-_xlfn.XLOOKUP(1,(DESC_PROV[LINEA]=$B$2)*(DESC_PROV[LISTA]=$C$2),DESC_PROV[DESCUENTO]))
   *(1+VLOOKUP($C$2,LISTAS[],2,FALSE))
   *(1+VLOOKUP($C$2,LISTAS[],3,FALSE))
)
/5,0)*5,0)</f>
        <v>501185</v>
      </c>
      <c r="P23" s="65" cm="1">
        <f t="array" ref="P23">IFERROR(
ROUND(
IF($A$2="COSTO",
   ((B23*(1+IFERROR(VLOOKUP($D$2,COLORES[],2,FALSE),0)) + G23)
   *IF($E$2=0.8,1,IF($E$2=0.7,1-7%,1+10%)))
   *(1-_xlfn.XLOOKUP(1,(DESC_PROV[LINEA]=$B$2)*(DESC_PROV[LISTA]=$C$2),DESC_PROV[DESCUENTO])),
   ((B23*(1+IFERROR(VLOOKUP($D$2,COLORES[],2,FALSE),0)) + G23)
   *IF($E$2=0.8,1,IF($E$2=0.7,1-7%,1+10%)))
   *(1-_xlfn.XLOOKUP(1,(DESC_PROV[LINEA]=$B$2)*(DESC_PROV[LISTA]=$C$2),DESC_PROV[DESCUENTO]))
   *(1+VLOOKUP($C$2,LISTAS[],2,FALSE))
   *(1+VLOOKUP($C$2,LISTAS[],3,FALSE))
)
/5,0)*5,0)</f>
        <v>501185</v>
      </c>
      <c r="Q23" s="65" cm="1">
        <f t="array" ref="Q23">IFERROR(
ROUND(
IF($A$2="COSTO",
   ((B23*(1+IFERROR(VLOOKUP($D$2,COLORES[],2,FALSE),0)) + H23)
   *IF($E$2=0.8,1,IF($E$2=0.7,1-7%,1+10%)))
   *(1-_xlfn.XLOOKUP(1,(DESC_PROV[LINEA]=$B$2)*(DESC_PROV[LISTA]=$C$2),DESC_PROV[DESCUENTO])),
   ((B23*(1+IFERROR(VLOOKUP($D$2,COLORES[],2,FALSE),0)) + H23)
   *IF($E$2=0.8,1,IF($E$2=0.7,1-7%,1+10%)))
   *(1-_xlfn.XLOOKUP(1,(DESC_PROV[LINEA]=$B$2)*(DESC_PROV[LISTA]=$C$2),DESC_PROV[DESCUENTO]))
   *(1+VLOOKUP($C$2,LISTAS[],2,FALSE))
   *(1+VLOOKUP($C$2,LISTAS[],3,FALSE))
)
/5,0)*5,0)</f>
        <v>501185</v>
      </c>
      <c r="R23" s="65" cm="1">
        <f t="array" ref="R23">IFERROR(
ROUND(
IF($A$2="COSTO",
   ((B23*(1+IFERROR(VLOOKUP($D$2,COLORES[],2,FALSE),0)) + D23 + I23 + D23)
   *IF($E$2=0.8,1,IF($E$2=0.7,1-7%,1+10%)))
   *(1-_xlfn.XLOOKUP(1,(DESC_PROV[LINEA]=$B$2)*(DESC_PROV[LISTA]=$C$2),DESC_PROV[DESCUENTO])),
   ((B23*(1+IFERROR(VLOOKUP($D$2,COLORES[],2,FALSE),0)) + D23 + I23 + D23)
   *IF($E$2=0.8,1,IF($E$2=0.7,1-7%,1+10%)))
   *(1-_xlfn.XLOOKUP(1,(DESC_PROV[LINEA]=$B$2)*(DESC_PROV[LISTA]=$C$2),DESC_PROV[DESCUENTO]))
   *(1+VLOOKUP($C$2,LISTAS[],2,FALSE))
   *(1+VLOOKUP($C$2,LISTAS[],3,FALSE))
)
/5,0)*5,0)</f>
        <v>501185</v>
      </c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4.65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7.649999999999999" thickTop="1" thickBot="1">
      <c r="A26" s="261" t="s">
        <v>221</v>
      </c>
      <c r="B26" s="135"/>
      <c r="C26" s="2"/>
      <c r="D26" s="2"/>
      <c r="E26" s="2"/>
      <c r="F26" s="2"/>
      <c r="G26" s="2"/>
      <c r="H26" s="2"/>
      <c r="I26" s="2"/>
      <c r="J26" s="2"/>
      <c r="K26" s="261" t="s">
        <v>221</v>
      </c>
      <c r="L26" s="2"/>
      <c r="M26" s="2"/>
      <c r="N26" s="2"/>
      <c r="O26" s="2"/>
      <c r="P26" s="2"/>
      <c r="Q26" s="2"/>
      <c r="R26" s="2"/>
    </row>
    <row r="27" spans="1:18" ht="17.649999999999999" thickTop="1" thickBot="1">
      <c r="A27" s="261" t="s">
        <v>222</v>
      </c>
      <c r="B27" s="135">
        <v>16500</v>
      </c>
      <c r="C27" s="2"/>
      <c r="D27" s="308" t="s">
        <v>223</v>
      </c>
      <c r="E27" s="309"/>
      <c r="F27" s="310"/>
      <c r="G27" s="2"/>
      <c r="H27" s="2"/>
      <c r="I27" s="2"/>
      <c r="J27" s="2"/>
      <c r="K27" s="261" t="s">
        <v>222</v>
      </c>
      <c r="L27" s="136" cm="1">
        <f t="array" ref="L27">IFERROR(
ROUND(
IF($A$2="COSTO",
   B27
   *(1-_xlfn.XLOOKUP(1,(DESC_PROV[LINEA]=$B$2)*(DESC_PROV[LISTA]=$C$2),DESC_PROV[DESCUENTO])),
   B27
   *(1-_xlfn.XLOOKUP(1,(DESC_PROV[LINEA]=$B$2)*(DESC_PROV[LISTA]=$C$2),DESC_PROV[DESCUENTO]))
   *(1+VLOOKUP($C$2,LISTAS[],2,FALSE))
   *(1+VLOOKUP($C$2,LISTAS[],3,FALSE))
)
/5,0)*5,0)</f>
        <v>21145</v>
      </c>
      <c r="M27" s="308" t="s">
        <v>223</v>
      </c>
      <c r="N27" s="309"/>
      <c r="O27" s="310"/>
      <c r="P27" s="2"/>
      <c r="Q27" s="2"/>
      <c r="R27" s="2"/>
    </row>
    <row r="28" spans="1:18" ht="17.649999999999999" thickTop="1" thickBot="1">
      <c r="A28" s="261" t="s">
        <v>224</v>
      </c>
      <c r="B28" s="135">
        <v>16500</v>
      </c>
      <c r="C28" s="2"/>
      <c r="D28" s="305" t="s">
        <v>225</v>
      </c>
      <c r="E28" s="306"/>
      <c r="F28" s="307"/>
      <c r="G28" s="2"/>
      <c r="H28" s="2"/>
      <c r="I28" s="2"/>
      <c r="J28" s="2"/>
      <c r="K28" s="261" t="s">
        <v>224</v>
      </c>
      <c r="L28" s="136" cm="1">
        <f t="array" ref="L28">IFERROR(
ROUND(
IF($A$2="COSTO",
   B28
   *(1-_xlfn.XLOOKUP(1,(DESC_PROV[LINEA]=$B$2)*(DESC_PROV[LISTA]=$C$2),DESC_PROV[DESCUENTO])),
   B28
   *(1-_xlfn.XLOOKUP(1,(DESC_PROV[LINEA]=$B$2)*(DESC_PROV[LISTA]=$C$2),DESC_PROV[DESCUENTO]))
   *(1+VLOOKUP($C$2,LISTAS[],2,FALSE))
   *(1+VLOOKUP($C$2,LISTAS[],3,FALSE))
)
/5,0)*5,0)</f>
        <v>21145</v>
      </c>
      <c r="M28" s="305" t="s">
        <v>225</v>
      </c>
      <c r="N28" s="306"/>
      <c r="O28" s="307"/>
      <c r="P28" s="2"/>
      <c r="Q28" s="2"/>
      <c r="R28" s="2"/>
    </row>
    <row r="29" spans="1:18" ht="17.649999999999999" thickTop="1" thickBot="1">
      <c r="A29" s="261" t="s">
        <v>267</v>
      </c>
      <c r="B29" s="135">
        <v>14000</v>
      </c>
      <c r="C29" s="2"/>
      <c r="D29" s="2"/>
      <c r="E29" s="2"/>
      <c r="F29" s="2"/>
      <c r="G29" s="2"/>
      <c r="H29" s="2"/>
      <c r="I29" s="2"/>
      <c r="J29" s="2"/>
      <c r="K29" s="261" t="s">
        <v>267</v>
      </c>
      <c r="L29" s="136" cm="1">
        <f t="array" ref="L29">IFERROR(
ROUND(
IF($A$2="COSTO",
   B29
   *(1-_xlfn.XLOOKUP(1,(DESC_PROV[LINEA]=$B$2)*(DESC_PROV[LISTA]=$C$2),DESC_PROV[DESCUENTO])),
   B29
   *(1-_xlfn.XLOOKUP(1,(DESC_PROV[LINEA]=$B$2)*(DESC_PROV[LISTA]=$C$2),DESC_PROV[DESCUENTO]))
   *(1+VLOOKUP($C$2,LISTAS[],2,FALSE))
   *(1+VLOOKUP($C$2,LISTAS[],3,FALSE))
)
/5,0)*5,0)</f>
        <v>17940</v>
      </c>
      <c r="M29" s="2"/>
      <c r="N29" s="2"/>
      <c r="O29" s="2"/>
      <c r="P29" s="2"/>
      <c r="Q29" s="2"/>
      <c r="R29" s="2"/>
    </row>
    <row r="30" spans="1:18" ht="14.65" thickTop="1"/>
  </sheetData>
  <mergeCells count="6">
    <mergeCell ref="D28:F28"/>
    <mergeCell ref="M28:O28"/>
    <mergeCell ref="A5:I5"/>
    <mergeCell ref="K5:R5"/>
    <mergeCell ref="D27:F27"/>
    <mergeCell ref="M27:O2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44AE93-0C55-4BD8-B965-076A647B239F}">
          <x14:formula1>
            <xm:f>CONFIG!$F$10:$F$12</xm:f>
          </x14:formula1>
          <xm:sqref>E2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B42D-3289-420F-853C-82A017BDD664}">
  <sheetPr codeName="Hoja11">
    <tabColor rgb="FFFF0000"/>
  </sheetPr>
  <dimension ref="A1:J45"/>
  <sheetViews>
    <sheetView zoomScale="40" zoomScaleNormal="40" workbookViewId="0">
      <selection activeCell="C2" sqref="C2"/>
    </sheetView>
  </sheetViews>
  <sheetFormatPr baseColWidth="10" defaultRowHeight="14.25"/>
  <cols>
    <col min="1" max="1" width="11.73046875" customWidth="1"/>
    <col min="2" max="2" width="8.73046875"/>
    <col min="3" max="3" width="12.73046875" customWidth="1"/>
    <col min="4" max="7" width="8.73046875"/>
    <col min="8" max="8" width="12.73046875" customWidth="1"/>
    <col min="9" max="10" width="8.73046875"/>
  </cols>
  <sheetData>
    <row r="1" spans="1:10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0" ht="14.65" thickBot="1">
      <c r="A2" s="210" t="str">
        <f>CONTROL!B4</f>
        <v>VENTA</v>
      </c>
      <c r="B2" s="252" t="s">
        <v>400</v>
      </c>
      <c r="C2" s="252" t="str">
        <f>CONTROL!C4</f>
        <v>AMARILLA</v>
      </c>
      <c r="D2" s="253" t="str">
        <f>CONTROL!D4</f>
        <v>BLANCO</v>
      </c>
    </row>
    <row r="4" spans="1:10" ht="14.65" thickBot="1"/>
    <row r="5" spans="1:10" ht="21">
      <c r="A5" s="311" t="s">
        <v>269</v>
      </c>
      <c r="B5" s="312"/>
      <c r="C5" s="312"/>
      <c r="D5" s="312"/>
      <c r="E5" s="313"/>
      <c r="F5" s="2"/>
      <c r="G5" s="311" t="s">
        <v>269</v>
      </c>
      <c r="H5" s="312"/>
      <c r="I5" s="312"/>
      <c r="J5" s="313"/>
    </row>
    <row r="6" spans="1:10">
      <c r="A6" s="149" t="s">
        <v>4</v>
      </c>
      <c r="B6" s="150" t="s">
        <v>270</v>
      </c>
      <c r="C6" s="150" t="s">
        <v>253</v>
      </c>
      <c r="D6" s="150" t="s">
        <v>198</v>
      </c>
      <c r="E6" s="151" t="s">
        <v>259</v>
      </c>
      <c r="F6" s="2"/>
      <c r="G6" s="149" t="s">
        <v>4</v>
      </c>
      <c r="H6" s="150" t="s">
        <v>123</v>
      </c>
      <c r="I6" s="150" t="s">
        <v>255</v>
      </c>
      <c r="J6" s="151" t="s">
        <v>259</v>
      </c>
    </row>
    <row r="7" spans="1:10">
      <c r="A7" s="149" t="s">
        <v>271</v>
      </c>
      <c r="B7" s="64">
        <v>144222</v>
      </c>
      <c r="C7" s="64">
        <v>61992</v>
      </c>
      <c r="D7" s="64">
        <v>14637</v>
      </c>
      <c r="E7" s="64">
        <v>46780</v>
      </c>
      <c r="F7" s="2"/>
      <c r="G7" s="149" t="s">
        <v>271</v>
      </c>
      <c r="H7" s="65" cm="1">
        <f t="array" ref="H7">IFERROR(
ROUND(
IF($A$2="COSTO",
   ((B7*(1+IFERROR(VLOOKUP($D$2,COLORES[],2,FALSE),0)))+D7)
   *(1-IFERROR(_xlfn.XLOOKUP(1,(DESC_PROV[LINEA]=$B$2)*(DESC_PROV[LISTA]=$C$2),DESC_PROV[DESCUENTO]),0)),
   ((B7*(1+IFERROR(VLOOKUP($D$2,COLORES[],2,FALSE),0)))+D7)
   *(1-IFERROR(_xlfn.XLOOKUP(1,(DESC_PROV[LINEA]=$B$2)*(DESC_PROV[LISTA]=$C$2),DESC_PROV[DESCUENTO]),0))
   *(1+VLOOKUP($C$2,LISTAS[],2,FALSE))
   *(1+VLOOKUP($C$2,LISTAS[],3,FALSE))
)
/5,0)*5,0)</f>
        <v>203585</v>
      </c>
      <c r="I7" s="65" cm="1">
        <f t="array" ref="I7">IFERROR(
ROUND(
IF($A$2="COSTO",
   ((B7*(1+IFERROR(VLOOKUP($D$2,COLORES[],2,FALSE),0)))+(D7+C7+D7))
   *(1-IFERROR(_xlfn.XLOOKUP(1,(DESC_PROV[LINEA]=$B$2)*(DESC_PROV[LISTA]=$C$2),DESC_PROV[DESCUENTO]),0)),
   ((B7*(1+IFERROR(VLOOKUP($D$2,COLORES[],2,FALSE),0)))+(D7+C7+D7))
   *(1-IFERROR(_xlfn.XLOOKUP(1,(DESC_PROV[LINEA]=$B$2)*(DESC_PROV[LISTA]=$C$2),DESC_PROV[DESCUENTO]),0))
   *(1+VLOOKUP($C$2,LISTAS[],2,FALSE))
   *(1+VLOOKUP($C$2,LISTAS[],3,FALSE))
)
/5,0)*5,0)</f>
        <v>301785</v>
      </c>
      <c r="J7" s="66" cm="1">
        <f t="array" ref="J7">IFERROR(
ROUND(
IF($A$2="COSTO",
   ((B7*(1+IFERROR(VLOOKUP($D$2,COLORES[],2,FALSE),0)))+E7)
   *(1-IFERROR(_xlfn.XLOOKUP(1,(DESC_PROV[LINEA]=$B$2)*(DESC_PROV[LISTA]=$C$2),DESC_PROV[DESCUENTO]),0)),
   ((B7*(1+IFERROR(VLOOKUP($D$2,COLORES[],2,FALSE),0)))+E7)
   *(1-IFERROR(_xlfn.XLOOKUP(1,(DESC_PROV[LINEA]=$B$2)*(DESC_PROV[LISTA]=$C$2),DESC_PROV[DESCUENTO]),0))
   *(1+VLOOKUP($C$2,LISTAS[],2,FALSE))
   *(1+VLOOKUP($C$2,LISTAS[],3,FALSE))
)
/5,0)*5,0)</f>
        <v>244775</v>
      </c>
    </row>
    <row r="8" spans="1:10">
      <c r="A8" s="149" t="s">
        <v>272</v>
      </c>
      <c r="B8" s="64">
        <v>154959</v>
      </c>
      <c r="C8" s="64">
        <v>69741</v>
      </c>
      <c r="D8" s="64">
        <v>16888</v>
      </c>
      <c r="E8" s="64">
        <v>56440</v>
      </c>
      <c r="F8" s="2"/>
      <c r="G8" s="149" t="s">
        <v>272</v>
      </c>
      <c r="H8" s="65" cm="1">
        <f t="array" ref="H8">IFERROR(
ROUND(
IF($A$2="COSTO",
   ((B8*(1+IFERROR(VLOOKUP($D$2,COLORES[],2,FALSE),0)))+D8)
   *(1-IFERROR(_xlfn.XLOOKUP(1,(DESC_PROV[LINEA]=$B$2)*(DESC_PROV[LISTA]=$C$2),DESC_PROV[DESCUENTO]),0)),
   ((B8*(1+IFERROR(VLOOKUP($D$2,COLORES[],2,FALSE),0)))+D8)
   *(1-IFERROR(_xlfn.XLOOKUP(1,(DESC_PROV[LINEA]=$B$2)*(DESC_PROV[LISTA]=$C$2),DESC_PROV[DESCUENTO]),0))
   *(1+VLOOKUP($C$2,LISTAS[],2,FALSE))
   *(1+VLOOKUP($C$2,LISTAS[],3,FALSE))
)
/5,0)*5,0)</f>
        <v>220230</v>
      </c>
      <c r="I8" s="65" cm="1">
        <f t="array" ref="I8">IFERROR(
ROUND(
IF($A$2="COSTO",
   ((B8*(1+IFERROR(VLOOKUP($D$2,COLORES[],2,FALSE),0)))+(D8+C8+D8))
   *(1-IFERROR(_xlfn.XLOOKUP(1,(DESC_PROV[LINEA]=$B$2)*(DESC_PROV[LISTA]=$C$2),DESC_PROV[DESCUENTO]),0)),
   ((B8*(1+IFERROR(VLOOKUP($D$2,COLORES[],2,FALSE),0)))+(D8+C8+D8))
   *(1-IFERROR(_xlfn.XLOOKUP(1,(DESC_PROV[LINEA]=$B$2)*(DESC_PROV[LISTA]=$C$2),DESC_PROV[DESCUENTO]),0))
   *(1+VLOOKUP($C$2,LISTAS[],2,FALSE))
   *(1+VLOOKUP($C$2,LISTAS[],3,FALSE))
)
/5,0)*5,0)</f>
        <v>331245</v>
      </c>
      <c r="J8" s="66" cm="1">
        <f t="array" ref="J8">IFERROR(
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/5,0)*5,0)</f>
        <v>270915</v>
      </c>
    </row>
    <row r="9" spans="1:10">
      <c r="A9" s="149" t="s">
        <v>273</v>
      </c>
      <c r="B9" s="64">
        <v>164244</v>
      </c>
      <c r="C9" s="64">
        <v>77490</v>
      </c>
      <c r="D9" s="64">
        <v>20695</v>
      </c>
      <c r="E9" s="64">
        <v>69141</v>
      </c>
      <c r="F9" s="2"/>
      <c r="G9" s="149" t="s">
        <v>273</v>
      </c>
      <c r="H9" s="65" cm="1">
        <f t="array" ref="H9">IFERROR(
ROUND(
IF($A$2="COSTO",
   ((B9*(1+IFERROR(VLOOKUP($D$2,COLORES[],2,FALSE),0)))+D9)
   *(1-IFERROR(_xlfn.XLOOKUP(1,(DESC_PROV[LINEA]=$B$2)*(DESC_PROV[LISTA]=$C$2),DESC_PROV[DESCUENTO]),0)),
   ((B9*(1+IFERROR(VLOOKUP($D$2,COLORES[],2,FALSE),0)))+D9)
   *(1-IFERROR(_xlfn.XLOOKUP(1,(DESC_PROV[LINEA]=$B$2)*(DESC_PROV[LISTA]=$C$2),DESC_PROV[DESCUENTO]),0))
   *(1+VLOOKUP($C$2,LISTAS[],2,FALSE))
   *(1+VLOOKUP($C$2,LISTAS[],3,FALSE))
)
/5,0)*5,0)</f>
        <v>237005</v>
      </c>
      <c r="I9" s="65" cm="1">
        <f t="array" ref="I9">IFERROR(
ROUND(
IF($A$2="COSTO",
   ((B9*(1+IFERROR(VLOOKUP($D$2,COLORES[],2,FALSE),0)))+(D9+C9+D9))
   *(1-IFERROR(_xlfn.XLOOKUP(1,(DESC_PROV[LINEA]=$B$2)*(DESC_PROV[LISTA]=$C$2),DESC_PROV[DESCUENTO]),0)),
   ((B9*(1+IFERROR(VLOOKUP($D$2,COLORES[],2,FALSE),0)))+(D9+C9+D9))
   *(1-IFERROR(_xlfn.XLOOKUP(1,(DESC_PROV[LINEA]=$B$2)*(DESC_PROV[LISTA]=$C$2),DESC_PROV[DESCUENTO]),0))
   *(1+VLOOKUP($C$2,LISTAS[],2,FALSE))
   *(1+VLOOKUP($C$2,LISTAS[],3,FALSE))
)
/5,0)*5,0)</f>
        <v>362835</v>
      </c>
      <c r="J9" s="66" cm="1">
        <f t="array" ref="J9">IFERROR(
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/5,0)*5,0)</f>
        <v>299090</v>
      </c>
    </row>
    <row r="10" spans="1:10">
      <c r="A10" s="149" t="s">
        <v>274</v>
      </c>
      <c r="B10" s="64">
        <v>170596</v>
      </c>
      <c r="C10" s="64">
        <v>82656</v>
      </c>
      <c r="D10" s="64">
        <v>23235</v>
      </c>
      <c r="E10" s="64">
        <v>77604</v>
      </c>
      <c r="F10" s="2"/>
      <c r="G10" s="149" t="s">
        <v>274</v>
      </c>
      <c r="H10" s="65" cm="1">
        <f t="array" ref="H10">IFERROR(
ROUND(
IF($A$2="COSTO",
   ((B10*(1+IFERROR(VLOOKUP($D$2,COLORES[],2,FALSE),0)))+D10)
   *(1-IFERROR(_xlfn.XLOOKUP(1,(DESC_PROV[LINEA]=$B$2)*(DESC_PROV[LISTA]=$C$2),DESC_PROV[DESCUENTO]),0)),
   ((B10*(1+IFERROR(VLOOKUP($D$2,COLORES[],2,FALSE),0)))+D10)
   *(1-IFERROR(_xlfn.XLOOKUP(1,(DESC_PROV[LINEA]=$B$2)*(DESC_PROV[LISTA]=$C$2),DESC_PROV[DESCUENTO]),0))
   *(1+VLOOKUP($C$2,LISTAS[],2,FALSE))
   *(1+VLOOKUP($C$2,LISTAS[],3,FALSE))
)
/5,0)*5,0)</f>
        <v>248400</v>
      </c>
      <c r="I10" s="65" cm="1">
        <f t="array" ref="I10">IFERROR(
ROUND(
IF($A$2="COSTO",
   ((B10*(1+IFERROR(VLOOKUP($D$2,COLORES[],2,FALSE),0)))+(D10+C10+D10))
   *(1-IFERROR(_xlfn.XLOOKUP(1,(DESC_PROV[LINEA]=$B$2)*(DESC_PROV[LISTA]=$C$2),DESC_PROV[DESCUENTO]),0)),
   ((B10*(1+IFERROR(VLOOKUP($D$2,COLORES[],2,FALSE),0)))+(D10+C10+D10))
   *(1-IFERROR(_xlfn.XLOOKUP(1,(DESC_PROV[LINEA]=$B$2)*(DESC_PROV[LISTA]=$C$2),DESC_PROV[DESCUENTO]),0))
   *(1+VLOOKUP($C$2,LISTAS[],2,FALSE))
   *(1+VLOOKUP($C$2,LISTAS[],3,FALSE))
)
/5,0)*5,0)</f>
        <v>384105</v>
      </c>
      <c r="J10" s="66" cm="1">
        <f t="array" ref="J10">IFERROR(
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/5,0)*5,0)</f>
        <v>318080</v>
      </c>
    </row>
    <row r="11" spans="1:10">
      <c r="A11" s="149" t="s">
        <v>175</v>
      </c>
      <c r="B11" s="64">
        <v>152076</v>
      </c>
      <c r="C11" s="64">
        <v>67158</v>
      </c>
      <c r="D11" s="64">
        <v>15424</v>
      </c>
      <c r="E11" s="64">
        <v>51208</v>
      </c>
      <c r="F11" s="2"/>
      <c r="G11" s="149" t="s">
        <v>175</v>
      </c>
      <c r="H11" s="65" cm="1">
        <f t="array" ref="H11">IFERROR(
ROUND(
IF($A$2="COSTO",
   ((B11*(1+IFERROR(VLOOKUP($D$2,COLORES[],2,FALSE),0)))+D11)
   *(1-IFERROR(_xlfn.XLOOKUP(1,(DESC_PROV[LINEA]=$B$2)*(DESC_PROV[LISTA]=$C$2),DESC_PROV[DESCUENTO]),0)),
   ((B11*(1+IFERROR(VLOOKUP($D$2,COLORES[],2,FALSE),0)))+D11)
   *(1-IFERROR(_xlfn.XLOOKUP(1,(DESC_PROV[LINEA]=$B$2)*(DESC_PROV[LISTA]=$C$2),DESC_PROV[DESCUENTO]),0))
   *(1+VLOOKUP($C$2,LISTAS[],2,FALSE))
   *(1+VLOOKUP($C$2,LISTAS[],3,FALSE))
)
/5,0)*5,0)</f>
        <v>214660</v>
      </c>
      <c r="I11" s="65" cm="1">
        <f t="array" ref="I11">IFERROR(
ROUND(
IF($A$2="COSTO",
   ((B11*(1+IFERROR(VLOOKUP($D$2,COLORES[],2,FALSE),0)))+(D11+C11+D11))
   *(1-IFERROR(_xlfn.XLOOKUP(1,(DESC_PROV[LINEA]=$B$2)*(DESC_PROV[LISTA]=$C$2),DESC_PROV[DESCUENTO]),0)),
   ((B11*(1+IFERROR(VLOOKUP($D$2,COLORES[],2,FALSE),0)))+(D11+C11+D11))
   *(1-IFERROR(_xlfn.XLOOKUP(1,(DESC_PROV[LINEA]=$B$2)*(DESC_PROV[LISTA]=$C$2),DESC_PROV[DESCUENTO]),0))
   *(1+VLOOKUP($C$2,LISTAS[],2,FALSE))
   *(1+VLOOKUP($C$2,LISTAS[],3,FALSE))
)
/5,0)*5,0)</f>
        <v>320490</v>
      </c>
      <c r="J11" s="66" cm="1">
        <f t="array" ref="J11">IFERROR(
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/5,0)*5,0)</f>
        <v>260515</v>
      </c>
    </row>
    <row r="12" spans="1:10">
      <c r="A12" s="149" t="s">
        <v>275</v>
      </c>
      <c r="B12" s="64">
        <v>158569</v>
      </c>
      <c r="C12" s="64">
        <v>72324</v>
      </c>
      <c r="D12" s="64">
        <v>18807</v>
      </c>
      <c r="E12" s="64">
        <v>62493</v>
      </c>
      <c r="F12" s="2"/>
      <c r="G12" s="149" t="s">
        <v>275</v>
      </c>
      <c r="H12" s="65" cm="1">
        <f t="array" ref="H12">IFERROR(
ROUND(
IF($A$2="COSTO",
   ((B12*(1+IFERROR(VLOOKUP($D$2,COLORES[],2,FALSE),0)))+D12)
   *(1-IFERROR(_xlfn.XLOOKUP(1,(DESC_PROV[LINEA]=$B$2)*(DESC_PROV[LISTA]=$C$2),DESC_PROV[DESCUENTO]),0)),
   ((B12*(1+IFERROR(VLOOKUP($D$2,COLORES[],2,FALSE),0)))+D12)
   *(1-IFERROR(_xlfn.XLOOKUP(1,(DESC_PROV[LINEA]=$B$2)*(DESC_PROV[LISTA]=$C$2),DESC_PROV[DESCUENTO]),0))
   *(1+VLOOKUP($C$2,LISTAS[],2,FALSE))
   *(1+VLOOKUP($C$2,LISTAS[],3,FALSE))
)
/5,0)*5,0)</f>
        <v>227315</v>
      </c>
      <c r="I12" s="65" cm="1">
        <f t="array" ref="I12">IFERROR(
ROUND(
IF($A$2="COSTO",
   ((B12*(1+IFERROR(VLOOKUP($D$2,COLORES[],2,FALSE),0)))+(D12+C12+D12))
   *(1-IFERROR(_xlfn.XLOOKUP(1,(DESC_PROV[LINEA]=$B$2)*(DESC_PROV[LISTA]=$C$2),DESC_PROV[DESCUENTO]),0)),
   ((B12*(1+IFERROR(VLOOKUP($D$2,COLORES[],2,FALSE),0)))+(D12+C12+D12))
   *(1-IFERROR(_xlfn.XLOOKUP(1,(DESC_PROV[LINEA]=$B$2)*(DESC_PROV[LISTA]=$C$2),DESC_PROV[DESCUENTO]),0))
   *(1+VLOOKUP($C$2,LISTAS[],2,FALSE))
   *(1+VLOOKUP($C$2,LISTAS[],3,FALSE))
)
/5,0)*5,0)</f>
        <v>344100</v>
      </c>
      <c r="J12" s="66" cm="1">
        <f t="array" ref="J12">IFERROR(
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/5,0)*5,0)</f>
        <v>283300</v>
      </c>
    </row>
    <row r="13" spans="1:10">
      <c r="A13" s="149" t="s">
        <v>276</v>
      </c>
      <c r="B13" s="64">
        <v>169835</v>
      </c>
      <c r="C13" s="64">
        <v>80073</v>
      </c>
      <c r="D13" s="64">
        <v>22798</v>
      </c>
      <c r="E13" s="64">
        <v>76194</v>
      </c>
      <c r="F13" s="2"/>
      <c r="G13" s="149" t="s">
        <v>276</v>
      </c>
      <c r="H13" s="65" cm="1">
        <f t="array" ref="H13">IFERROR(
ROUND(
IF($A$2="COSTO",
   ((B13*(1+IFERROR(VLOOKUP($D$2,COLORES[],2,FALSE),0)))+D13)
   *(1-IFERROR(_xlfn.XLOOKUP(1,(DESC_PROV[LINEA]=$B$2)*(DESC_PROV[LISTA]=$C$2),DESC_PROV[DESCUENTO]),0)),
   ((B13*(1+IFERROR(VLOOKUP($D$2,COLORES[],2,FALSE),0)))+D13)
   *(1-IFERROR(_xlfn.XLOOKUP(1,(DESC_PROV[LINEA]=$B$2)*(DESC_PROV[LISTA]=$C$2),DESC_PROV[DESCUENTO]),0))
   *(1+VLOOKUP($C$2,LISTAS[],2,FALSE))
   *(1+VLOOKUP($C$2,LISTAS[],3,FALSE))
)
/5,0)*5,0)</f>
        <v>246865</v>
      </c>
      <c r="I13" s="65" cm="1">
        <f t="array" ref="I13">IFERROR(
ROUND(
IF($A$2="COSTO",
   ((B13*(1+IFERROR(VLOOKUP($D$2,COLORES[],2,FALSE),0)))+(D13+C13+D13))
   *(1-IFERROR(_xlfn.XLOOKUP(1,(DESC_PROV[LINEA]=$B$2)*(DESC_PROV[LISTA]=$C$2),DESC_PROV[DESCUENTO]),0)),
   ((B13*(1+IFERROR(VLOOKUP($D$2,COLORES[],2,FALSE),0)))+(D13+C13+D13))
   *(1-IFERROR(_xlfn.XLOOKUP(1,(DESC_PROV[LINEA]=$B$2)*(DESC_PROV[LISTA]=$C$2),DESC_PROV[DESCUENTO]),0))
   *(1+VLOOKUP($C$2,LISTAS[],2,FALSE))
   *(1+VLOOKUP($C$2,LISTAS[],3,FALSE))
)
/5,0)*5,0)</f>
        <v>378700</v>
      </c>
      <c r="J13" s="66" cm="1">
        <f t="array" ref="J13">IFERROR(
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/5,0)*5,0)</f>
        <v>315295</v>
      </c>
    </row>
    <row r="14" spans="1:10">
      <c r="A14" s="149" t="s">
        <v>277</v>
      </c>
      <c r="B14" s="64">
        <v>179119</v>
      </c>
      <c r="C14" s="64">
        <v>87822</v>
      </c>
      <c r="D14" s="64">
        <v>27866</v>
      </c>
      <c r="E14" s="64">
        <v>93097</v>
      </c>
      <c r="F14" s="2"/>
      <c r="G14" s="149" t="s">
        <v>277</v>
      </c>
      <c r="H14" s="65" cm="1">
        <f t="array" ref="H14">IFERROR(
ROUND(
IF($A$2="COSTO",
   ((B14*(1+IFERROR(VLOOKUP($D$2,COLORES[],2,FALSE),0)))+D14)
   *(1-IFERROR(_xlfn.XLOOKUP(1,(DESC_PROV[LINEA]=$B$2)*(DESC_PROV[LISTA]=$C$2),DESC_PROV[DESCUENTO]),0)),
   ((B14*(1+IFERROR(VLOOKUP($D$2,COLORES[],2,FALSE),0)))+D14)
   *(1-IFERROR(_xlfn.XLOOKUP(1,(DESC_PROV[LINEA]=$B$2)*(DESC_PROV[LISTA]=$C$2),DESC_PROV[DESCUENTO]),0))
   *(1+VLOOKUP($C$2,LISTAS[],2,FALSE))
   *(1+VLOOKUP($C$2,LISTAS[],3,FALSE))
)
/5,0)*5,0)</f>
        <v>265260</v>
      </c>
      <c r="I14" s="65" cm="1">
        <f t="array" ref="I14">IFERROR(
ROUND(
IF($A$2="COSTO",
   ((B14*(1+IFERROR(VLOOKUP($D$2,COLORES[],2,FALSE),0)))+(D14+C14+D14))
   *(1-IFERROR(_xlfn.XLOOKUP(1,(DESC_PROV[LINEA]=$B$2)*(DESC_PROV[LISTA]=$C$2),DESC_PROV[DESCUENTO]),0)),
   ((B14*(1+IFERROR(VLOOKUP($D$2,COLORES[],2,FALSE),0)))+(D14+C14+D14))
   *(1-IFERROR(_xlfn.XLOOKUP(1,(DESC_PROV[LINEA]=$B$2)*(DESC_PROV[LISTA]=$C$2),DESC_PROV[DESCUENTO]),0))
   *(1+VLOOKUP($C$2,LISTAS[],2,FALSE))
   *(1+VLOOKUP($C$2,LISTAS[],3,FALSE))
)
/5,0)*5,0)</f>
        <v>413520</v>
      </c>
      <c r="J14" s="66" cm="1">
        <f t="array" ref="J14">IFERROR(
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/5,0)*5,0)</f>
        <v>348855</v>
      </c>
    </row>
    <row r="15" spans="1:10">
      <c r="A15" s="149" t="s">
        <v>278</v>
      </c>
      <c r="B15" s="64">
        <v>185471</v>
      </c>
      <c r="C15" s="64">
        <v>92988</v>
      </c>
      <c r="D15" s="64">
        <v>31248</v>
      </c>
      <c r="E15" s="64">
        <v>104388</v>
      </c>
      <c r="F15" s="2"/>
      <c r="G15" s="149" t="s">
        <v>278</v>
      </c>
      <c r="H15" s="65" cm="1">
        <f t="array" ref="H15">IFERROR(
ROUND(
IF($A$2="COSTO",
   ((B15*(1+IFERROR(VLOOKUP($D$2,COLORES[],2,FALSE),0)))+D15)
   *(1-IFERROR(_xlfn.XLOOKUP(1,(DESC_PROV[LINEA]=$B$2)*(DESC_PROV[LISTA]=$C$2),DESC_PROV[DESCUENTO]),0)),
   ((B15*(1+IFERROR(VLOOKUP($D$2,COLORES[],2,FALSE),0)))+D15)
   *(1-IFERROR(_xlfn.XLOOKUP(1,(DESC_PROV[LINEA]=$B$2)*(DESC_PROV[LISTA]=$C$2),DESC_PROV[DESCUENTO]),0))
   *(1+VLOOKUP($C$2,LISTAS[],2,FALSE))
   *(1+VLOOKUP($C$2,LISTAS[],3,FALSE))
)
/5,0)*5,0)</f>
        <v>277735</v>
      </c>
      <c r="I15" s="65" cm="1">
        <f t="array" ref="I15">IFERROR(
ROUND(
IF($A$2="COSTO",
   ((B15*(1+IFERROR(VLOOKUP($D$2,COLORES[],2,FALSE),0)))+(D15+C15+D15))
   *(1-IFERROR(_xlfn.XLOOKUP(1,(DESC_PROV[LINEA]=$B$2)*(DESC_PROV[LISTA]=$C$2),DESC_PROV[DESCUENTO]),0)),
   ((B15*(1+IFERROR(VLOOKUP($D$2,COLORES[],2,FALSE),0)))+(D15+C15+D15))
   *(1-IFERROR(_xlfn.XLOOKUP(1,(DESC_PROV[LINEA]=$B$2)*(DESC_PROV[LISTA]=$C$2),DESC_PROV[DESCUENTO]),0))
   *(1+VLOOKUP($C$2,LISTAS[],2,FALSE))
   *(1+VLOOKUP($C$2,LISTAS[],3,FALSE))
)
/5,0)*5,0)</f>
        <v>436945</v>
      </c>
      <c r="J15" s="66" cm="1">
        <f t="array" ref="J15">IFERROR(
ROUND(
IF($A$2="COSTO",
   ((B15*(1+IFERROR(VLOOKUP($D$2,COLORES[],2,FALSE),0)))+E15)
   *(1-IFERROR(_xlfn.XLOOKUP(1,(DESC_PROV[LINEA]=$B$2)*(DESC_PROV[LISTA]=$C$2),DESC_PROV[DESCUENTO]),0)),
   ((B15*(1+IFERROR(VLOOKUP($D$2,COLORES[],2,FALSE),0)))+E15)
   *(1-IFERROR(_xlfn.XLOOKUP(1,(DESC_PROV[LINEA]=$B$2)*(DESC_PROV[LISTA]=$C$2),DESC_PROV[DESCUENTO]),0))
   *(1+VLOOKUP($C$2,LISTAS[],2,FALSE))
   *(1+VLOOKUP($C$2,LISTAS[],3,FALSE))
)
/5,0)*5,0)</f>
        <v>371465</v>
      </c>
    </row>
    <row r="16" spans="1:10">
      <c r="A16" s="149" t="s">
        <v>15</v>
      </c>
      <c r="B16" s="64">
        <v>166951</v>
      </c>
      <c r="C16" s="64">
        <v>77490</v>
      </c>
      <c r="D16" s="64">
        <v>18819</v>
      </c>
      <c r="E16" s="64">
        <v>61394</v>
      </c>
      <c r="F16" s="2"/>
      <c r="G16" s="149" t="s">
        <v>15</v>
      </c>
      <c r="H16" s="65" cm="1">
        <f t="array" ref="H16">IFERROR(
ROUND(
IF($A$2="COSTO",
   ((B16*(1+IFERROR(VLOOKUP($D$2,COLORES[],2,FALSE),0)))+D16)
   *(1-IFERROR(_xlfn.XLOOKUP(1,(DESC_PROV[LINEA]=$B$2)*(DESC_PROV[LISTA]=$C$2),DESC_PROV[DESCUENTO]),0)),
   ((B16*(1+IFERROR(VLOOKUP($D$2,COLORES[],2,FALSE),0)))+D16)
   *(1-IFERROR(_xlfn.XLOOKUP(1,(DESC_PROV[LINEA]=$B$2)*(DESC_PROV[LISTA]=$C$2),DESC_PROV[DESCUENTO]),0))
   *(1+VLOOKUP($C$2,LISTAS[],2,FALSE))
   *(1+VLOOKUP($C$2,LISTAS[],3,FALSE))
)
/5,0)*5,0)</f>
        <v>238070</v>
      </c>
      <c r="I16" s="65" cm="1">
        <f t="array" ref="I16">IFERROR(
ROUND(
IF($A$2="COSTO",
   ((B16*(1+IFERROR(VLOOKUP($D$2,COLORES[],2,FALSE),0)))+(D16+C16+D16))
   *(1-IFERROR(_xlfn.XLOOKUP(1,(DESC_PROV[LINEA]=$B$2)*(DESC_PROV[LISTA]=$C$2),DESC_PROV[DESCUENTO]),0)),
   ((B16*(1+IFERROR(VLOOKUP($D$2,COLORES[],2,FALSE),0)))+(D16+C16+D16))
   *(1-IFERROR(_xlfn.XLOOKUP(1,(DESC_PROV[LINEA]=$B$2)*(DESC_PROV[LISTA]=$C$2),DESC_PROV[DESCUENTO]),0))
   *(1+VLOOKUP($C$2,LISTAS[],2,FALSE))
   *(1+VLOOKUP($C$2,LISTAS[],3,FALSE))
)
/5,0)*5,0)</f>
        <v>361495</v>
      </c>
      <c r="J16" s="66" cm="1">
        <f t="array" ref="J16">IFERROR(
ROUND(
IF($A$2="COSTO",
   ((B16*(1+IFERROR(VLOOKUP($D$2,COLORES[],2,FALSE),0)))+E16)
   *(1-IFERROR(_xlfn.XLOOKUP(1,(DESC_PROV[LINEA]=$B$2)*(DESC_PROV[LISTA]=$C$2),DESC_PROV[DESCUENTO]),0)),
   ((B16*(1+IFERROR(VLOOKUP($D$2,COLORES[],2,FALSE),0)))+E16)
   *(1-IFERROR(_xlfn.XLOOKUP(1,(DESC_PROV[LINEA]=$B$2)*(DESC_PROV[LISTA]=$C$2),DESC_PROV[DESCUENTO]),0))
   *(1+VLOOKUP($C$2,LISTAS[],2,FALSE))
   *(1+VLOOKUP($C$2,LISTAS[],3,FALSE))
)
/5,0)*5,0)</f>
        <v>292635</v>
      </c>
    </row>
    <row r="17" spans="1:10">
      <c r="A17" s="149" t="s">
        <v>102</v>
      </c>
      <c r="B17" s="64">
        <v>173444</v>
      </c>
      <c r="C17" s="64">
        <v>82656</v>
      </c>
      <c r="D17" s="64">
        <v>23044</v>
      </c>
      <c r="E17" s="64">
        <v>70517</v>
      </c>
      <c r="F17" s="2"/>
      <c r="G17" s="149" t="s">
        <v>102</v>
      </c>
      <c r="H17" s="65" cm="1">
        <f t="array" ref="H17">IFERROR(
ROUND(
IF($A$2="COSTO",
   ((B17*(1+IFERROR(VLOOKUP($D$2,COLORES[],2,FALSE),0)))+D17)
   *(1-IFERROR(_xlfn.XLOOKUP(1,(DESC_PROV[LINEA]=$B$2)*(DESC_PROV[LISTA]=$C$2),DESC_PROV[DESCUENTO]),0)),
   ((B17*(1+IFERROR(VLOOKUP($D$2,COLORES[],2,FALSE),0)))+D17)
   *(1-IFERROR(_xlfn.XLOOKUP(1,(DESC_PROV[LINEA]=$B$2)*(DESC_PROV[LISTA]=$C$2),DESC_PROV[DESCUENTO]),0))
   *(1+VLOOKUP($C$2,LISTAS[],2,FALSE))
   *(1+VLOOKUP($C$2,LISTAS[],3,FALSE))
)
/5,0)*5,0)</f>
        <v>251805</v>
      </c>
      <c r="I17" s="65" cm="1">
        <f t="array" ref="I17">IFERROR(
ROUND(
IF($A$2="COSTO",
   ((B17*(1+IFERROR(VLOOKUP($D$2,COLORES[],2,FALSE),0)))+(D17+C17+D17))
   *(1-IFERROR(_xlfn.XLOOKUP(1,(DESC_PROV[LINEA]=$B$2)*(DESC_PROV[LISTA]=$C$2),DESC_PROV[DESCUENTO]),0)),
   ((B17*(1+IFERROR(VLOOKUP($D$2,COLORES[],2,FALSE),0)))+(D17+C17+D17))
   *(1-IFERROR(_xlfn.XLOOKUP(1,(DESC_PROV[LINEA]=$B$2)*(DESC_PROV[LISTA]=$C$2),DESC_PROV[DESCUENTO]),0))
   *(1+VLOOKUP($C$2,LISTAS[],2,FALSE))
   *(1+VLOOKUP($C$2,LISTAS[],3,FALSE))
)
/5,0)*5,0)</f>
        <v>387265</v>
      </c>
      <c r="J17" s="66" cm="1">
        <f t="array" ref="J17">IFERROR(
ROUND(
IF($A$2="COSTO",
   ((B17*(1+IFERROR(VLOOKUP($D$2,COLORES[],2,FALSE),0)))+E17)
   *(1-IFERROR(_xlfn.XLOOKUP(1,(DESC_PROV[LINEA]=$B$2)*(DESC_PROV[LISTA]=$C$2),DESC_PROV[DESCUENTO]),0)),
   ((B17*(1+IFERROR(VLOOKUP($D$2,COLORES[],2,FALSE),0)))+E17)
   *(1-IFERROR(_xlfn.XLOOKUP(1,(DESC_PROV[LINEA]=$B$2)*(DESC_PROV[LISTA]=$C$2),DESC_PROV[DESCUENTO]),0))
   *(1+VLOOKUP($C$2,LISTAS[],2,FALSE))
   *(1+VLOOKUP($C$2,LISTAS[],3,FALSE))
)
/5,0)*5,0)</f>
        <v>312645</v>
      </c>
    </row>
    <row r="18" spans="1:10">
      <c r="A18" s="149" t="s">
        <v>16</v>
      </c>
      <c r="B18" s="64">
        <v>184710</v>
      </c>
      <c r="C18" s="64">
        <v>90405</v>
      </c>
      <c r="D18" s="64">
        <v>28708</v>
      </c>
      <c r="E18" s="64">
        <v>83246</v>
      </c>
      <c r="F18" s="2"/>
      <c r="G18" s="149" t="s">
        <v>16</v>
      </c>
      <c r="H18" s="65" cm="1">
        <f t="array" ref="H18">IFERROR(
ROUND(
IF($A$2="COSTO",
   ((B18*(1+IFERROR(VLOOKUP($D$2,COLORES[],2,FALSE),0)))+D18)
   *(1-IFERROR(_xlfn.XLOOKUP(1,(DESC_PROV[LINEA]=$B$2)*(DESC_PROV[LISTA]=$C$2),DESC_PROV[DESCUENTO]),0)),
   ((B18*(1+IFERROR(VLOOKUP($D$2,COLORES[],2,FALSE),0)))+D18)
   *(1-IFERROR(_xlfn.XLOOKUP(1,(DESC_PROV[LINEA]=$B$2)*(DESC_PROV[LISTA]=$C$2),DESC_PROV[DESCUENTO]),0))
   *(1+VLOOKUP($C$2,LISTAS[],2,FALSE))
   *(1+VLOOKUP($C$2,LISTAS[],3,FALSE))
)
/5,0)*5,0)</f>
        <v>273505</v>
      </c>
      <c r="I18" s="65" cm="1">
        <f t="array" ref="I18">IFERROR(
ROUND(
IF($A$2="COSTO",
   ((B18*(1+IFERROR(VLOOKUP($D$2,COLORES[],2,FALSE),0)))+(D18+C18+D18))
   *(1-IFERROR(_xlfn.XLOOKUP(1,(DESC_PROV[LINEA]=$B$2)*(DESC_PROV[LISTA]=$C$2),DESC_PROV[DESCUENTO]),0)),
   ((B18*(1+IFERROR(VLOOKUP($D$2,COLORES[],2,FALSE),0)))+(D18+C18+D18))
   *(1-IFERROR(_xlfn.XLOOKUP(1,(DESC_PROV[LINEA]=$B$2)*(DESC_PROV[LISTA]=$C$2),DESC_PROV[DESCUENTO]),0))
   *(1+VLOOKUP($C$2,LISTAS[],2,FALSE))
   *(1+VLOOKUP($C$2,LISTAS[],3,FALSE))
)
/5,0)*5,0)</f>
        <v>426150</v>
      </c>
      <c r="J18" s="66" cm="1">
        <f t="array" ref="J18">IFERROR(
ROUND(
IF($A$2="COSTO",
   ((B18*(1+IFERROR(VLOOKUP($D$2,COLORES[],2,FALSE),0)))+E18)
   *(1-IFERROR(_xlfn.XLOOKUP(1,(DESC_PROV[LINEA]=$B$2)*(DESC_PROV[LISTA]=$C$2),DESC_PROV[DESCUENTO]),0)),
   ((B18*(1+IFERROR(VLOOKUP($D$2,COLORES[],2,FALSE),0)))+E18)
   *(1-IFERROR(_xlfn.XLOOKUP(1,(DESC_PROV[LINEA]=$B$2)*(DESC_PROV[LISTA]=$C$2),DESC_PROV[DESCUENTO]),0))
   *(1+VLOOKUP($C$2,LISTAS[],2,FALSE))
   *(1+VLOOKUP($C$2,LISTAS[],3,FALSE))
)
/5,0)*5,0)</f>
        <v>343395</v>
      </c>
    </row>
    <row r="19" spans="1:10">
      <c r="A19" s="149" t="s">
        <v>103</v>
      </c>
      <c r="B19" s="64">
        <v>191175</v>
      </c>
      <c r="C19" s="64">
        <v>98154</v>
      </c>
      <c r="D19" s="64">
        <v>35043</v>
      </c>
      <c r="E19" s="64">
        <v>106376</v>
      </c>
      <c r="F19" s="2"/>
      <c r="G19" s="149" t="s">
        <v>103</v>
      </c>
      <c r="H19" s="65" cm="1">
        <f t="array" ref="H19">IFERROR(
ROUND(
IF($A$2="COSTO",
   ((B19*(1+IFERROR(VLOOKUP($D$2,COLORES[],2,FALSE),0)))+D19)
   *(1-IFERROR(_xlfn.XLOOKUP(1,(DESC_PROV[LINEA]=$B$2)*(DESC_PROV[LISTA]=$C$2),DESC_PROV[DESCUENTO]),0)),
   ((B19*(1+IFERROR(VLOOKUP($D$2,COLORES[],2,FALSE),0)))+D19)
   *(1-IFERROR(_xlfn.XLOOKUP(1,(DESC_PROV[LINEA]=$B$2)*(DESC_PROV[LISTA]=$C$2),DESC_PROV[DESCUENTO]),0))
   *(1+VLOOKUP($C$2,LISTAS[],2,FALSE))
   *(1+VLOOKUP($C$2,LISTAS[],3,FALSE))
)
/5,0)*5,0)</f>
        <v>289905</v>
      </c>
      <c r="I19" s="65" cm="1">
        <f t="array" ref="I19">IFERROR(
ROUND(
IF($A$2="COSTO",
   ((B19*(1+IFERROR(VLOOKUP($D$2,COLORES[],2,FALSE),0)))+(D19+C19+D19))
   *(1-IFERROR(_xlfn.XLOOKUP(1,(DESC_PROV[LINEA]=$B$2)*(DESC_PROV[LISTA]=$C$2),DESC_PROV[DESCUENTO]),0)),
   ((B19*(1+IFERROR(VLOOKUP($D$2,COLORES[],2,FALSE),0)))+(D19+C19+D19))
   *(1-IFERROR(_xlfn.XLOOKUP(1,(DESC_PROV[LINEA]=$B$2)*(DESC_PROV[LISTA]=$C$2),DESC_PROV[DESCUENTO]),0))
   *(1+VLOOKUP($C$2,LISTAS[],2,FALSE))
   *(1+VLOOKUP($C$2,LISTAS[],3,FALSE))
)
/5,0)*5,0)</f>
        <v>460605</v>
      </c>
      <c r="J19" s="66" cm="1">
        <f t="array" ref="J19">IFERROR(
ROUND(
IF($A$2="COSTO",
   ((B19*(1+IFERROR(VLOOKUP($D$2,COLORES[],2,FALSE),0)))+E19)
   *(1-IFERROR(_xlfn.XLOOKUP(1,(DESC_PROV[LINEA]=$B$2)*(DESC_PROV[LISTA]=$C$2),DESC_PROV[DESCUENTO]),0)),
   ((B19*(1+IFERROR(VLOOKUP($D$2,COLORES[],2,FALSE),0)))+E19)
   *(1-IFERROR(_xlfn.XLOOKUP(1,(DESC_PROV[LINEA]=$B$2)*(DESC_PROV[LISTA]=$C$2),DESC_PROV[DESCUENTO]),0))
   *(1+VLOOKUP($C$2,LISTAS[],2,FALSE))
   *(1+VLOOKUP($C$2,LISTAS[],3,FALSE))
)
/5,0)*5,0)</f>
        <v>381325</v>
      </c>
    </row>
    <row r="20" spans="1:10">
      <c r="A20" s="149" t="s">
        <v>104</v>
      </c>
      <c r="B20" s="64">
        <v>200347</v>
      </c>
      <c r="C20" s="64">
        <v>103320</v>
      </c>
      <c r="D20" s="64">
        <v>39268</v>
      </c>
      <c r="E20" s="64">
        <v>117221</v>
      </c>
      <c r="F20" s="2"/>
      <c r="G20" s="149" t="s">
        <v>104</v>
      </c>
      <c r="H20" s="65" cm="1">
        <f t="array" ref="H20">IFERROR(
ROUND(
IF($A$2="COSTO",
   ((B20*(1+IFERROR(VLOOKUP($D$2,COLORES[],2,FALSE),0)))+D20)
   *(1-IFERROR(_xlfn.XLOOKUP(1,(DESC_PROV[LINEA]=$B$2)*(DESC_PROV[LISTA]=$C$2),DESC_PROV[DESCUENTO]),0)),
   ((B20*(1+IFERROR(VLOOKUP($D$2,COLORES[],2,FALSE),0)))+D20)
   *(1-IFERROR(_xlfn.XLOOKUP(1,(DESC_PROV[LINEA]=$B$2)*(DESC_PROV[LISTA]=$C$2),DESC_PROV[DESCUENTO]),0))
   *(1+VLOOKUP($C$2,LISTAS[],2,FALSE))
   *(1+VLOOKUP($C$2,LISTAS[],3,FALSE))
)
/5,0)*5,0)</f>
        <v>307075</v>
      </c>
      <c r="I20" s="65" cm="1">
        <f t="array" ref="I20">IFERROR(
ROUND(
IF($A$2="COSTO",
   ((B20*(1+IFERROR(VLOOKUP($D$2,COLORES[],2,FALSE),0)))+(D20+C20+D20))
   *(1-IFERROR(_xlfn.XLOOKUP(1,(DESC_PROV[LINEA]=$B$2)*(DESC_PROV[LISTA]=$C$2),DESC_PROV[DESCUENTO]),0)),
   ((B20*(1+IFERROR(VLOOKUP($D$2,COLORES[],2,FALSE),0)))+(D20+C20+D20))
   *(1-IFERROR(_xlfn.XLOOKUP(1,(DESC_PROV[LINEA]=$B$2)*(DESC_PROV[LISTA]=$C$2),DESC_PROV[DESCUENTO]),0))
   *(1+VLOOKUP($C$2,LISTAS[],2,FALSE))
   *(1+VLOOKUP($C$2,LISTAS[],3,FALSE))
)
/5,0)*5,0)</f>
        <v>489810</v>
      </c>
      <c r="J20" s="66" cm="1">
        <f t="array" ref="J20">IFERROR(
ROUND(
IF($A$2="COSTO",
   ((B20*(1+IFERROR(VLOOKUP($D$2,COLORES[],2,FALSE),0)))+E20)
   *(1-IFERROR(_xlfn.XLOOKUP(1,(DESC_PROV[LINEA]=$B$2)*(DESC_PROV[LISTA]=$C$2),DESC_PROV[DESCUENTO]),0)),
   ((B20*(1+IFERROR(VLOOKUP($D$2,COLORES[],2,FALSE),0)))+E20)
   *(1-IFERROR(_xlfn.XLOOKUP(1,(DESC_PROV[LINEA]=$B$2)*(DESC_PROV[LISTA]=$C$2),DESC_PROV[DESCUENTO]),0))
   *(1+VLOOKUP($C$2,LISTAS[],2,FALSE))
   *(1+VLOOKUP($C$2,LISTAS[],3,FALSE))
)
/5,0)*5,0)</f>
        <v>406975</v>
      </c>
    </row>
    <row r="21" spans="1:10">
      <c r="A21" s="149" t="s">
        <v>58</v>
      </c>
      <c r="B21" s="64">
        <v>174777</v>
      </c>
      <c r="C21" s="64">
        <v>82656</v>
      </c>
      <c r="D21" s="64">
        <v>20935</v>
      </c>
      <c r="E21" s="64">
        <v>74558</v>
      </c>
      <c r="F21" s="2"/>
      <c r="G21" s="149" t="s">
        <v>58</v>
      </c>
      <c r="H21" s="65" cm="1">
        <f t="array" ref="H21">IFERROR(
ROUND(
IF($A$2="COSTO",
   ((B21*(1+IFERROR(VLOOKUP($D$2,COLORES[],2,FALSE),0)))+D21)
   *(1-IFERROR(_xlfn.XLOOKUP(1,(DESC_PROV[LINEA]=$B$2)*(DESC_PROV[LISTA]=$C$2),DESC_PROV[DESCUENTO]),0)),
   ((B21*(1+IFERROR(VLOOKUP($D$2,COLORES[],2,FALSE),0)))+D21)
   *(1-IFERROR(_xlfn.XLOOKUP(1,(DESC_PROV[LINEA]=$B$2)*(DESC_PROV[LISTA]=$C$2),DESC_PROV[DESCUENTO]),0))
   *(1+VLOOKUP($C$2,LISTAS[],2,FALSE))
   *(1+VLOOKUP($C$2,LISTAS[],3,FALSE))
)
/5,0)*5,0)</f>
        <v>250815</v>
      </c>
      <c r="I21" s="65" cm="1">
        <f t="array" ref="I21">IFERROR(
ROUND(
IF($A$2="COSTO",
   ((B21*(1+IFERROR(VLOOKUP($D$2,COLORES[],2,FALSE),0)))+(D21+C21+D21))
   *(1-IFERROR(_xlfn.XLOOKUP(1,(DESC_PROV[LINEA]=$B$2)*(DESC_PROV[LISTA]=$C$2),DESC_PROV[DESCUENTO]),0)),
   ((B21*(1+IFERROR(VLOOKUP($D$2,COLORES[],2,FALSE),0)))+(D21+C21+D21))
   *(1-IFERROR(_xlfn.XLOOKUP(1,(DESC_PROV[LINEA]=$B$2)*(DESC_PROV[LISTA]=$C$2),DESC_PROV[DESCUENTO]),0))
   *(1+VLOOKUP($C$2,LISTAS[],2,FALSE))
   *(1+VLOOKUP($C$2,LISTAS[],3,FALSE))
)
/5,0)*5,0)</f>
        <v>383570</v>
      </c>
      <c r="J21" s="66" cm="1">
        <f t="array" ref="J21">IFERROR(
ROUND(
IF($A$2="COSTO",
   ((B21*(1+IFERROR(VLOOKUP($D$2,COLORES[],2,FALSE),0)))+E21)
   *(1-IFERROR(_xlfn.XLOOKUP(1,(DESC_PROV[LINEA]=$B$2)*(DESC_PROV[LISTA]=$C$2),DESC_PROV[DESCUENTO]),0)),
   ((B21*(1+IFERROR(VLOOKUP($D$2,COLORES[],2,FALSE),0)))+E21)
   *(1-IFERROR(_xlfn.XLOOKUP(1,(DESC_PROV[LINEA]=$B$2)*(DESC_PROV[LISTA]=$C$2),DESC_PROV[DESCUENTO]),0))
   *(1+VLOOKUP($C$2,LISTAS[],2,FALSE))
   *(1+VLOOKUP($C$2,LISTAS[],3,FALSE))
)
/5,0)*5,0)</f>
        <v>319535</v>
      </c>
    </row>
    <row r="22" spans="1:10">
      <c r="A22" s="149" t="s">
        <v>59</v>
      </c>
      <c r="B22" s="64">
        <v>181270</v>
      </c>
      <c r="C22" s="64">
        <v>87822</v>
      </c>
      <c r="D22" s="64">
        <v>25154</v>
      </c>
      <c r="E22" s="64">
        <v>83270</v>
      </c>
      <c r="F22" s="2"/>
      <c r="G22" s="149" t="s">
        <v>59</v>
      </c>
      <c r="H22" s="65" cm="1">
        <f t="array" ref="H22">IFERROR(
ROUND(
IF($A$2="COSTO",
   ((B22*(1+IFERROR(VLOOKUP($D$2,COLORES[],2,FALSE),0)))+D22)
   *(1-IFERROR(_xlfn.XLOOKUP(1,(DESC_PROV[LINEA]=$B$2)*(DESC_PROV[LISTA]=$C$2),DESC_PROV[DESCUENTO]),0)),
   ((B22*(1+IFERROR(VLOOKUP($D$2,COLORES[],2,FALSE),0)))+D22)
   *(1-IFERROR(_xlfn.XLOOKUP(1,(DESC_PROV[LINEA]=$B$2)*(DESC_PROV[LISTA]=$C$2),DESC_PROV[DESCUENTO]),0))
   *(1+VLOOKUP($C$2,LISTAS[],2,FALSE))
   *(1+VLOOKUP($C$2,LISTAS[],3,FALSE))
)
/5,0)*5,0)</f>
        <v>264540</v>
      </c>
      <c r="I22" s="65" cm="1">
        <f t="array" ref="I22">IFERROR(
ROUND(
IF($A$2="COSTO",
   ((B22*(1+IFERROR(VLOOKUP($D$2,COLORES[],2,FALSE),0)))+(D22+C22+D22))
   *(1-IFERROR(_xlfn.XLOOKUP(1,(DESC_PROV[LINEA]=$B$2)*(DESC_PROV[LISTA]=$C$2),DESC_PROV[DESCUENTO]),0)),
   ((B22*(1+IFERROR(VLOOKUP($D$2,COLORES[],2,FALSE),0)))+(D22+C22+D22))
   *(1-IFERROR(_xlfn.XLOOKUP(1,(DESC_PROV[LINEA]=$B$2)*(DESC_PROV[LISTA]=$C$2),DESC_PROV[DESCUENTO]),0))
   *(1+VLOOKUP($C$2,LISTAS[],2,FALSE))
   *(1+VLOOKUP($C$2,LISTAS[],3,FALSE))
)
/5,0)*5,0)</f>
        <v>409325</v>
      </c>
      <c r="J22" s="66" cm="1">
        <f t="array" ref="J22">IFERROR(
ROUND(
IF($A$2="COSTO",
   ((B22*(1+IFERROR(VLOOKUP($D$2,COLORES[],2,FALSE),0)))+E22)
   *(1-IFERROR(_xlfn.XLOOKUP(1,(DESC_PROV[LINEA]=$B$2)*(DESC_PROV[LISTA]=$C$2),DESC_PROV[DESCUENTO]),0)),
   ((B22*(1+IFERROR(VLOOKUP($D$2,COLORES[],2,FALSE),0)))+E22)
   *(1-IFERROR(_xlfn.XLOOKUP(1,(DESC_PROV[LINEA]=$B$2)*(DESC_PROV[LISTA]=$C$2),DESC_PROV[DESCUENTO]),0))
   *(1+VLOOKUP($C$2,LISTAS[],2,FALSE))
   *(1+VLOOKUP($C$2,LISTAS[],3,FALSE))
)
/5,0)*5,0)</f>
        <v>339020</v>
      </c>
    </row>
    <row r="23" spans="1:10">
      <c r="A23" s="149" t="s">
        <v>60</v>
      </c>
      <c r="B23" s="64">
        <v>192543</v>
      </c>
      <c r="C23" s="64">
        <v>95571</v>
      </c>
      <c r="D23" s="64">
        <v>30818</v>
      </c>
      <c r="E23" s="64">
        <v>96103</v>
      </c>
      <c r="F23" s="2"/>
      <c r="G23" s="149" t="s">
        <v>60</v>
      </c>
      <c r="H23" s="65" cm="1">
        <f t="array" ref="H23">IFERROR(
ROUND(
IF($A$2="COSTO",
   ((B23*(1+IFERROR(VLOOKUP($D$2,COLORES[],2,FALSE),0)))+D23)
   *(1-IFERROR(_xlfn.XLOOKUP(1,(DESC_PROV[LINEA]=$B$2)*(DESC_PROV[LISTA]=$C$2),DESC_PROV[DESCUENTO]),0)),
   ((B23*(1+IFERROR(VLOOKUP($D$2,COLORES[],2,FALSE),0)))+D23)
   *(1-IFERROR(_xlfn.XLOOKUP(1,(DESC_PROV[LINEA]=$B$2)*(DESC_PROV[LISTA]=$C$2),DESC_PROV[DESCUENTO]),0))
   *(1+VLOOKUP($C$2,LISTAS[],2,FALSE))
   *(1+VLOOKUP($C$2,LISTAS[],3,FALSE))
)
/5,0)*5,0)</f>
        <v>286245</v>
      </c>
      <c r="I23" s="65" cm="1">
        <f t="array" ref="I23">IFERROR(
ROUND(
IF($A$2="COSTO",
   ((B23*(1+IFERROR(VLOOKUP($D$2,COLORES[],2,FALSE),0)))+(D23+C23+D23))
   *(1-IFERROR(_xlfn.XLOOKUP(1,(DESC_PROV[LINEA]=$B$2)*(DESC_PROV[LISTA]=$C$2),DESC_PROV[DESCUENTO]),0)),
   ((B23*(1+IFERROR(VLOOKUP($D$2,COLORES[],2,FALSE),0)))+(D23+C23+D23))
   *(1-IFERROR(_xlfn.XLOOKUP(1,(DESC_PROV[LINEA]=$B$2)*(DESC_PROV[LISTA]=$C$2),DESC_PROV[DESCUENTO]),0))
   *(1+VLOOKUP($C$2,LISTAS[],2,FALSE))
   *(1+VLOOKUP($C$2,LISTAS[],3,FALSE))
)
/5,0)*5,0)</f>
        <v>448220</v>
      </c>
      <c r="J23" s="66" cm="1">
        <f t="array" ref="J23">IFERROR(
ROUND(
IF($A$2="COSTO",
   ((B23*(1+IFERROR(VLOOKUP($D$2,COLORES[],2,FALSE),0)))+E23)
   *(1-IFERROR(_xlfn.XLOOKUP(1,(DESC_PROV[LINEA]=$B$2)*(DESC_PROV[LISTA]=$C$2),DESC_PROV[DESCUENTO]),0)),
   ((B23*(1+IFERROR(VLOOKUP($D$2,COLORES[],2,FALSE),0)))+E23)
   *(1-IFERROR(_xlfn.XLOOKUP(1,(DESC_PROV[LINEA]=$B$2)*(DESC_PROV[LISTA]=$C$2),DESC_PROV[DESCUENTO]),0))
   *(1+VLOOKUP($C$2,LISTAS[],2,FALSE))
   *(1+VLOOKUP($C$2,LISTAS[],3,FALSE))
)
/5,0)*5,0)</f>
        <v>369910</v>
      </c>
    </row>
    <row r="24" spans="1:10">
      <c r="A24" s="149" t="s">
        <v>61</v>
      </c>
      <c r="B24" s="64">
        <v>199000</v>
      </c>
      <c r="C24" s="64">
        <v>103320</v>
      </c>
      <c r="D24" s="64">
        <v>37152</v>
      </c>
      <c r="E24" s="64">
        <v>119534</v>
      </c>
      <c r="F24" s="2"/>
      <c r="G24" s="149" t="s">
        <v>61</v>
      </c>
      <c r="H24" s="65" cm="1">
        <f t="array" ref="H24">IFERROR(
ROUND(
IF($A$2="COSTO",
   ((B24*(1+IFERROR(VLOOKUP($D$2,COLORES[],2,FALSE),0)))+D24)
   *(1-IFERROR(_xlfn.XLOOKUP(1,(DESC_PROV[LINEA]=$B$2)*(DESC_PROV[LISTA]=$C$2),DESC_PROV[DESCUENTO]),0)),
   ((B24*(1+IFERROR(VLOOKUP($D$2,COLORES[],2,FALSE),0)))+D24)
   *(1-IFERROR(_xlfn.XLOOKUP(1,(DESC_PROV[LINEA]=$B$2)*(DESC_PROV[LISTA]=$C$2),DESC_PROV[DESCUENTO]),0))
   *(1+VLOOKUP($C$2,LISTAS[],2,FALSE))
   *(1+VLOOKUP($C$2,LISTAS[],3,FALSE))
)
/5,0)*5,0)</f>
        <v>302640</v>
      </c>
      <c r="I24" s="65" cm="1">
        <f t="array" ref="I24">IFERROR(
ROUND(
IF($A$2="COSTO",
   ((B24*(1+IFERROR(VLOOKUP($D$2,COLORES[],2,FALSE),0)))+(D24+C24+D24))
   *(1-IFERROR(_xlfn.XLOOKUP(1,(DESC_PROV[LINEA]=$B$2)*(DESC_PROV[LISTA]=$C$2),DESC_PROV[DESCUENTO]),0)),
   ((B24*(1+IFERROR(VLOOKUP($D$2,COLORES[],2,FALSE),0)))+(D24+C24+D24))
   *(1-IFERROR(_xlfn.XLOOKUP(1,(DESC_PROV[LINEA]=$B$2)*(DESC_PROV[LISTA]=$C$2),DESC_PROV[DESCUENTO]),0))
   *(1+VLOOKUP($C$2,LISTAS[],2,FALSE))
   *(1+VLOOKUP($C$2,LISTAS[],3,FALSE))
)
/5,0)*5,0)</f>
        <v>482660</v>
      </c>
      <c r="J24" s="66" cm="1">
        <f t="array" ref="J24">IFERROR(
ROUND(
IF($A$2="COSTO",
   ((B24*(1+IFERROR(VLOOKUP($D$2,COLORES[],2,FALSE),0)))+E24)
   *(1-IFERROR(_xlfn.XLOOKUP(1,(DESC_PROV[LINEA]=$B$2)*(DESC_PROV[LISTA]=$C$2),DESC_PROV[DESCUENTO]),0)),
   ((B24*(1+IFERROR(VLOOKUP($D$2,COLORES[],2,FALSE),0)))+E24)
   *(1-IFERROR(_xlfn.XLOOKUP(1,(DESC_PROV[LINEA]=$B$2)*(DESC_PROV[LISTA]=$C$2),DESC_PROV[DESCUENTO]),0))
   *(1+VLOOKUP($C$2,LISTAS[],2,FALSE))
   *(1+VLOOKUP($C$2,LISTAS[],3,FALSE))
)
/5,0)*5,0)</f>
        <v>408215</v>
      </c>
    </row>
    <row r="25" spans="1:10">
      <c r="A25" s="149" t="s">
        <v>62</v>
      </c>
      <c r="B25" s="64">
        <v>208179</v>
      </c>
      <c r="C25" s="64">
        <v>108486</v>
      </c>
      <c r="D25" s="64">
        <v>41377</v>
      </c>
      <c r="E25" s="64">
        <v>130020</v>
      </c>
      <c r="F25" s="2"/>
      <c r="G25" s="149" t="s">
        <v>62</v>
      </c>
      <c r="H25" s="65" cm="1">
        <f t="array" ref="H25">IFERROR(
ROUND(
IF($A$2="COSTO",
   ((B25*(1+IFERROR(VLOOKUP($D$2,COLORES[],2,FALSE),0)))+D25)
   *(1-IFERROR(_xlfn.XLOOKUP(1,(DESC_PROV[LINEA]=$B$2)*(DESC_PROV[LISTA]=$C$2),DESC_PROV[DESCUENTO]),0)),
   ((B25*(1+IFERROR(VLOOKUP($D$2,COLORES[],2,FALSE),0)))+D25)
   *(1-IFERROR(_xlfn.XLOOKUP(1,(DESC_PROV[LINEA]=$B$2)*(DESC_PROV[LISTA]=$C$2),DESC_PROV[DESCUENTO]),0))
   *(1+VLOOKUP($C$2,LISTAS[],2,FALSE))
   *(1+VLOOKUP($C$2,LISTAS[],3,FALSE))
)
/5,0)*5,0)</f>
        <v>319815</v>
      </c>
      <c r="I25" s="65" cm="1">
        <f t="array" ref="I25">IFERROR(
ROUND(
IF($A$2="COSTO",
   ((B25*(1+IFERROR(VLOOKUP($D$2,COLORES[],2,FALSE),0)))+(D25+C25+D25))
   *(1-IFERROR(_xlfn.XLOOKUP(1,(DESC_PROV[LINEA]=$B$2)*(DESC_PROV[LISTA]=$C$2),DESC_PROV[DESCUENTO]),0)),
   ((B25*(1+IFERROR(VLOOKUP($D$2,COLORES[],2,FALSE),0)))+(D25+C25+D25))
   *(1-IFERROR(_xlfn.XLOOKUP(1,(DESC_PROV[LINEA]=$B$2)*(DESC_PROV[LISTA]=$C$2),DESC_PROV[DESCUENTO]),0))
   *(1+VLOOKUP($C$2,LISTAS[],2,FALSE))
   *(1+VLOOKUP($C$2,LISTAS[],3,FALSE))
)
/5,0)*5,0)</f>
        <v>511870</v>
      </c>
      <c r="J25" s="66" cm="1">
        <f t="array" ref="J25">IFERROR(
ROUND(
IF($A$2="COSTO",
   ((B25*(1+IFERROR(VLOOKUP($D$2,COLORES[],2,FALSE),0)))+E25)
   *(1-IFERROR(_xlfn.XLOOKUP(1,(DESC_PROV[LINEA]=$B$2)*(DESC_PROV[LISTA]=$C$2),DESC_PROV[DESCUENTO]),0)),
   ((B25*(1+IFERROR(VLOOKUP($D$2,COLORES[],2,FALSE),0)))+E25)
   *(1-IFERROR(_xlfn.XLOOKUP(1,(DESC_PROV[LINEA]=$B$2)*(DESC_PROV[LISTA]=$C$2),DESC_PROV[DESCUENTO]),0))
   *(1+VLOOKUP($C$2,LISTAS[],2,FALSE))
   *(1+VLOOKUP($C$2,LISTAS[],3,FALSE))
)
/5,0)*5,0)</f>
        <v>433415</v>
      </c>
    </row>
    <row r="26" spans="1:10">
      <c r="A26" s="149" t="s">
        <v>107</v>
      </c>
      <c r="B26" s="64">
        <v>182398</v>
      </c>
      <c r="C26" s="64">
        <v>87822</v>
      </c>
      <c r="D26" s="64">
        <v>23044</v>
      </c>
      <c r="E26" s="64">
        <v>87455</v>
      </c>
      <c r="F26" s="2"/>
      <c r="G26" s="149" t="s">
        <v>107</v>
      </c>
      <c r="H26" s="65" cm="1">
        <f t="array" ref="H26">IFERROR(
ROUND(
IF($A$2="COSTO",
   ((B26*(1+IFERROR(VLOOKUP($D$2,COLORES[],2,FALSE),0)))+D26)
   *(1-IFERROR(_xlfn.XLOOKUP(1,(DESC_PROV[LINEA]=$B$2)*(DESC_PROV[LISTA]=$C$2),DESC_PROV[DESCUENTO]),0)),
   ((B26*(1+IFERROR(VLOOKUP($D$2,COLORES[],2,FALSE),0)))+D26)
   *(1-IFERROR(_xlfn.XLOOKUP(1,(DESC_PROV[LINEA]=$B$2)*(DESC_PROV[LISTA]=$C$2),DESC_PROV[DESCUENTO]),0))
   *(1+VLOOKUP($C$2,LISTAS[],2,FALSE))
   *(1+VLOOKUP($C$2,LISTAS[],3,FALSE))
)
/5,0)*5,0)</f>
        <v>263280</v>
      </c>
      <c r="I26" s="65" cm="1">
        <f t="array" ref="I26">IFERROR(
ROUND(
IF($A$2="COSTO",
   ((B26*(1+IFERROR(VLOOKUP($D$2,COLORES[],2,FALSE),0)))+(D26+C26+D26))
   *(1-IFERROR(_xlfn.XLOOKUP(1,(DESC_PROV[LINEA]=$B$2)*(DESC_PROV[LISTA]=$C$2),DESC_PROV[DESCUENTO]),0)),
   ((B26*(1+IFERROR(VLOOKUP($D$2,COLORES[],2,FALSE),0)))+(D26+C26+D26))
   *(1-IFERROR(_xlfn.XLOOKUP(1,(DESC_PROV[LINEA]=$B$2)*(DESC_PROV[LISTA]=$C$2),DESC_PROV[DESCUENTO]),0))
   *(1+VLOOKUP($C$2,LISTAS[],2,FALSE))
   *(1+VLOOKUP($C$2,LISTAS[],3,FALSE))
)
/5,0)*5,0)</f>
        <v>405360</v>
      </c>
      <c r="J26" s="66" cm="1">
        <f t="array" ref="J26">IFERROR(
ROUND(
IF($A$2="COSTO",
   ((B26*(1+IFERROR(VLOOKUP($D$2,COLORES[],2,FALSE),0)))+E26)
   *(1-IFERROR(_xlfn.XLOOKUP(1,(DESC_PROV[LINEA]=$B$2)*(DESC_PROV[LISTA]=$C$2),DESC_PROV[DESCUENTO]),0)),
   ((B26*(1+IFERROR(VLOOKUP($D$2,COLORES[],2,FALSE),0)))+E26)
   *(1-IFERROR(_xlfn.XLOOKUP(1,(DESC_PROV[LINEA]=$B$2)*(DESC_PROV[LISTA]=$C$2),DESC_PROV[DESCUENTO]),0))
   *(1+VLOOKUP($C$2,LISTAS[],2,FALSE))
   *(1+VLOOKUP($C$2,LISTAS[],3,FALSE))
)
/5,0)*5,0)</f>
        <v>345825</v>
      </c>
    </row>
    <row r="27" spans="1:10">
      <c r="A27" s="149" t="s">
        <v>108</v>
      </c>
      <c r="B27" s="64">
        <v>189123</v>
      </c>
      <c r="C27" s="64">
        <v>92988</v>
      </c>
      <c r="D27" s="64">
        <v>27263</v>
      </c>
      <c r="E27" s="64">
        <v>96404</v>
      </c>
      <c r="F27" s="2"/>
      <c r="G27" s="149" t="s">
        <v>108</v>
      </c>
      <c r="H27" s="65" cm="1">
        <f t="array" ref="H27">IFERROR(
ROUND(
IF($A$2="COSTO",
   ((B27*(1+IFERROR(VLOOKUP($D$2,COLORES[],2,FALSE),0)))+D27)
   *(1-IFERROR(_xlfn.XLOOKUP(1,(DESC_PROV[LINEA]=$B$2)*(DESC_PROV[LISTA]=$C$2),DESC_PROV[DESCUENTO]),0)),
   ((B27*(1+IFERROR(VLOOKUP($D$2,COLORES[],2,FALSE),0)))+D27)
   *(1-IFERROR(_xlfn.XLOOKUP(1,(DESC_PROV[LINEA]=$B$2)*(DESC_PROV[LISTA]=$C$2),DESC_PROV[DESCUENTO]),0))
   *(1+VLOOKUP($C$2,LISTAS[],2,FALSE))
   *(1+VLOOKUP($C$2,LISTAS[],3,FALSE))
)
/5,0)*5,0)</f>
        <v>277305</v>
      </c>
      <c r="I27" s="65" cm="1">
        <f t="array" ref="I27">IFERROR(
ROUND(
IF($A$2="COSTO",
   ((B27*(1+IFERROR(VLOOKUP($D$2,COLORES[],2,FALSE),0)))+(D27+C27+D27))
   *(1-IFERROR(_xlfn.XLOOKUP(1,(DESC_PROV[LINEA]=$B$2)*(DESC_PROV[LISTA]=$C$2),DESC_PROV[DESCUENTO]),0)),
   ((B27*(1+IFERROR(VLOOKUP($D$2,COLORES[],2,FALSE),0)))+(D27+C27+D27))
   *(1-IFERROR(_xlfn.XLOOKUP(1,(DESC_PROV[LINEA]=$B$2)*(DESC_PROV[LISTA]=$C$2),DESC_PROV[DESCUENTO]),0))
   *(1+VLOOKUP($C$2,LISTAS[],2,FALSE))
   *(1+VLOOKUP($C$2,LISTAS[],3,FALSE))
)
/5,0)*5,0)</f>
        <v>431415</v>
      </c>
      <c r="J27" s="66" cm="1">
        <f t="array" ref="J27">IFERROR(
ROUND(
IF($A$2="COSTO",
   ((B27*(1+IFERROR(VLOOKUP($D$2,COLORES[],2,FALSE),0)))+E27)
   *(1-IFERROR(_xlfn.XLOOKUP(1,(DESC_PROV[LINEA]=$B$2)*(DESC_PROV[LISTA]=$C$2),DESC_PROV[DESCUENTO]),0)),
   ((B27*(1+IFERROR(VLOOKUP($D$2,COLORES[],2,FALSE),0)))+E27)
   *(1-IFERROR(_xlfn.XLOOKUP(1,(DESC_PROV[LINEA]=$B$2)*(DESC_PROV[LISTA]=$C$2),DESC_PROV[DESCUENTO]),0))
   *(1+VLOOKUP($C$2,LISTAS[],2,FALSE))
   *(1+VLOOKUP($C$2,LISTAS[],3,FALSE))
)
/5,0)*5,0)</f>
        <v>365915</v>
      </c>
    </row>
    <row r="28" spans="1:10">
      <c r="A28" s="149" t="s">
        <v>109</v>
      </c>
      <c r="B28" s="64">
        <v>201771</v>
      </c>
      <c r="C28" s="64">
        <v>100737</v>
      </c>
      <c r="D28" s="64">
        <v>32872</v>
      </c>
      <c r="E28" s="64">
        <v>109382</v>
      </c>
      <c r="F28" s="2"/>
      <c r="G28" s="149" t="s">
        <v>109</v>
      </c>
      <c r="H28" s="65" cm="1">
        <f t="array" ref="H28">IFERROR(
ROUND(
IF($A$2="COSTO",
   ((B28*(1+IFERROR(VLOOKUP($D$2,COLORES[],2,FALSE),0)))+D28)
   *(1-IFERROR(_xlfn.XLOOKUP(1,(DESC_PROV[LINEA]=$B$2)*(DESC_PROV[LISTA]=$C$2),DESC_PROV[DESCUENTO]),0)),
   ((B28*(1+IFERROR(VLOOKUP($D$2,COLORES[],2,FALSE),0)))+D28)
   *(1-IFERROR(_xlfn.XLOOKUP(1,(DESC_PROV[LINEA]=$B$2)*(DESC_PROV[LISTA]=$C$2),DESC_PROV[DESCUENTO]),0))
   *(1+VLOOKUP($C$2,LISTAS[],2,FALSE))
   *(1+VLOOKUP($C$2,LISTAS[],3,FALSE))
)
/5,0)*5,0)</f>
        <v>300705</v>
      </c>
      <c r="I28" s="65" cm="1">
        <f t="array" ref="I28">IFERROR(
ROUND(
IF($A$2="COSTO",
   ((B28*(1+IFERROR(VLOOKUP($D$2,COLORES[],2,FALSE),0)))+(D28+C28+D28))
   *(1-IFERROR(_xlfn.XLOOKUP(1,(DESC_PROV[LINEA]=$B$2)*(DESC_PROV[LISTA]=$C$2),DESC_PROV[DESCUENTO]),0)),
   ((B28*(1+IFERROR(VLOOKUP($D$2,COLORES[],2,FALSE),0)))+(D28+C28+D28))
   *(1-IFERROR(_xlfn.XLOOKUP(1,(DESC_PROV[LINEA]=$B$2)*(DESC_PROV[LISTA]=$C$2),DESC_PROV[DESCUENTO]),0))
   *(1+VLOOKUP($C$2,LISTAS[],2,FALSE))
   *(1+VLOOKUP($C$2,LISTAS[],3,FALSE))
)
/5,0)*5,0)</f>
        <v>471930</v>
      </c>
      <c r="J28" s="66" cm="1">
        <f t="array" ref="J28">IFERROR(
ROUND(
IF($A$2="COSTO",
   ((B28*(1+IFERROR(VLOOKUP($D$2,COLORES[],2,FALSE),0)))+E28)
   *(1-IFERROR(_xlfn.XLOOKUP(1,(DESC_PROV[LINEA]=$B$2)*(DESC_PROV[LISTA]=$C$2),DESC_PROV[DESCUENTO]),0)),
   ((B28*(1+IFERROR(VLOOKUP($D$2,COLORES[],2,FALSE),0)))+E28)
   *(1-IFERROR(_xlfn.XLOOKUP(1,(DESC_PROV[LINEA]=$B$2)*(DESC_PROV[LISTA]=$C$2),DESC_PROV[DESCUENTO]),0))
   *(1+VLOOKUP($C$2,LISTAS[],2,FALSE))
   *(1+VLOOKUP($C$2,LISTAS[],3,FALSE))
)
/5,0)*5,0)</f>
        <v>398755</v>
      </c>
    </row>
    <row r="29" spans="1:10">
      <c r="A29" s="149" t="s">
        <v>110</v>
      </c>
      <c r="B29" s="64">
        <v>206798</v>
      </c>
      <c r="C29" s="64">
        <v>108486</v>
      </c>
      <c r="D29" s="64">
        <v>39262</v>
      </c>
      <c r="E29" s="64">
        <v>132385</v>
      </c>
      <c r="F29" s="2"/>
      <c r="G29" s="149" t="s">
        <v>110</v>
      </c>
      <c r="H29" s="65" cm="1">
        <f t="array" ref="H29">IFERROR(
ROUND(
IF($A$2="COSTO",
   ((B29*(1+IFERROR(VLOOKUP($D$2,COLORES[],2,FALSE),0)))+D29)
   *(1-IFERROR(_xlfn.XLOOKUP(1,(DESC_PROV[LINEA]=$B$2)*(DESC_PROV[LISTA]=$C$2),DESC_PROV[DESCUENTO]),0)),
   ((B29*(1+IFERROR(VLOOKUP($D$2,COLORES[],2,FALSE),0)))+D29)
   *(1-IFERROR(_xlfn.XLOOKUP(1,(DESC_PROV[LINEA]=$B$2)*(DESC_PROV[LISTA]=$C$2),DESC_PROV[DESCUENTO]),0))
   *(1+VLOOKUP($C$2,LISTAS[],2,FALSE))
   *(1+VLOOKUP($C$2,LISTAS[],3,FALSE))
)
/5,0)*5,0)</f>
        <v>315335</v>
      </c>
      <c r="I29" s="65" cm="1">
        <f t="array" ref="I29">IFERROR(
ROUND(
IF($A$2="COSTO",
   ((B29*(1+IFERROR(VLOOKUP($D$2,COLORES[],2,FALSE),0)))+(D29+C29+D29))
   *(1-IFERROR(_xlfn.XLOOKUP(1,(DESC_PROV[LINEA]=$B$2)*(DESC_PROV[LISTA]=$C$2),DESC_PROV[DESCUENTO]),0)),
   ((B29*(1+IFERROR(VLOOKUP($D$2,COLORES[],2,FALSE),0)))+(D29+C29+D29))
   *(1-IFERROR(_xlfn.XLOOKUP(1,(DESC_PROV[LINEA]=$B$2)*(DESC_PROV[LISTA]=$C$2),DESC_PROV[DESCUENTO]),0))
   *(1+VLOOKUP($C$2,LISTAS[],2,FALSE))
   *(1+VLOOKUP($C$2,LISTAS[],3,FALSE))
)
/5,0)*5,0)</f>
        <v>504680</v>
      </c>
      <c r="J29" s="66" cm="1">
        <f t="array" ref="J29">IFERROR(
ROUND(
IF($A$2="COSTO",
   ((B29*(1+IFERROR(VLOOKUP($D$2,COLORES[],2,FALSE),0)))+E29)
   *(1-IFERROR(_xlfn.XLOOKUP(1,(DESC_PROV[LINEA]=$B$2)*(DESC_PROV[LISTA]=$C$2),DESC_PROV[DESCUENTO]),0)),
   ((B29*(1+IFERROR(VLOOKUP($D$2,COLORES[],2,FALSE),0)))+E29)
   *(1-IFERROR(_xlfn.XLOOKUP(1,(DESC_PROV[LINEA]=$B$2)*(DESC_PROV[LISTA]=$C$2),DESC_PROV[DESCUENTO]),0))
   *(1+VLOOKUP($C$2,LISTAS[],2,FALSE))
   *(1+VLOOKUP($C$2,LISTAS[],3,FALSE))
)
/5,0)*5,0)</f>
        <v>434675</v>
      </c>
    </row>
    <row r="30" spans="1:10">
      <c r="A30" s="149" t="s">
        <v>111</v>
      </c>
      <c r="B30" s="64">
        <v>216231</v>
      </c>
      <c r="C30" s="64">
        <v>113652</v>
      </c>
      <c r="D30" s="64">
        <v>43487</v>
      </c>
      <c r="E30" s="64">
        <v>142860</v>
      </c>
      <c r="F30" s="2"/>
      <c r="G30" s="149" t="s">
        <v>111</v>
      </c>
      <c r="H30" s="65" cm="1">
        <f t="array" ref="H30">IFERROR(
ROUND(
IF($A$2="COSTO",
   ((B30*(1+IFERROR(VLOOKUP($D$2,COLORES[],2,FALSE),0)))+D30)
   *(1-IFERROR(_xlfn.XLOOKUP(1,(DESC_PROV[LINEA]=$B$2)*(DESC_PROV[LISTA]=$C$2),DESC_PROV[DESCUENTO]),0)),
   ((B30*(1+IFERROR(VLOOKUP($D$2,COLORES[],2,FALSE),0)))+D30)
   *(1-IFERROR(_xlfn.XLOOKUP(1,(DESC_PROV[LINEA]=$B$2)*(DESC_PROV[LISTA]=$C$2),DESC_PROV[DESCUENTO]),0))
   *(1+VLOOKUP($C$2,LISTAS[],2,FALSE))
   *(1+VLOOKUP($C$2,LISTAS[],3,FALSE))
)
/5,0)*5,0)</f>
        <v>332840</v>
      </c>
      <c r="I30" s="65" cm="1">
        <f t="array" ref="I30">IFERROR(
ROUND(
IF($A$2="COSTO",
   ((B30*(1+IFERROR(VLOOKUP($D$2,COLORES[],2,FALSE),0)))+(D30+C30+D30))
   *(1-IFERROR(_xlfn.XLOOKUP(1,(DESC_PROV[LINEA]=$B$2)*(DESC_PROV[LISTA]=$C$2),DESC_PROV[DESCUENTO]),0)),
   ((B30*(1+IFERROR(VLOOKUP($D$2,COLORES[],2,FALSE),0)))+(D30+C30+D30))
   *(1-IFERROR(_xlfn.XLOOKUP(1,(DESC_PROV[LINEA]=$B$2)*(DESC_PROV[LISTA]=$C$2),DESC_PROV[DESCUENTO]),0))
   *(1+VLOOKUP($C$2,LISTAS[],2,FALSE))
   *(1+VLOOKUP($C$2,LISTAS[],3,FALSE))
)
/5,0)*5,0)</f>
        <v>534220</v>
      </c>
      <c r="J30" s="66" cm="1">
        <f t="array" ref="J30">IFERROR(
ROUND(
IF($A$2="COSTO",
   ((B30*(1+IFERROR(VLOOKUP($D$2,COLORES[],2,FALSE),0)))+E30)
   *(1-IFERROR(_xlfn.XLOOKUP(1,(DESC_PROV[LINEA]=$B$2)*(DESC_PROV[LISTA]=$C$2),DESC_PROV[DESCUENTO]),0)),
   ((B30*(1+IFERROR(VLOOKUP($D$2,COLORES[],2,FALSE),0)))+E30)
   *(1-IFERROR(_xlfn.XLOOKUP(1,(DESC_PROV[LINEA]=$B$2)*(DESC_PROV[LISTA]=$C$2),DESC_PROV[DESCUENTO]),0))
   *(1+VLOOKUP($C$2,LISTAS[],2,FALSE))
   *(1+VLOOKUP($C$2,LISTAS[],3,FALSE))
)
/5,0)*5,0)</f>
        <v>460190</v>
      </c>
    </row>
    <row r="31" spans="1:10">
      <c r="A31" s="149" t="s">
        <v>114</v>
      </c>
      <c r="B31" s="64">
        <v>212113</v>
      </c>
      <c r="C31" s="64">
        <v>103320</v>
      </c>
      <c r="D31" s="64">
        <v>28659</v>
      </c>
      <c r="E31" s="64">
        <v>103000</v>
      </c>
      <c r="F31" s="2"/>
      <c r="G31" s="149" t="s">
        <v>114</v>
      </c>
      <c r="H31" s="65" cm="1">
        <f t="array" ref="H31">IFERROR(
ROUND(
IF($A$2="COSTO",
   ((B31*(1+IFERROR(VLOOKUP($D$2,COLORES[],2,FALSE),0)))+D31)
   *(1-IFERROR(_xlfn.XLOOKUP(1,(DESC_PROV[LINEA]=$B$2)*(DESC_PROV[LISTA]=$C$2),DESC_PROV[DESCUENTO]),0)),
   ((B31*(1+IFERROR(VLOOKUP($D$2,COLORES[],2,FALSE),0)))+D31)
   *(1-IFERROR(_xlfn.XLOOKUP(1,(DESC_PROV[LINEA]=$B$2)*(DESC_PROV[LISTA]=$C$2),DESC_PROV[DESCUENTO]),0))
   *(1+VLOOKUP($C$2,LISTAS[],2,FALSE))
   *(1+VLOOKUP($C$2,LISTAS[],3,FALSE))
)
/5,0)*5,0)</f>
        <v>308560</v>
      </c>
      <c r="I31" s="65" cm="1">
        <f t="array" ref="I31">IFERROR(
ROUND(
IF($A$2="COSTO",
   ((B31*(1+IFERROR(VLOOKUP($D$2,COLORES[],2,FALSE),0)))+(D31+C31+D31))
   *(1-IFERROR(_xlfn.XLOOKUP(1,(DESC_PROV[LINEA]=$B$2)*(DESC_PROV[LISTA]=$C$2),DESC_PROV[DESCUENTO]),0)),
   ((B31*(1+IFERROR(VLOOKUP($D$2,COLORES[],2,FALSE),0)))+(D31+C31+D31))
   *(1-IFERROR(_xlfn.XLOOKUP(1,(DESC_PROV[LINEA]=$B$2)*(DESC_PROV[LISTA]=$C$2),DESC_PROV[DESCUENTO]),0))
   *(1+VLOOKUP($C$2,LISTAS[],2,FALSE))
   *(1+VLOOKUP($C$2,LISTAS[],3,FALSE))
)
/5,0)*5,0)</f>
        <v>477695</v>
      </c>
      <c r="J31" s="66" cm="1">
        <f t="array" ref="J31">IFERROR(
ROUND(
IF($A$2="COSTO",
   ((B31*(1+IFERROR(VLOOKUP($D$2,COLORES[],2,FALSE),0)))+E31)
   *(1-IFERROR(_xlfn.XLOOKUP(1,(DESC_PROV[LINEA]=$B$2)*(DESC_PROV[LISTA]=$C$2),DESC_PROV[DESCUENTO]),0)),
   ((B31*(1+IFERROR(VLOOKUP($D$2,COLORES[],2,FALSE),0)))+E31)
   *(1-IFERROR(_xlfn.XLOOKUP(1,(DESC_PROV[LINEA]=$B$2)*(DESC_PROV[LISTA]=$C$2),DESC_PROV[DESCUENTO]),0))
   *(1+VLOOKUP($C$2,LISTAS[],2,FALSE))
   *(1+VLOOKUP($C$2,LISTAS[],3,FALSE))
)
/5,0)*5,0)</f>
        <v>403830</v>
      </c>
    </row>
    <row r="32" spans="1:10">
      <c r="A32" s="149" t="s">
        <v>71</v>
      </c>
      <c r="B32" s="64">
        <v>219248</v>
      </c>
      <c r="C32" s="64">
        <v>108486</v>
      </c>
      <c r="D32" s="64">
        <v>34938</v>
      </c>
      <c r="E32" s="64">
        <v>124170</v>
      </c>
      <c r="F32" s="2"/>
      <c r="G32" s="149" t="s">
        <v>71</v>
      </c>
      <c r="H32" s="65" cm="1">
        <f t="array" ref="H32">IFERROR(
ROUND(
IF($A$2="COSTO",
   ((B32*(1+IFERROR(VLOOKUP($D$2,COLORES[],2,FALSE),0)))+D32)
   *(1-IFERROR(_xlfn.XLOOKUP(1,(DESC_PROV[LINEA]=$B$2)*(DESC_PROV[LISTA]=$C$2),DESC_PROV[DESCUENTO]),0)),
   ((B32*(1+IFERROR(VLOOKUP($D$2,COLORES[],2,FALSE),0)))+D32)
   *(1-IFERROR(_xlfn.XLOOKUP(1,(DESC_PROV[LINEA]=$B$2)*(DESC_PROV[LISTA]=$C$2),DESC_PROV[DESCUENTO]),0))
   *(1+VLOOKUP($C$2,LISTAS[],2,FALSE))
   *(1+VLOOKUP($C$2,LISTAS[],3,FALSE))
)
/5,0)*5,0)</f>
        <v>325750</v>
      </c>
      <c r="I32" s="65" cm="1">
        <f t="array" ref="I32">IFERROR(
ROUND(
IF($A$2="COSTO",
   ((B32*(1+IFERROR(VLOOKUP($D$2,COLORES[],2,FALSE),0)))+(D32+C32+D32))
   *(1-IFERROR(_xlfn.XLOOKUP(1,(DESC_PROV[LINEA]=$B$2)*(DESC_PROV[LISTA]=$C$2),DESC_PROV[DESCUENTO]),0)),
   ((B32*(1+IFERROR(VLOOKUP($D$2,COLORES[],2,FALSE),0)))+(D32+C32+D32))
   *(1-IFERROR(_xlfn.XLOOKUP(1,(DESC_PROV[LINEA]=$B$2)*(DESC_PROV[LISTA]=$C$2),DESC_PROV[DESCUENTO]),0))
   *(1+VLOOKUP($C$2,LISTAS[],2,FALSE))
   *(1+VLOOKUP($C$2,LISTAS[],3,FALSE))
)
/5,0)*5,0)</f>
        <v>509555</v>
      </c>
      <c r="J32" s="66" cm="1">
        <f t="array" ref="J32">IFERROR(
ROUND(
IF($A$2="COSTO",
   ((B32*(1+IFERROR(VLOOKUP($D$2,COLORES[],2,FALSE),0)))+E32)
   *(1-IFERROR(_xlfn.XLOOKUP(1,(DESC_PROV[LINEA]=$B$2)*(DESC_PROV[LISTA]=$C$2),DESC_PROV[DESCUENTO]),0)),
   ((B32*(1+IFERROR(VLOOKUP($D$2,COLORES[],2,FALSE),0)))+E32)
   *(1-IFERROR(_xlfn.XLOOKUP(1,(DESC_PROV[LINEA]=$B$2)*(DESC_PROV[LISTA]=$C$2),DESC_PROV[DESCUENTO]),0))
   *(1+VLOOKUP($C$2,LISTAS[],2,FALSE))
   *(1+VLOOKUP($C$2,LISTAS[],3,FALSE))
)
/5,0)*5,0)</f>
        <v>440105</v>
      </c>
    </row>
    <row r="33" spans="1:10">
      <c r="A33" s="149" t="s">
        <v>72</v>
      </c>
      <c r="B33" s="64">
        <v>231875</v>
      </c>
      <c r="C33" s="64">
        <v>116235</v>
      </c>
      <c r="D33" s="64">
        <v>43487</v>
      </c>
      <c r="E33" s="64">
        <v>155740</v>
      </c>
      <c r="F33" s="2"/>
      <c r="G33" s="149" t="s">
        <v>72</v>
      </c>
      <c r="H33" s="65" cm="1">
        <f t="array" ref="H33">IFERROR(
ROUND(
IF($A$2="COSTO",
   ((B33*(1+IFERROR(VLOOKUP($D$2,COLORES[],2,FALSE),0)))+D33)
   *(1-IFERROR(_xlfn.XLOOKUP(1,(DESC_PROV[LINEA]=$B$2)*(DESC_PROV[LISTA]=$C$2),DESC_PROV[DESCUENTO]),0)),
   ((B33*(1+IFERROR(VLOOKUP($D$2,COLORES[],2,FALSE),0)))+D33)
   *(1-IFERROR(_xlfn.XLOOKUP(1,(DESC_PROV[LINEA]=$B$2)*(DESC_PROV[LISTA]=$C$2),DESC_PROV[DESCUENTO]),0))
   *(1+VLOOKUP($C$2,LISTAS[],2,FALSE))
   *(1+VLOOKUP($C$2,LISTAS[],3,FALSE))
)
/5,0)*5,0)</f>
        <v>352885</v>
      </c>
      <c r="I33" s="65" cm="1">
        <f t="array" ref="I33">IFERROR(
ROUND(
IF($A$2="COSTO",
   ((B33*(1+IFERROR(VLOOKUP($D$2,COLORES[],2,FALSE),0)))+(D33+C33+D33))
   *(1-IFERROR(_xlfn.XLOOKUP(1,(DESC_PROV[LINEA]=$B$2)*(DESC_PROV[LISTA]=$C$2),DESC_PROV[DESCUENTO]),0)),
   ((B33*(1+IFERROR(VLOOKUP($D$2,COLORES[],2,FALSE),0)))+(D33+C33+D33))
   *(1-IFERROR(_xlfn.XLOOKUP(1,(DESC_PROV[LINEA]=$B$2)*(DESC_PROV[LISTA]=$C$2),DESC_PROV[DESCUENTO]),0))
   *(1+VLOOKUP($C$2,LISTAS[],2,FALSE))
   *(1+VLOOKUP($C$2,LISTAS[],3,FALSE))
)
/5,0)*5,0)</f>
        <v>557580</v>
      </c>
      <c r="J33" s="66" cm="1">
        <f t="array" ref="J33">IFERROR(
ROUND(
IF($A$2="COSTO",
   ((B33*(1+IFERROR(VLOOKUP($D$2,COLORES[],2,FALSE),0)))+E33)
   *(1-IFERROR(_xlfn.XLOOKUP(1,(DESC_PROV[LINEA]=$B$2)*(DESC_PROV[LISTA]=$C$2),DESC_PROV[DESCUENTO]),0)),
   ((B33*(1+IFERROR(VLOOKUP($D$2,COLORES[],2,FALSE),0)))+E33)
   *(1-IFERROR(_xlfn.XLOOKUP(1,(DESC_PROV[LINEA]=$B$2)*(DESC_PROV[LISTA]=$C$2),DESC_PROV[DESCUENTO]),0))
   *(1+VLOOKUP($C$2,LISTAS[],2,FALSE))
   *(1+VLOOKUP($C$2,LISTAS[],3,FALSE))
)
/5,0)*5,0)</f>
        <v>496745</v>
      </c>
    </row>
    <row r="34" spans="1:10">
      <c r="A34" s="149" t="s">
        <v>73</v>
      </c>
      <c r="B34" s="64">
        <v>237381</v>
      </c>
      <c r="C34" s="64">
        <v>123984</v>
      </c>
      <c r="D34" s="64">
        <v>52988</v>
      </c>
      <c r="E34" s="64">
        <v>187484</v>
      </c>
      <c r="F34" s="2"/>
      <c r="G34" s="149" t="s">
        <v>73</v>
      </c>
      <c r="H34" s="65" cm="1">
        <f t="array" ref="H34">IFERROR(
ROUND(
IF($A$2="COSTO",
   ((B34*(1+IFERROR(VLOOKUP($D$2,COLORES[],2,FALSE),0)))+D34)
   *(1-IFERROR(_xlfn.XLOOKUP(1,(DESC_PROV[LINEA]=$B$2)*(DESC_PROV[LISTA]=$C$2),DESC_PROV[DESCUENTO]),0)),
   ((B34*(1+IFERROR(VLOOKUP($D$2,COLORES[],2,FALSE),0)))+D34)
   *(1-IFERROR(_xlfn.XLOOKUP(1,(DESC_PROV[LINEA]=$B$2)*(DESC_PROV[LISTA]=$C$2),DESC_PROV[DESCUENTO]),0))
   *(1+VLOOKUP($C$2,LISTAS[],2,FALSE))
   *(1+VLOOKUP($C$2,LISTAS[],3,FALSE))
)
/5,0)*5,0)</f>
        <v>372120</v>
      </c>
      <c r="I34" s="65" cm="1">
        <f t="array" ref="I34">IFERROR(
ROUND(
IF($A$2="COSTO",
   ((B34*(1+IFERROR(VLOOKUP($D$2,COLORES[],2,FALSE),0)))+(D34+C34+D34))
   *(1-IFERROR(_xlfn.XLOOKUP(1,(DESC_PROV[LINEA]=$B$2)*(DESC_PROV[LISTA]=$C$2),DESC_PROV[DESCUENTO]),0)),
   ((B34*(1+IFERROR(VLOOKUP($D$2,COLORES[],2,FALSE),0)))+(D34+C34+D34))
   *(1-IFERROR(_xlfn.XLOOKUP(1,(DESC_PROV[LINEA]=$B$2)*(DESC_PROV[LISTA]=$C$2),DESC_PROV[DESCUENTO]),0))
   *(1+VLOOKUP($C$2,LISTAS[],2,FALSE))
   *(1+VLOOKUP($C$2,LISTAS[],3,FALSE))
)
/5,0)*5,0)</f>
        <v>598915</v>
      </c>
      <c r="J34" s="66" cm="1">
        <f t="array" ref="J34">IFERROR(
ROUND(
IF($A$2="COSTO",
   ((B34*(1+IFERROR(VLOOKUP($D$2,COLORES[],2,FALSE),0)))+E34)
   *(1-IFERROR(_xlfn.XLOOKUP(1,(DESC_PROV[LINEA]=$B$2)*(DESC_PROV[LISTA]=$C$2),DESC_PROV[DESCUENTO]),0)),
   ((B34*(1+IFERROR(VLOOKUP($D$2,COLORES[],2,FALSE),0)))+E34)
   *(1-IFERROR(_xlfn.XLOOKUP(1,(DESC_PROV[LINEA]=$B$2)*(DESC_PROV[LISTA]=$C$2),DESC_PROV[DESCUENTO]),0))
   *(1+VLOOKUP($C$2,LISTAS[],2,FALSE))
   *(1+VLOOKUP($C$2,LISTAS[],3,FALSE))
)
/5,0)*5,0)</f>
        <v>544480</v>
      </c>
    </row>
    <row r="35" spans="1:10">
      <c r="A35" s="149" t="s">
        <v>74</v>
      </c>
      <c r="B35" s="64">
        <v>245960</v>
      </c>
      <c r="C35" s="64">
        <v>129150</v>
      </c>
      <c r="D35" s="64">
        <v>59329</v>
      </c>
      <c r="E35" s="64">
        <v>208654</v>
      </c>
      <c r="F35" s="2"/>
      <c r="G35" s="149" t="s">
        <v>74</v>
      </c>
      <c r="H35" s="65" cm="1">
        <f t="array" ref="H35">IFERROR(
ROUND(
IF($A$2="COSTO",
   ((B35*(1+IFERROR(VLOOKUP($D$2,COLORES[],2,FALSE),0)))+D35)
   *(1-IFERROR(_xlfn.XLOOKUP(1,(DESC_PROV[LINEA]=$B$2)*(DESC_PROV[LISTA]=$C$2),DESC_PROV[DESCUENTO]),0)),
   ((B35*(1+IFERROR(VLOOKUP($D$2,COLORES[],2,FALSE),0)))+D35)
   *(1-IFERROR(_xlfn.XLOOKUP(1,(DESC_PROV[LINEA]=$B$2)*(DESC_PROV[LISTA]=$C$2),DESC_PROV[DESCUENTO]),0))
   *(1+VLOOKUP($C$2,LISTAS[],2,FALSE))
   *(1+VLOOKUP($C$2,LISTAS[],3,FALSE))
)
/5,0)*5,0)</f>
        <v>391240</v>
      </c>
      <c r="I35" s="65" cm="1">
        <f t="array" ref="I35">IFERROR(
ROUND(
IF($A$2="COSTO",
   ((B35*(1+IFERROR(VLOOKUP($D$2,COLORES[],2,FALSE),0)))+(D35+C35+D35))
   *(1-IFERROR(_xlfn.XLOOKUP(1,(DESC_PROV[LINEA]=$B$2)*(DESC_PROV[LISTA]=$C$2),DESC_PROV[DESCUENTO]),0)),
   ((B35*(1+IFERROR(VLOOKUP($D$2,COLORES[],2,FALSE),0)))+(D35+C35+D35))
   *(1-IFERROR(_xlfn.XLOOKUP(1,(DESC_PROV[LINEA]=$B$2)*(DESC_PROV[LISTA]=$C$2),DESC_PROV[DESCUENTO]),0))
   *(1+VLOOKUP($C$2,LISTAS[],2,FALSE))
   *(1+VLOOKUP($C$2,LISTAS[],3,FALSE))
)
/5,0)*5,0)</f>
        <v>632785</v>
      </c>
      <c r="J35" s="66" cm="1">
        <f t="array" ref="J35">IFERROR(
ROUND(
IF($A$2="COSTO",
   ((B35*(1+IFERROR(VLOOKUP($D$2,COLORES[],2,FALSE),0)))+E35)
   *(1-IFERROR(_xlfn.XLOOKUP(1,(DESC_PROV[LINEA]=$B$2)*(DESC_PROV[LISTA]=$C$2),DESC_PROV[DESCUENTO]),0)),
   ((B35*(1+IFERROR(VLOOKUP($D$2,COLORES[],2,FALSE),0)))+E35)
   *(1-IFERROR(_xlfn.XLOOKUP(1,(DESC_PROV[LINEA]=$B$2)*(DESC_PROV[LISTA]=$C$2),DESC_PROV[DESCUENTO]),0))
   *(1+VLOOKUP($C$2,LISTAS[],2,FALSE))
   *(1+VLOOKUP($C$2,LISTAS[],3,FALSE))
)
/5,0)*5,0)</f>
        <v>582605</v>
      </c>
    </row>
    <row r="36" spans="1:10">
      <c r="A36" s="2"/>
      <c r="B36" s="2"/>
      <c r="C36" s="2"/>
      <c r="D36" s="2"/>
      <c r="E36" s="2"/>
      <c r="F36" s="2"/>
      <c r="G36" s="2"/>
      <c r="H36" s="136"/>
      <c r="I36" s="136"/>
      <c r="J36" s="136"/>
    </row>
    <row r="37" spans="1:10">
      <c r="A37" s="2"/>
      <c r="B37" s="2"/>
      <c r="C37" s="2"/>
      <c r="D37" s="2"/>
      <c r="E37" s="2"/>
      <c r="F37" s="2"/>
      <c r="G37" s="2"/>
      <c r="H37" s="136"/>
      <c r="I37" s="136"/>
      <c r="J37" s="136"/>
    </row>
    <row r="38" spans="1:10">
      <c r="A38" s="2"/>
      <c r="B38" s="2"/>
      <c r="C38" s="2"/>
      <c r="D38" s="2"/>
      <c r="E38" s="2"/>
      <c r="F38" s="2"/>
      <c r="G38" s="2"/>
      <c r="H38" s="136"/>
      <c r="I38" s="136"/>
      <c r="J38" s="136"/>
    </row>
    <row r="39" spans="1:10" ht="14.65" thickBot="1">
      <c r="A39" s="2"/>
      <c r="B39" s="2"/>
      <c r="C39" s="2"/>
      <c r="D39" s="2"/>
      <c r="E39" s="2"/>
      <c r="F39" s="2"/>
      <c r="G39" s="2"/>
      <c r="H39" s="136"/>
      <c r="I39" s="136"/>
      <c r="J39" s="136"/>
    </row>
    <row r="40" spans="1:10" ht="21">
      <c r="A40" s="311" t="s">
        <v>280</v>
      </c>
      <c r="B40" s="312"/>
      <c r="C40" s="312"/>
      <c r="D40" s="312"/>
      <c r="E40" s="313"/>
      <c r="F40" s="2"/>
      <c r="G40" s="311" t="s">
        <v>280</v>
      </c>
      <c r="H40" s="312"/>
      <c r="I40" s="312"/>
      <c r="J40" s="313"/>
    </row>
    <row r="41" spans="1:10">
      <c r="A41" s="149" t="s">
        <v>4</v>
      </c>
      <c r="B41" s="150" t="s">
        <v>196</v>
      </c>
      <c r="C41" s="150" t="s">
        <v>253</v>
      </c>
      <c r="D41" s="150" t="s">
        <v>198</v>
      </c>
      <c r="E41" s="151" t="s">
        <v>259</v>
      </c>
      <c r="F41" s="2"/>
      <c r="G41" s="149" t="s">
        <v>4</v>
      </c>
      <c r="H41" s="150" t="s">
        <v>123</v>
      </c>
      <c r="I41" s="150" t="s">
        <v>255</v>
      </c>
      <c r="J41" s="151" t="s">
        <v>259</v>
      </c>
    </row>
    <row r="42" spans="1:10">
      <c r="A42" s="149" t="s">
        <v>274</v>
      </c>
      <c r="B42" s="64">
        <v>260032</v>
      </c>
      <c r="C42" s="64">
        <v>98154</v>
      </c>
      <c r="D42" s="64">
        <v>25344</v>
      </c>
      <c r="E42" s="64">
        <v>90067</v>
      </c>
      <c r="F42" s="2"/>
      <c r="G42" s="149" t="s">
        <v>274</v>
      </c>
      <c r="H42" s="65" cm="1">
        <f t="array" ref="H42">IFERROR(
ROUND(
IF($A$2="COSTO",
   ((B42*(1+IFERROR(VLOOKUP($D$2,COLORES[],2,FALSE),0)))+D42)
   *(1-IFERROR(_xlfn.XLOOKUP(1,(DESC_PROV[LINEA]=$B$2)*(DESC_PROV[LISTA]=$C$2),DESC_PROV[DESCUENTO]),0)),
   ((B42*(1+IFERROR(VLOOKUP($D$2,COLORES[],2,FALSE),0)))+D42)
   *(1-IFERROR(_xlfn.XLOOKUP(1,(DESC_PROV[LINEA]=$B$2)*(DESC_PROV[LISTA]=$C$2),DESC_PROV[DESCUENTO]),0))
   *(1+VLOOKUP($C$2,LISTAS[],2,FALSE))
   *(1+VLOOKUP($C$2,LISTAS[],3,FALSE))
)
/5,0)*5,0)</f>
        <v>365720</v>
      </c>
      <c r="I42" s="65" cm="1">
        <f t="array" ref="I42">IFERROR(
ROUND(
IF($A$2="COSTO",
   ((B42*(1+IFERROR(VLOOKUP($D$2,COLORES[],2,FALSE),0)))+(D42+C42+D42))
   *(1-IFERROR(_xlfn.XLOOKUP(1,(DESC_PROV[LINEA]=$B$2)*(DESC_PROV[LISTA]=$C$2),DESC_PROV[DESCUENTO]),0)),
   ((B42*(1+IFERROR(VLOOKUP($D$2,COLORES[],2,FALSE),0)))+(D42+C42+D42))
   *(1-IFERROR(_xlfn.XLOOKUP(1,(DESC_PROV[LINEA]=$B$2)*(DESC_PROV[LISTA]=$C$2),DESC_PROV[DESCUENTO]),0))
   *(1+VLOOKUP($C$2,LISTAS[],2,FALSE))
   *(1+VLOOKUP($C$2,LISTAS[],3,FALSE))
)
/5,0)*5,0)</f>
        <v>523990</v>
      </c>
      <c r="J42" s="66" cm="1">
        <f t="array" ref="J42">IFERROR(
ROUND(
IF($A$2="COSTO",
   ((B42*(1+IFERROR(VLOOKUP($D$2,COLORES[],2,FALSE),0)))+E42)
   *(1-IFERROR(_xlfn.XLOOKUP(1,(DESC_PROV[LINEA]=$B$2)*(DESC_PROV[LISTA]=$C$2),DESC_PROV[DESCUENTO]),0)),
   ((B42*(1+IFERROR(VLOOKUP($D$2,COLORES[],2,FALSE),0)))+E42)
   *(1-IFERROR(_xlfn.XLOOKUP(1,(DESC_PROV[LINEA]=$B$2)*(DESC_PROV[LISTA]=$C$2),DESC_PROV[DESCUENTO]),0))
   *(1+VLOOKUP($C$2,LISTAS[],2,FALSE))
   *(1+VLOOKUP($C$2,LISTAS[],3,FALSE))
)
/5,0)*5,0)</f>
        <v>448665</v>
      </c>
    </row>
    <row r="43" spans="1:10">
      <c r="A43" s="149" t="s">
        <v>104</v>
      </c>
      <c r="B43" s="64">
        <v>307140</v>
      </c>
      <c r="C43" s="64">
        <v>129150</v>
      </c>
      <c r="D43" s="64">
        <v>42238</v>
      </c>
      <c r="E43" s="64">
        <v>150109</v>
      </c>
      <c r="F43" s="2"/>
      <c r="G43" s="149" t="s">
        <v>104</v>
      </c>
      <c r="H43" s="65" cm="1">
        <f t="array" ref="H43">IFERROR(
ROUND(
IF($A$2="COSTO",
   ((B43*(1+IFERROR(VLOOKUP($D$2,COLORES[],2,FALSE),0)))+D43)
   *(1-IFERROR(_xlfn.XLOOKUP(1,(DESC_PROV[LINEA]=$B$2)*(DESC_PROV[LISTA]=$C$2),DESC_PROV[DESCUENTO]),0)),
   ((B43*(1+IFERROR(VLOOKUP($D$2,COLORES[],2,FALSE),0)))+D43)
   *(1-IFERROR(_xlfn.XLOOKUP(1,(DESC_PROV[LINEA]=$B$2)*(DESC_PROV[LISTA]=$C$2),DESC_PROV[DESCUENTO]),0))
   *(1+VLOOKUP($C$2,LISTAS[],2,FALSE))
   *(1+VLOOKUP($C$2,LISTAS[],3,FALSE))
)
/5,0)*5,0)</f>
        <v>447740</v>
      </c>
      <c r="I43" s="65" cm="1">
        <f t="array" ref="I43">IFERROR(
ROUND(
IF($A$2="COSTO",
   ((B43*(1+IFERROR(VLOOKUP($D$2,COLORES[],2,FALSE),0)))+(D43+C43+D43))
   *(1-IFERROR(_xlfn.XLOOKUP(1,(DESC_PROV[LINEA]=$B$2)*(DESC_PROV[LISTA]=$C$2),DESC_PROV[DESCUENTO]),0)),
   ((B43*(1+IFERROR(VLOOKUP($D$2,COLORES[],2,FALSE),0)))+(D43+C43+D43))
   *(1-IFERROR(_xlfn.XLOOKUP(1,(DESC_PROV[LINEA]=$B$2)*(DESC_PROV[LISTA]=$C$2),DESC_PROV[DESCUENTO]),0))
   *(1+VLOOKUP($C$2,LISTAS[],2,FALSE))
   *(1+VLOOKUP($C$2,LISTAS[],3,FALSE))
)
/5,0)*5,0)</f>
        <v>667380</v>
      </c>
      <c r="J43" s="66" cm="1">
        <f t="array" ref="J43">IFERROR(
ROUND(
IF($A$2="COSTO",
   ((B43*(1+IFERROR(VLOOKUP($D$2,COLORES[],2,FALSE),0)))+E43)
   *(1-IFERROR(_xlfn.XLOOKUP(1,(DESC_PROV[LINEA]=$B$2)*(DESC_PROV[LISTA]=$C$2),DESC_PROV[DESCUENTO]),0)),
   ((B43*(1+IFERROR(VLOOKUP($D$2,COLORES[],2,FALSE),0)))+E43)
   *(1-IFERROR(_xlfn.XLOOKUP(1,(DESC_PROV[LINEA]=$B$2)*(DESC_PROV[LISTA]=$C$2),DESC_PROV[DESCUENTO]),0))
   *(1+VLOOKUP($C$2,LISTAS[],2,FALSE))
   *(1+VLOOKUP($C$2,LISTAS[],3,FALSE))
)
/5,0)*5,0)</f>
        <v>585985</v>
      </c>
    </row>
    <row r="44" spans="1:10">
      <c r="A44" s="149" t="s">
        <v>62</v>
      </c>
      <c r="B44" s="64">
        <v>324913</v>
      </c>
      <c r="C44" s="64">
        <v>136899</v>
      </c>
      <c r="D44" s="64">
        <v>46457</v>
      </c>
      <c r="E44" s="64">
        <v>165121</v>
      </c>
      <c r="F44" s="2"/>
      <c r="G44" s="149" t="s">
        <v>62</v>
      </c>
      <c r="H44" s="65" cm="1">
        <f t="array" ref="H44">IFERROR(
ROUND(
IF($A$2="COSTO",
   ((B44*(1+IFERROR(VLOOKUP($D$2,COLORES[],2,FALSE),0)))+D44)
   *(1-IFERROR(_xlfn.XLOOKUP(1,(DESC_PROV[LINEA]=$B$2)*(DESC_PROV[LISTA]=$C$2),DESC_PROV[DESCUENTO]),0)),
   ((B44*(1+IFERROR(VLOOKUP($D$2,COLORES[],2,FALSE),0)))+D44)
   *(1-IFERROR(_xlfn.XLOOKUP(1,(DESC_PROV[LINEA]=$B$2)*(DESC_PROV[LISTA]=$C$2),DESC_PROV[DESCUENTO]),0))
   *(1+VLOOKUP($C$2,LISTAS[],2,FALSE))
   *(1+VLOOKUP($C$2,LISTAS[],3,FALSE))
)
/5,0)*5,0)</f>
        <v>475925</v>
      </c>
      <c r="I44" s="65" cm="1">
        <f t="array" ref="I44">IFERROR(
ROUND(
IF($A$2="COSTO",
   ((B44*(1+IFERROR(VLOOKUP($D$2,COLORES[],2,FALSE),0)))+(D44+C44+D44))
   *(1-IFERROR(_xlfn.XLOOKUP(1,(DESC_PROV[LINEA]=$B$2)*(DESC_PROV[LISTA]=$C$2),DESC_PROV[DESCUENTO]),0)),
   ((B44*(1+IFERROR(VLOOKUP($D$2,COLORES[],2,FALSE),0)))+(D44+C44+D44))
   *(1-IFERROR(_xlfn.XLOOKUP(1,(DESC_PROV[LINEA]=$B$2)*(DESC_PROV[LISTA]=$C$2),DESC_PROV[DESCUENTO]),0))
   *(1+VLOOKUP($C$2,LISTAS[],2,FALSE))
   *(1+VLOOKUP($C$2,LISTAS[],3,FALSE))
)
/5,0)*5,0)</f>
        <v>710905</v>
      </c>
      <c r="J44" s="66" cm="1">
        <f t="array" ref="J44">IFERROR(
ROUND(
IF($A$2="COSTO",
   ((B44*(1+IFERROR(VLOOKUP($D$2,COLORES[],2,FALSE),0)))+E44)
   *(1-IFERROR(_xlfn.XLOOKUP(1,(DESC_PROV[LINEA]=$B$2)*(DESC_PROV[LISTA]=$C$2),DESC_PROV[DESCUENTO]),0)),
   ((B44*(1+IFERROR(VLOOKUP($D$2,COLORES[],2,FALSE),0)))+E44)
   *(1-IFERROR(_xlfn.XLOOKUP(1,(DESC_PROV[LINEA]=$B$2)*(DESC_PROV[LISTA]=$C$2),DESC_PROV[DESCUENTO]),0))
   *(1+VLOOKUP($C$2,LISTAS[],2,FALSE))
   *(1+VLOOKUP($C$2,LISTAS[],3,FALSE))
)
/5,0)*5,0)</f>
        <v>628000</v>
      </c>
    </row>
    <row r="45" spans="1:10" ht="14.65" thickBot="1">
      <c r="A45" s="152" t="s">
        <v>74</v>
      </c>
      <c r="B45" s="64">
        <v>365825</v>
      </c>
      <c r="C45" s="64">
        <v>167895</v>
      </c>
      <c r="D45" s="64">
        <v>63357</v>
      </c>
      <c r="E45" s="64">
        <v>225164</v>
      </c>
      <c r="F45" s="2"/>
      <c r="G45" s="152" t="s">
        <v>74</v>
      </c>
      <c r="H45" s="65" cm="1">
        <f t="array" ref="H45">IFERROR(
ROUND(
IF($A$2="COSTO",
   ((B45*(1+IFERROR(VLOOKUP($D$2,COLORES[],2,FALSE),0)))+D45)
   *(1-IFERROR(_xlfn.XLOOKUP(1,(DESC_PROV[LINEA]=$B$2)*(DESC_PROV[LISTA]=$C$2),DESC_PROV[DESCUENTO]),0)),
   ((B45*(1+IFERROR(VLOOKUP($D$2,COLORES[],2,FALSE),0)))+D45)
   *(1-IFERROR(_xlfn.XLOOKUP(1,(DESC_PROV[LINEA]=$B$2)*(DESC_PROV[LISTA]=$C$2),DESC_PROV[DESCUENTO]),0))
   *(1+VLOOKUP($C$2,LISTAS[],2,FALSE))
   *(1+VLOOKUP($C$2,LISTAS[],3,FALSE))
)
/5,0)*5,0)</f>
        <v>550015</v>
      </c>
      <c r="I45" s="65" cm="1">
        <f t="array" ref="I45">IFERROR(
ROUND(
IF($A$2="COSTO",
   ((B45*(1+IFERROR(VLOOKUP($D$2,COLORES[],2,FALSE),0)))+(D45+C45+D45))
   *(1-IFERROR(_xlfn.XLOOKUP(1,(DESC_PROV[LINEA]=$B$2)*(DESC_PROV[LISTA]=$C$2),DESC_PROV[DESCUENTO]),0)),
   ((B45*(1+IFERROR(VLOOKUP($D$2,COLORES[],2,FALSE),0)))+(D45+C45+D45))
   *(1-IFERROR(_xlfn.XLOOKUP(1,(DESC_PROV[LINEA]=$B$2)*(DESC_PROV[LISTA]=$C$2),DESC_PROV[DESCUENTO]),0))
   *(1+VLOOKUP($C$2,LISTAS[],2,FALSE))
   *(1+VLOOKUP($C$2,LISTAS[],3,FALSE))
)
/5,0)*5,0)</f>
        <v>846375</v>
      </c>
      <c r="J45" s="66" cm="1">
        <f t="array" ref="J45">IFERROR(
ROUND(
IF($A$2="COSTO",
   ((B45*(1+IFERROR(VLOOKUP($D$2,COLORES[],2,FALSE),0)))+E45)
   *(1-IFERROR(_xlfn.XLOOKUP(1,(DESC_PROV[LINEA]=$B$2)*(DESC_PROV[LISTA]=$C$2),DESC_PROV[DESCUENTO]),0)),
   ((B45*(1+IFERROR(VLOOKUP($D$2,COLORES[],2,FALSE),0)))+E45)
   *(1-IFERROR(_xlfn.XLOOKUP(1,(DESC_PROV[LINEA]=$B$2)*(DESC_PROV[LISTA]=$C$2),DESC_PROV[DESCUENTO]),0))
   *(1+VLOOKUP($C$2,LISTAS[],2,FALSE))
   *(1+VLOOKUP($C$2,LISTAS[],3,FALSE))
)
/5,0)*5,0)</f>
        <v>757375</v>
      </c>
    </row>
  </sheetData>
  <mergeCells count="4">
    <mergeCell ref="A5:E5"/>
    <mergeCell ref="G5:J5"/>
    <mergeCell ref="A40:E40"/>
    <mergeCell ref="G40:J40"/>
  </mergeCell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716C-FCFF-46F6-BAFA-E72105E3BD09}">
  <sheetPr codeName="Hoja12">
    <tabColor rgb="FFFF0000"/>
  </sheetPr>
  <dimension ref="A1:I54"/>
  <sheetViews>
    <sheetView zoomScale="70" zoomScaleNormal="70" workbookViewId="0">
      <selection activeCell="A9" sqref="A9"/>
    </sheetView>
  </sheetViews>
  <sheetFormatPr baseColWidth="10" defaultRowHeight="14.25"/>
  <cols>
    <col min="1" max="1" width="11.1328125" customWidth="1"/>
    <col min="2" max="2" width="12" customWidth="1"/>
    <col min="3" max="3" width="10" customWidth="1"/>
    <col min="4" max="5" width="8.73046875"/>
    <col min="6" max="6" width="11.1328125" customWidth="1"/>
    <col min="7" max="7" width="12" customWidth="1"/>
    <col min="8" max="8" width="10" customWidth="1"/>
    <col min="9" max="9" width="8.73046875"/>
  </cols>
  <sheetData>
    <row r="1" spans="1:9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9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9" ht="14.65" thickBot="1"/>
    <row r="5" spans="1:9" ht="25.9" thickBot="1">
      <c r="A5" s="302" t="s">
        <v>282</v>
      </c>
      <c r="B5" s="303"/>
      <c r="C5" s="303"/>
      <c r="D5" s="304"/>
      <c r="E5" s="124"/>
      <c r="F5" s="302" t="s">
        <v>282</v>
      </c>
      <c r="G5" s="303"/>
      <c r="H5" s="303"/>
      <c r="I5" s="304"/>
    </row>
    <row r="6" spans="1:9" ht="14.65" thickBot="1">
      <c r="A6" s="124"/>
      <c r="B6" s="124"/>
      <c r="C6" s="124"/>
      <c r="D6" s="124"/>
      <c r="E6" s="124"/>
      <c r="F6" s="124"/>
      <c r="G6" s="124"/>
      <c r="H6" s="124"/>
      <c r="I6" s="124"/>
    </row>
    <row r="7" spans="1:9" ht="18.399999999999999" thickBot="1">
      <c r="A7" s="159" t="s">
        <v>24</v>
      </c>
      <c r="B7" s="160" t="s">
        <v>283</v>
      </c>
      <c r="C7" s="160" t="s">
        <v>284</v>
      </c>
      <c r="D7" s="161" t="s">
        <v>285</v>
      </c>
      <c r="E7" s="124"/>
      <c r="F7" s="159" t="s">
        <v>24</v>
      </c>
      <c r="G7" s="160" t="s">
        <v>283</v>
      </c>
      <c r="H7" s="160" t="s">
        <v>284</v>
      </c>
      <c r="I7" s="161" t="s">
        <v>285</v>
      </c>
    </row>
    <row r="8" spans="1:9" ht="15" thickTop="1" thickBot="1">
      <c r="A8" s="162" t="s">
        <v>162</v>
      </c>
      <c r="B8" s="154">
        <v>62242</v>
      </c>
      <c r="C8" s="154">
        <v>69409</v>
      </c>
      <c r="D8" s="155">
        <v>2</v>
      </c>
      <c r="E8" s="124"/>
      <c r="F8" s="162" t="s">
        <v>162</v>
      </c>
      <c r="G8" s="156" cm="1">
        <f t="array" ref="G8">IFERROR(
ROUND(
IF($A$2="COSTO",
   (B8*(1+VLOOKUP($D$2,COLORES[],2,FALSE))
    *VLOOKUP("CORREDIZO",MARCOANCHO[],2,FALSE))
   *(1-IFERROR(_xlfn.XLOOKUP(1,(DESC_PROV[LINEA]=$B$2)*(DESC_PROV[LISTA]=$C$2),DESC_PROV[DESCUENTO]),0)),
   (B8*(1+VLOOKUP($D$2,COLORES[],2,FALSE))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77195</v>
      </c>
      <c r="H8" s="156" cm="1">
        <f t="array" ref="H8">IFERROR(
ROUND(
IF($A$2="COSTO",
   (C8*(1+VLOOKUP($D$2,COLORES[],2,FALSE))
    *VLOOKUP("ABRIR",MARCOANCHO[],2,FALSE))
   *(1-IFERROR(_xlfn.XLOOKUP(1,(DESC_PROV[LINEA]=$B$2)*(DESC_PROV[LISTA]=$C$2),DESC_PROV[DESCUENTO]),0)),
   (C8*(1+VLOOKUP($D$2,COLORES[],2,FALSE))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90385</v>
      </c>
      <c r="I8" s="155">
        <v>2</v>
      </c>
    </row>
    <row r="9" spans="1:9" ht="15" thickTop="1" thickBot="1">
      <c r="A9" s="162" t="s">
        <v>271</v>
      </c>
      <c r="B9" s="154">
        <v>75677</v>
      </c>
      <c r="C9" s="154">
        <v>83607</v>
      </c>
      <c r="D9" s="155">
        <v>2</v>
      </c>
      <c r="E9" s="124"/>
      <c r="F9" s="162" t="s">
        <v>271</v>
      </c>
      <c r="G9" s="156" cm="1">
        <f t="array" ref="G9">IFERROR(
ROUND(
IF($A$2="COSTO",
   (B9*(1+VLOOKUP($D$2,COLORES[],2,FALSE))
    *VLOOKUP("CORREDIZO",MARCOANCHO[],2,FALSE))
   *(1-IFERROR(_xlfn.XLOOKUP(1,(DESC_PROV[LINEA]=$B$2)*(DESC_PROV[LISTA]=$C$2),DESC_PROV[DESCUENTO]),0)),
   (B9*(1+VLOOKUP($D$2,COLORES[],2,FALSE))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93855</v>
      </c>
      <c r="H9" s="156" cm="1">
        <f t="array" ref="H9">IFERROR(
ROUND(
IF($A$2="COSTO",
   (C9*(1+VLOOKUP($D$2,COLORES[],2,FALSE))
    *VLOOKUP("ABRIR",MARCOANCHO[],2,FALSE))
   *(1-IFERROR(_xlfn.XLOOKUP(1,(DESC_PROV[LINEA]=$B$2)*(DESC_PROV[LISTA]=$C$2),DESC_PROV[DESCUENTO]),0)),
   (C9*(1+VLOOKUP($D$2,COLORES[],2,FALSE))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108875</v>
      </c>
      <c r="I9" s="155">
        <v>2</v>
      </c>
    </row>
    <row r="10" spans="1:9" ht="15" thickTop="1" thickBot="1">
      <c r="A10" s="162" t="s">
        <v>272</v>
      </c>
      <c r="B10" s="154">
        <v>93409</v>
      </c>
      <c r="C10" s="154">
        <v>104104</v>
      </c>
      <c r="D10" s="155" t="s">
        <v>286</v>
      </c>
      <c r="E10" s="124"/>
      <c r="F10" s="162" t="s">
        <v>272</v>
      </c>
      <c r="G10" s="156" cm="1">
        <f t="array" ref="G10">IFERROR(
ROUND(
IF($A$2="COSTO",
   (B10*(1+VLOOKUP($D$2,COLORES[],2,FALSE))
    *VLOOKUP("CORREDIZO",MARCOANCHO[],2,FALSE))
   *(1-IFERROR(_xlfn.XLOOKUP(1,(DESC_PROV[LINEA]=$B$2)*(DESC_PROV[LISTA]=$C$2),DESC_PROV[DESCUENTO]),0)),
   (B10*(1+VLOOKUP($D$2,COLORES[],2,FALSE))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115845</v>
      </c>
      <c r="H10" s="156" cm="1">
        <f t="array" ref="H10">IFERROR(
ROUND(
IF($A$2="COSTO",
   (C10*(1+VLOOKUP($D$2,COLORES[],2,FALSE))
    *VLOOKUP("ABRIR",MARCOANCHO[],2,FALSE))
   *(1-IFERROR(_xlfn.XLOOKUP(1,(DESC_PROV[LINEA]=$B$2)*(DESC_PROV[LISTA]=$C$2),DESC_PROV[DESCUENTO]),0)),
   (C10*(1+VLOOKUP($D$2,COLORES[],2,FALSE))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135565</v>
      </c>
      <c r="I10" s="155" t="s">
        <v>286</v>
      </c>
    </row>
    <row r="11" spans="1:9" ht="15" thickTop="1" thickBot="1">
      <c r="A11" s="162" t="s">
        <v>273</v>
      </c>
      <c r="B11" s="154">
        <v>112034</v>
      </c>
      <c r="C11" s="154">
        <v>124490</v>
      </c>
      <c r="D11" s="155">
        <v>3</v>
      </c>
      <c r="E11" s="124"/>
      <c r="F11" s="162" t="s">
        <v>273</v>
      </c>
      <c r="G11" s="156" cm="1">
        <f t="array" ref="G11">IFERROR(
ROUND(
IF($A$2="COSTO",
   (B11*(1+VLOOKUP($D$2,COLORES[],2,FALSE))
    *VLOOKUP("CORREDIZO",MARCOANCHO[],2,FALSE))
   *(1-IFERROR(_xlfn.XLOOKUP(1,(DESC_PROV[LINEA]=$B$2)*(DESC_PROV[LISTA]=$C$2),DESC_PROV[DESCUENTO]),0)),
   (B11*(1+VLOOKUP($D$2,COLORES[],2,FALSE))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138945</v>
      </c>
      <c r="H11" s="156" cm="1">
        <f t="array" ref="H11">IFERROR(
ROUND(
IF($A$2="COSTO",
   (C11*(1+VLOOKUP($D$2,COLORES[],2,FALSE))
    *VLOOKUP("ABRIR",MARCOANCHO[],2,FALSE))
   *(1-IFERROR(_xlfn.XLOOKUP(1,(DESC_PROV[LINEA]=$B$2)*(DESC_PROV[LISTA]=$C$2),DESC_PROV[DESCUENTO]),0)),
   (C11*(1+VLOOKUP($D$2,COLORES[],2,FALSE))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162110</v>
      </c>
      <c r="I11" s="155">
        <v>3</v>
      </c>
    </row>
    <row r="12" spans="1:9" ht="15" thickTop="1" thickBot="1">
      <c r="A12" s="162" t="s">
        <v>274</v>
      </c>
      <c r="B12" s="154">
        <v>124490</v>
      </c>
      <c r="C12" s="154">
        <v>138799</v>
      </c>
      <c r="D12" s="155">
        <v>3</v>
      </c>
      <c r="E12" s="124"/>
      <c r="F12" s="162" t="s">
        <v>274</v>
      </c>
      <c r="G12" s="156" cm="1">
        <f t="array" ref="G12">IFERROR(
ROUND(
IF($A$2="COSTO",
   (B12*(1+VLOOKUP($D$2,COLORES[],2,FALSE))
    *VLOOKUP("CORREDIZO",MARCOANCHO[],2,FALSE))
   *(1-IFERROR(_xlfn.XLOOKUP(1,(DESC_PROV[LINEA]=$B$2)*(DESC_PROV[LISTA]=$C$2),DESC_PROV[DESCUENTO]),0)),
   (B12*(1+VLOOKUP($D$2,COLORES[],2,FALSE))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154390</v>
      </c>
      <c r="H12" s="156" cm="1">
        <f t="array" ref="H12">IFERROR(
ROUND(
IF($A$2="COSTO",
   (C12*(1+VLOOKUP($D$2,COLORES[],2,FALSE))
    *VLOOKUP("ABRIR",MARCOANCHO[],2,FALSE))
   *(1-IFERROR(_xlfn.XLOOKUP(1,(DESC_PROV[LINEA]=$B$2)*(DESC_PROV[LISTA]=$C$2),DESC_PROV[DESCUENTO]),0)),
   (C12*(1+VLOOKUP($D$2,COLORES[],2,FALSE))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180745</v>
      </c>
      <c r="I12" s="155">
        <v>3</v>
      </c>
    </row>
    <row r="13" spans="1:9" ht="15" thickTop="1" thickBot="1">
      <c r="A13" s="162" t="s">
        <v>182</v>
      </c>
      <c r="B13" s="154">
        <v>93409</v>
      </c>
      <c r="C13" s="154">
        <v>104104</v>
      </c>
      <c r="D13" s="155">
        <v>2</v>
      </c>
      <c r="E13" s="124"/>
      <c r="F13" s="162" t="s">
        <v>182</v>
      </c>
      <c r="G13" s="156" cm="1">
        <f t="array" ref="G13">IFERROR(
ROUND(
IF($A$2="COSTO",
   (B13*(1+VLOOKUP($D$2,COLORES[],2,FALSE))
    *VLOOKUP("CORREDIZO",MARCOANCHO[],2,FALSE))
   *(1-IFERROR(_xlfn.XLOOKUP(1,(DESC_PROV[LINEA]=$B$2)*(DESC_PROV[LISTA]=$C$2),DESC_PROV[DESCUENTO]),0)),
   (B13*(1+VLOOKUP($D$2,COLORES[],2,FALSE))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115845</v>
      </c>
      <c r="H13" s="156" cm="1">
        <f t="array" ref="H13">IFERROR(
ROUND(
IF($A$2="COSTO",
   (C13*(1+VLOOKUP($D$2,COLORES[],2,FALSE))
    *VLOOKUP("ABRIR",MARCOANCHO[],2,FALSE))
   *(1-IFERROR(_xlfn.XLOOKUP(1,(DESC_PROV[LINEA]=$B$2)*(DESC_PROV[LISTA]=$C$2),DESC_PROV[DESCUENTO]),0)),
   (C13*(1+VLOOKUP($D$2,COLORES[],2,FALSE))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135565</v>
      </c>
      <c r="I13" s="155">
        <v>2</v>
      </c>
    </row>
    <row r="14" spans="1:9" ht="15" thickTop="1" thickBot="1">
      <c r="A14" s="162" t="s">
        <v>432</v>
      </c>
      <c r="B14" s="154">
        <v>112034</v>
      </c>
      <c r="C14" s="154">
        <v>155651</v>
      </c>
      <c r="D14" s="155">
        <v>2</v>
      </c>
      <c r="E14" s="124"/>
      <c r="F14" s="162" t="s">
        <v>432</v>
      </c>
      <c r="G14" s="156" cm="1">
        <f t="array" ref="G14">IFERROR(
ROUND(
IF($A$2="COSTO",
   (B14*(1+VLOOKUP($D$2,COLORES[],2,FALSE))
    *VLOOKUP("CORREDIZO",MARCOANCHO[],2,FALSE))
   *(1-IFERROR(_xlfn.XLOOKUP(1,(DESC_PROV[LINEA]=$B$2)*(DESC_PROV[LISTA]=$C$2),DESC_PROV[DESCUENTO]),0)),
   (B14*(1+VLOOKUP($D$2,COLORES[],2,FALSE))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138945</v>
      </c>
      <c r="H14" s="156" cm="1">
        <f t="array" ref="H14">IFERROR(
ROUND(
IF($A$2="COSTO",
   (C14*(1+VLOOKUP($D$2,COLORES[],2,FALSE))
    *VLOOKUP("ABRIR",MARCOANCHO[],2,FALSE))
   *(1-IFERROR(_xlfn.XLOOKUP(1,(DESC_PROV[LINEA]=$B$2)*(DESC_PROV[LISTA]=$C$2),DESC_PROV[DESCUENTO]),0)),
   (C14*(1+VLOOKUP($D$2,COLORES[],2,FALSE))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202690</v>
      </c>
      <c r="I14" s="155">
        <v>2</v>
      </c>
    </row>
    <row r="15" spans="1:9" ht="15" thickTop="1" thickBot="1">
      <c r="A15" s="162" t="s">
        <v>433</v>
      </c>
      <c r="B15" s="154">
        <v>147597</v>
      </c>
      <c r="C15" s="154">
        <v>163438</v>
      </c>
      <c r="D15" s="155">
        <v>3</v>
      </c>
      <c r="E15" s="124"/>
      <c r="F15" s="162" t="s">
        <v>433</v>
      </c>
      <c r="G15" s="156" cm="1">
        <f t="array" ref="G15">IFERROR(
ROUND(
IF($A$2="COSTO",
   (B15*(1+VLOOKUP($D$2,COLORES[],2,FALSE))
    *VLOOKUP("CORREDIZO",MARCOANCHO[],2,FALSE))
   *(1-IFERROR(_xlfn.XLOOKUP(1,(DESC_PROV[LINEA]=$B$2)*(DESC_PROV[LISTA]=$C$2),DESC_PROV[DESCUENTO]),0)),
   (B15*(1+VLOOKUP($D$2,COLORES[],2,FALSE))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183050</v>
      </c>
      <c r="H15" s="156" cm="1">
        <f t="array" ref="H15">IFERROR(
ROUND(
IF($A$2="COSTO",
   (C15*(1+VLOOKUP($D$2,COLORES[],2,FALSE))
    *VLOOKUP("ABRIR",MARCOANCHO[],2,FALSE))
   *(1-IFERROR(_xlfn.XLOOKUP(1,(DESC_PROV[LINEA]=$B$2)*(DESC_PROV[LISTA]=$C$2),DESC_PROV[DESCUENTO]),0)),
   (C15*(1+VLOOKUP($D$2,COLORES[],2,FALSE))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212830</v>
      </c>
      <c r="I15" s="155">
        <v>3</v>
      </c>
    </row>
    <row r="16" spans="1:9" ht="15" thickTop="1" thickBot="1">
      <c r="A16" s="162" t="s">
        <v>434</v>
      </c>
      <c r="B16" s="154">
        <v>176514</v>
      </c>
      <c r="C16" s="154">
        <v>196174</v>
      </c>
      <c r="D16" s="155">
        <v>3</v>
      </c>
      <c r="E16" s="124"/>
      <c r="F16" s="162" t="s">
        <v>434</v>
      </c>
      <c r="G16" s="156" cm="1">
        <f t="array" ref="G16">IFERROR(
ROUND(
IF($A$2="COSTO",
   (B16*(1+VLOOKUP($D$2,COLORES[],2,FALSE))
    *VLOOKUP("CORREDIZO",MARCOANCHO[],2,FALSE))
   *(1-IFERROR(_xlfn.XLOOKUP(1,(DESC_PROV[LINEA]=$B$2)*(DESC_PROV[LISTA]=$C$2),DESC_PROV[DESCUENTO]),0)),
   (B16*(1+VLOOKUP($D$2,COLORES[],2,FALSE))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218915</v>
      </c>
      <c r="H16" s="156" cm="1">
        <f t="array" ref="H16">IFERROR(
ROUND(
IF($A$2="COSTO",
   (C16*(1+VLOOKUP($D$2,COLORES[],2,FALSE))
    *VLOOKUP("ABRIR",MARCOANCHO[],2,FALSE))
   *(1-IFERROR(_xlfn.XLOOKUP(1,(DESC_PROV[LINEA]=$B$2)*(DESC_PROV[LISTA]=$C$2),DESC_PROV[DESCUENTO]),0)),
   (C16*(1+VLOOKUP($D$2,COLORES[],2,FALSE))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255460</v>
      </c>
      <c r="I16" s="155">
        <v>3</v>
      </c>
    </row>
    <row r="17" spans="1:9" ht="15" thickTop="1" thickBot="1">
      <c r="A17" s="162" t="s">
        <v>435</v>
      </c>
      <c r="B17" s="154">
        <v>205456</v>
      </c>
      <c r="C17" s="154">
        <v>218606</v>
      </c>
      <c r="D17" s="155">
        <v>3</v>
      </c>
      <c r="E17" s="124"/>
      <c r="F17" s="162" t="s">
        <v>435</v>
      </c>
      <c r="G17" s="156" cm="1">
        <f t="array" ref="G17">IFERROR(
ROUND(
IF($A$2="COSTO",
   (B17*(1+VLOOKUP($D$2,COLORES[],2,FALSE))
    *VLOOKUP("CORREDIZO",MARCOANCHO[],2,FALSE))
   *(1-IFERROR(_xlfn.XLOOKUP(1,(DESC_PROV[LINEA]=$B$2)*(DESC_PROV[LISTA]=$C$2),DESC_PROV[DESCUENTO]),0)),
   (B17*(1+VLOOKUP($D$2,COLORES[],2,FALSE))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254805</v>
      </c>
      <c r="H17" s="156" cm="1">
        <f t="array" ref="H17">IFERROR(
ROUND(
IF($A$2="COSTO",
   (C17*(1+VLOOKUP($D$2,COLORES[],2,FALSE))
    *VLOOKUP("ABRIR",MARCOANCHO[],2,FALSE))
   *(1-IFERROR(_xlfn.XLOOKUP(1,(DESC_PROV[LINEA]=$B$2)*(DESC_PROV[LISTA]=$C$2),DESC_PROV[DESCUENTO]),0)),
   (C17*(1+VLOOKUP($D$2,COLORES[],2,FALSE))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284670</v>
      </c>
      <c r="I17" s="155">
        <v>3</v>
      </c>
    </row>
    <row r="18" spans="1:9" ht="15" thickTop="1" thickBot="1">
      <c r="A18" s="162" t="s">
        <v>436</v>
      </c>
      <c r="B18" s="154">
        <v>219871</v>
      </c>
      <c r="C18" s="154">
        <v>240008</v>
      </c>
      <c r="D18" s="155">
        <v>3</v>
      </c>
      <c r="E18" s="124"/>
      <c r="F18" s="162" t="s">
        <v>436</v>
      </c>
      <c r="G18" s="156" cm="1">
        <f t="array" ref="G18">IFERROR(
ROUND(
IF($A$2="COSTO",
   (B18*(1+VLOOKUP($D$2,COLORES[],2,FALSE))
    *VLOOKUP("CORREDIZO",MARCOANCHO[],2,FALSE))
   *(1-IFERROR(_xlfn.XLOOKUP(1,(DESC_PROV[LINEA]=$B$2)*(DESC_PROV[LISTA]=$C$2),DESC_PROV[DESCUENTO]),0)),
   (B18*(1+VLOOKUP($D$2,COLORES[],2,FALSE))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272685</v>
      </c>
      <c r="H18" s="156" cm="1">
        <f t="array" ref="H18">IFERROR(
ROUND(
IF($A$2="COSTO",
   (C18*(1+VLOOKUP($D$2,COLORES[],2,FALSE))
    *VLOOKUP("ABRIR",MARCOANCHO[],2,FALSE))
   *(1-IFERROR(_xlfn.XLOOKUP(1,(DESC_PROV[LINEA]=$B$2)*(DESC_PROV[LISTA]=$C$2),DESC_PROV[DESCUENTO]),0)),
   (C18*(1+VLOOKUP($D$2,COLORES[],2,FALSE))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312540</v>
      </c>
      <c r="I18" s="155">
        <v>3</v>
      </c>
    </row>
    <row r="19" spans="1:9" ht="15" thickTop="1" thickBot="1">
      <c r="A19" s="162" t="s">
        <v>437</v>
      </c>
      <c r="B19" s="154">
        <v>224180</v>
      </c>
      <c r="C19" s="154">
        <v>261528</v>
      </c>
      <c r="D19" s="155">
        <v>3</v>
      </c>
      <c r="E19" s="124"/>
      <c r="F19" s="162" t="s">
        <v>437</v>
      </c>
      <c r="G19" s="156" cm="1">
        <f t="array" ref="G19">IFERROR(
ROUND(
IF($A$2="COSTO",
   (B19*(1+VLOOKUP($D$2,COLORES[],2,FALSE))
    *VLOOKUP("CORREDIZO",MARCOANCHO[],2,FALSE))
   *(1-IFERROR(_xlfn.XLOOKUP(1,(DESC_PROV[LINEA]=$B$2)*(DESC_PROV[LISTA]=$C$2),DESC_PROV[DESCUENTO]),0)),
   (B19*(1+VLOOKUP($D$2,COLORES[],2,FALSE))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278030</v>
      </c>
      <c r="H19" s="156" cm="1">
        <f t="array" ref="H19">IFERROR(
ROUND(
IF($A$2="COSTO",
   (C19*(1+VLOOKUP($D$2,COLORES[],2,FALSE))
    *VLOOKUP("ABRIR",MARCOANCHO[],2,FALSE))
   *(1-IFERROR(_xlfn.XLOOKUP(1,(DESC_PROV[LINEA]=$B$2)*(DESC_PROV[LISTA]=$C$2),DESC_PROV[DESCUENTO]),0)),
   (C19*(1+VLOOKUP($D$2,COLORES[],2,FALSE))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340565</v>
      </c>
      <c r="I19" s="155">
        <v>3</v>
      </c>
    </row>
    <row r="20" spans="1:9" ht="15" thickTop="1" thickBot="1">
      <c r="A20" s="162" t="s">
        <v>15</v>
      </c>
      <c r="B20" s="154">
        <v>104104</v>
      </c>
      <c r="C20" s="154">
        <v>115667</v>
      </c>
      <c r="D20" s="155">
        <v>2</v>
      </c>
      <c r="E20" s="124"/>
      <c r="F20" s="162" t="s">
        <v>15</v>
      </c>
      <c r="G20" s="156" cm="1">
        <f t="array" ref="G20">IFERROR(
ROUND(
IF($A$2="COSTO",
   (B20*(1+VLOOKUP($D$2,COLORES[],2,FALSE))
    *VLOOKUP("CORREDIZO",MARCOANCHO[],2,FALSE))
   *(1-IFERROR(_xlfn.XLOOKUP(1,(DESC_PROV[LINEA]=$B$2)*(DESC_PROV[LISTA]=$C$2),DESC_PROV[DESCUENTO]),0)),
   (B20*(1+VLOOKUP($D$2,COLORES[],2,FALSE))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129110</v>
      </c>
      <c r="H20" s="156" cm="1">
        <f t="array" ref="H20">IFERROR(
ROUND(
IF($A$2="COSTO",
   (C20*(1+VLOOKUP($D$2,COLORES[],2,FALSE))
    *VLOOKUP("ABRIR",MARCOANCHO[],2,FALSE))
   *(1-IFERROR(_xlfn.XLOOKUP(1,(DESC_PROV[LINEA]=$B$2)*(DESC_PROV[LISTA]=$C$2),DESC_PROV[DESCUENTO]),0)),
   (C20*(1+VLOOKUP($D$2,COLORES[],2,FALSE))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150625</v>
      </c>
      <c r="I20" s="155">
        <v>2</v>
      </c>
    </row>
    <row r="21" spans="1:9" ht="15" thickTop="1" thickBot="1">
      <c r="A21" s="162" t="s">
        <v>102</v>
      </c>
      <c r="B21" s="154">
        <v>125469</v>
      </c>
      <c r="C21" s="154">
        <v>138818</v>
      </c>
      <c r="D21" s="155">
        <v>2</v>
      </c>
      <c r="E21" s="124"/>
      <c r="F21" s="162" t="s">
        <v>102</v>
      </c>
      <c r="G21" s="156" cm="1">
        <f t="array" ref="G21">IFERROR(
ROUND(
IF($A$2="COSTO",
   (B21*(1+VLOOKUP($D$2,COLORES[],2,FALSE))
    *VLOOKUP("CORREDIZO",MARCOANCHO[],2,FALSE))
   *(1-IFERROR(_xlfn.XLOOKUP(1,(DESC_PROV[LINEA]=$B$2)*(DESC_PROV[LISTA]=$C$2),DESC_PROV[DESCUENTO]),0)),
   (B21*(1+VLOOKUP($D$2,COLORES[],2,FALSE))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155605</v>
      </c>
      <c r="H21" s="156" cm="1">
        <f t="array" ref="H21">IFERROR(
ROUND(
IF($A$2="COSTO",
   (C21*(1+VLOOKUP($D$2,COLORES[],2,FALSE))
    *VLOOKUP("ABRIR",MARCOANCHO[],2,FALSE))
   *(1-IFERROR(_xlfn.XLOOKUP(1,(DESC_PROV[LINEA]=$B$2)*(DESC_PROV[LISTA]=$C$2),DESC_PROV[DESCUENTO]),0)),
   (C21*(1+VLOOKUP($D$2,COLORES[],2,FALSE))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180770</v>
      </c>
      <c r="I21" s="155">
        <v>2</v>
      </c>
    </row>
    <row r="22" spans="1:9" ht="15" thickTop="1" thickBot="1">
      <c r="A22" s="162" t="s">
        <v>16</v>
      </c>
      <c r="B22" s="154">
        <v>151299</v>
      </c>
      <c r="C22" s="154">
        <v>160964</v>
      </c>
      <c r="D22" s="155">
        <v>3</v>
      </c>
      <c r="E22" s="124"/>
      <c r="F22" s="162" t="s">
        <v>16</v>
      </c>
      <c r="G22" s="156" cm="1">
        <f t="array" ref="G22">IFERROR(
ROUND(
IF($A$2="COSTO",
   (B22*(1+VLOOKUP($D$2,COLORES[],2,FALSE))
    *VLOOKUP("CORREDIZO",MARCOANCHO[],2,FALSE))
   *(1-IFERROR(_xlfn.XLOOKUP(1,(DESC_PROV[LINEA]=$B$2)*(DESC_PROV[LISTA]=$C$2),DESC_PROV[DESCUENTO]),0)),
   (B22*(1+VLOOKUP($D$2,COLORES[],2,FALSE))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187640</v>
      </c>
      <c r="H22" s="156" cm="1">
        <f t="array" ref="H22">IFERROR(
ROUND(
IF($A$2="COSTO",
   (C22*(1+VLOOKUP($D$2,COLORES[],2,FALSE))
    *VLOOKUP("ABRIR",MARCOANCHO[],2,FALSE))
   *(1-IFERROR(_xlfn.XLOOKUP(1,(DESC_PROV[LINEA]=$B$2)*(DESC_PROV[LISTA]=$C$2),DESC_PROV[DESCUENTO]),0)),
   (C22*(1+VLOOKUP($D$2,COLORES[],2,FALSE))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209610</v>
      </c>
      <c r="I22" s="155">
        <v>3</v>
      </c>
    </row>
    <row r="23" spans="1:9" ht="15" thickTop="1" thickBot="1">
      <c r="A23" s="162" t="s">
        <v>103</v>
      </c>
      <c r="B23" s="154">
        <v>173501</v>
      </c>
      <c r="C23" s="154">
        <v>201723</v>
      </c>
      <c r="D23" s="155">
        <v>3</v>
      </c>
      <c r="E23" s="124"/>
      <c r="F23" s="162" t="s">
        <v>103</v>
      </c>
      <c r="G23" s="156" cm="1">
        <f t="array" ref="G23">IFERROR(
ROUND(
IF($A$2="COSTO",
   (B23*(1+VLOOKUP($D$2,COLORES[],2,FALSE))
    *VLOOKUP("CORREDIZO",MARCOANCHO[],2,FALSE))
   *(1-IFERROR(_xlfn.XLOOKUP(1,(DESC_PROV[LINEA]=$B$2)*(DESC_PROV[LISTA]=$C$2),DESC_PROV[DESCUENTO]),0)),
   (B23*(1+VLOOKUP($D$2,COLORES[],2,FALSE))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215175</v>
      </c>
      <c r="H23" s="156" cm="1">
        <f t="array" ref="H23">IFERROR(
ROUND(
IF($A$2="COSTO",
   (C23*(1+VLOOKUP($D$2,COLORES[],2,FALSE))
    *VLOOKUP("ABRIR",MARCOANCHO[],2,FALSE))
   *(1-IFERROR(_xlfn.XLOOKUP(1,(DESC_PROV[LINEA]=$B$2)*(DESC_PROV[LISTA]=$C$2),DESC_PROV[DESCUENTO]),0)),
   (C23*(1+VLOOKUP($D$2,COLORES[],2,FALSE))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262685</v>
      </c>
      <c r="I23" s="155">
        <v>3</v>
      </c>
    </row>
    <row r="24" spans="1:9" ht="15" thickTop="1" thickBot="1">
      <c r="A24" s="162" t="s">
        <v>104</v>
      </c>
      <c r="B24" s="154">
        <v>192126</v>
      </c>
      <c r="C24" s="154">
        <v>224180</v>
      </c>
      <c r="D24" s="155">
        <v>3</v>
      </c>
      <c r="E24" s="124"/>
      <c r="F24" s="162" t="s">
        <v>104</v>
      </c>
      <c r="G24" s="156" cm="1">
        <f t="array" ref="G24">IFERROR(
ROUND(
IF($A$2="COSTO",
   (B24*(1+VLOOKUP($D$2,COLORES[],2,FALSE))
    *VLOOKUP("CORREDIZO",MARCOANCHO[],2,FALSE))
   *(1-IFERROR(_xlfn.XLOOKUP(1,(DESC_PROV[LINEA]=$B$2)*(DESC_PROV[LISTA]=$C$2),DESC_PROV[DESCUENTO]),0)),
   (B24*(1+VLOOKUP($D$2,COLORES[],2,FALSE))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238275</v>
      </c>
      <c r="H24" s="156" cm="1">
        <f t="array" ref="H24">IFERROR(
ROUND(
IF($A$2="COSTO",
   (C24*(1+VLOOKUP($D$2,COLORES[],2,FALSE))
    *VLOOKUP("ABRIR",MARCOANCHO[],2,FALSE))
   *(1-IFERROR(_xlfn.XLOOKUP(1,(DESC_PROV[LINEA]=$B$2)*(DESC_PROV[LISTA]=$C$2),DESC_PROV[DESCUENTO]),0)),
   (C24*(1+VLOOKUP($D$2,COLORES[],2,FALSE))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291930</v>
      </c>
      <c r="I24" s="155">
        <v>3</v>
      </c>
    </row>
    <row r="25" spans="1:9" ht="15" thickTop="1" thickBot="1">
      <c r="A25" s="162" t="s">
        <v>105</v>
      </c>
      <c r="B25" s="154">
        <v>211730</v>
      </c>
      <c r="C25" s="154">
        <v>246599</v>
      </c>
      <c r="D25" s="155">
        <v>3</v>
      </c>
      <c r="E25" s="124"/>
      <c r="F25" s="162" t="s">
        <v>105</v>
      </c>
      <c r="G25" s="156" cm="1">
        <f t="array" ref="G25">IFERROR(
ROUND(
IF($A$2="COSTO",
   (B25*(1+VLOOKUP($D$2,COLORES[],2,FALSE))
    *VLOOKUP("CORREDIZO",MARCOANCHO[],2,FALSE))
   *(1-IFERROR(_xlfn.XLOOKUP(1,(DESC_PROV[LINEA]=$B$2)*(DESC_PROV[LISTA]=$C$2),DESC_PROV[DESCUENTO]),0)),
   (B25*(1+VLOOKUP($D$2,COLORES[],2,FALSE))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262590</v>
      </c>
      <c r="H25" s="156" cm="1">
        <f t="array" ref="H25">IFERROR(
ROUND(
IF($A$2="COSTO",
   (C25*(1+VLOOKUP($D$2,COLORES[],2,FALSE))
    *VLOOKUP("ABRIR",MARCOANCHO[],2,FALSE))
   *(1-IFERROR(_xlfn.XLOOKUP(1,(DESC_PROV[LINEA]=$B$2)*(DESC_PROV[LISTA]=$C$2),DESC_PROV[DESCUENTO]),0)),
   (C25*(1+VLOOKUP($D$2,COLORES[],2,FALSE))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321125</v>
      </c>
      <c r="I25" s="155">
        <v>3</v>
      </c>
    </row>
    <row r="26" spans="1:9" ht="15" thickTop="1" thickBot="1">
      <c r="A26" s="162" t="s">
        <v>106</v>
      </c>
      <c r="B26" s="154">
        <v>231334</v>
      </c>
      <c r="C26" s="154">
        <v>269043</v>
      </c>
      <c r="D26" s="155">
        <v>3</v>
      </c>
      <c r="E26" s="124"/>
      <c r="F26" s="162" t="s">
        <v>106</v>
      </c>
      <c r="G26" s="156" cm="1">
        <f t="array" ref="G26">IFERROR(
ROUND(
IF($A$2="COSTO",
   (B26*(1+VLOOKUP($D$2,COLORES[],2,FALSE))
    *VLOOKUP("CORREDIZO",MARCOANCHO[],2,FALSE))
   *(1-IFERROR(_xlfn.XLOOKUP(1,(DESC_PROV[LINEA]=$B$2)*(DESC_PROV[LISTA]=$C$2),DESC_PROV[DESCUENTO]),0)),
   (B26*(1+VLOOKUP($D$2,COLORES[],2,FALSE))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286900</v>
      </c>
      <c r="H26" s="156" cm="1">
        <f t="array" ref="H26">IFERROR(
ROUND(
IF($A$2="COSTO",
   (C26*(1+VLOOKUP($D$2,COLORES[],2,FALSE))
    *VLOOKUP("ABRIR",MARCOANCHO[],2,FALSE))
   *(1-IFERROR(_xlfn.XLOOKUP(1,(DESC_PROV[LINEA]=$B$2)*(DESC_PROV[LISTA]=$C$2),DESC_PROV[DESCUENTO]),0)),
   (C26*(1+VLOOKUP($D$2,COLORES[],2,FALSE))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350350</v>
      </c>
      <c r="I26" s="155">
        <v>3</v>
      </c>
    </row>
    <row r="27" spans="1:9" ht="15" thickTop="1" thickBot="1">
      <c r="A27" s="162" t="s">
        <v>58</v>
      </c>
      <c r="B27" s="154">
        <v>105865</v>
      </c>
      <c r="C27" s="154">
        <v>117422</v>
      </c>
      <c r="D27" s="155">
        <v>2</v>
      </c>
      <c r="E27" s="124"/>
      <c r="F27" s="162" t="s">
        <v>58</v>
      </c>
      <c r="G27" s="156" cm="1">
        <f t="array" ref="G27">IFERROR(
ROUND(
IF($A$2="COSTO",
   (B27*(1+VLOOKUP($D$2,COLORES[],2,FALSE))
    *VLOOKUP("CORREDIZO",MARCOANCHO[],2,FALSE))
   *(1-IFERROR(_xlfn.XLOOKUP(1,(DESC_PROV[LINEA]=$B$2)*(DESC_PROV[LISTA]=$C$2),DESC_PROV[DESCUENTO]),0)),
   (B27*(1+VLOOKUP($D$2,COLORES[],2,FALSE))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131295</v>
      </c>
      <c r="H27" s="156" cm="1">
        <f t="array" ref="H27">IFERROR(
ROUND(
IF($A$2="COSTO",
   (C27*(1+VLOOKUP($D$2,COLORES[],2,FALSE))
    *VLOOKUP("ABRIR",MARCOANCHO[],2,FALSE))
   *(1-IFERROR(_xlfn.XLOOKUP(1,(DESC_PROV[LINEA]=$B$2)*(DESC_PROV[LISTA]=$C$2),DESC_PROV[DESCUENTO]),0)),
   (C27*(1+VLOOKUP($D$2,COLORES[],2,FALSE))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152910</v>
      </c>
      <c r="I27" s="155">
        <v>2</v>
      </c>
    </row>
    <row r="28" spans="1:9" ht="15" thickTop="1" thickBot="1">
      <c r="A28" s="162" t="s">
        <v>59</v>
      </c>
      <c r="B28" s="154">
        <v>126350</v>
      </c>
      <c r="C28" s="154">
        <v>140560</v>
      </c>
      <c r="D28" s="155">
        <v>2</v>
      </c>
      <c r="E28" s="124"/>
      <c r="F28" s="162" t="s">
        <v>59</v>
      </c>
      <c r="G28" s="156" cm="1">
        <f t="array" ref="G28">IFERROR(
ROUND(
IF($A$2="COSTO",
   (B28*(1+VLOOKUP($D$2,COLORES[],2,FALSE))
    *VLOOKUP("CORREDIZO",MARCOANCHO[],2,FALSE))
   *(1-IFERROR(_xlfn.XLOOKUP(1,(DESC_PROV[LINEA]=$B$2)*(DESC_PROV[LISTA]=$C$2),DESC_PROV[DESCUENTO]),0)),
   (B28*(1+VLOOKUP($D$2,COLORES[],2,FALSE))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156700</v>
      </c>
      <c r="H28" s="156" cm="1">
        <f t="array" ref="H28">IFERROR(
ROUND(
IF($A$2="COSTO",
   (C28*(1+VLOOKUP($D$2,COLORES[],2,FALSE))
    *VLOOKUP("ABRIR",MARCOANCHO[],2,FALSE))
   *(1-IFERROR(_xlfn.XLOOKUP(1,(DESC_PROV[LINEA]=$B$2)*(DESC_PROV[LISTA]=$C$2),DESC_PROV[DESCUENTO]),0)),
   (C28*(1+VLOOKUP($D$2,COLORES[],2,FALSE))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183040</v>
      </c>
      <c r="I28" s="155">
        <v>2</v>
      </c>
    </row>
    <row r="29" spans="1:9" ht="15" thickTop="1" thickBot="1">
      <c r="A29" s="162" t="s">
        <v>60</v>
      </c>
      <c r="B29" s="154">
        <v>158305</v>
      </c>
      <c r="C29" s="154">
        <v>184958</v>
      </c>
      <c r="D29" s="155">
        <v>3</v>
      </c>
      <c r="E29" s="124"/>
      <c r="F29" s="162" t="s">
        <v>60</v>
      </c>
      <c r="G29" s="156" cm="1">
        <f t="array" ref="G29">IFERROR(
ROUND(
IF($A$2="COSTO",
   (B29*(1+VLOOKUP($D$2,COLORES[],2,FALSE))
    *VLOOKUP("CORREDIZO",MARCOANCHO[],2,FALSE))
   *(1-IFERROR(_xlfn.XLOOKUP(1,(DESC_PROV[LINEA]=$B$2)*(DESC_PROV[LISTA]=$C$2),DESC_PROV[DESCUENTO]),0)),
   (B29*(1+VLOOKUP($D$2,COLORES[],2,FALSE))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196330</v>
      </c>
      <c r="H29" s="156" cm="1">
        <f t="array" ref="H29">IFERROR(
ROUND(
IF($A$2="COSTO",
   (C29*(1+VLOOKUP($D$2,COLORES[],2,FALSE))
    *VLOOKUP("ABRIR",MARCOANCHO[],2,FALSE))
   *(1-IFERROR(_xlfn.XLOOKUP(1,(DESC_PROV[LINEA]=$B$2)*(DESC_PROV[LISTA]=$C$2),DESC_PROV[DESCUENTO]),0)),
   (C29*(1+VLOOKUP($D$2,COLORES[],2,FALSE))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240855</v>
      </c>
      <c r="I29" s="155">
        <v>3</v>
      </c>
    </row>
    <row r="30" spans="1:9" ht="15" thickTop="1" thickBot="1">
      <c r="A30" s="162" t="s">
        <v>61</v>
      </c>
      <c r="B30" s="154">
        <v>189472</v>
      </c>
      <c r="C30" s="154">
        <v>221383</v>
      </c>
      <c r="D30" s="155">
        <v>3</v>
      </c>
      <c r="E30" s="124"/>
      <c r="F30" s="162" t="s">
        <v>61</v>
      </c>
      <c r="G30" s="156" cm="1">
        <f t="array" ref="G30">IFERROR(
ROUND(
IF($A$2="COSTO",
   (B30*(1+VLOOKUP($D$2,COLORES[],2,FALSE))
    *VLOOKUP("CORREDIZO",MARCOANCHO[],2,FALSE))
   *(1-IFERROR(_xlfn.XLOOKUP(1,(DESC_PROV[LINEA]=$B$2)*(DESC_PROV[LISTA]=$C$2),DESC_PROV[DESCUENTO]),0)),
   (B30*(1+VLOOKUP($D$2,COLORES[],2,FALSE))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234985</v>
      </c>
      <c r="H30" s="156" cm="1">
        <f t="array" ref="H30">IFERROR(
ROUND(
IF($A$2="COSTO",
   (C30*(1+VLOOKUP($D$2,COLORES[],2,FALSE))
    *VLOOKUP("ABRIR",MARCOANCHO[],2,FALSE))
   *(1-IFERROR(_xlfn.XLOOKUP(1,(DESC_PROV[LINEA]=$B$2)*(DESC_PROV[LISTA]=$C$2),DESC_PROV[DESCUENTO]),0)),
   (C30*(1+VLOOKUP($D$2,COLORES[],2,FALSE))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288285</v>
      </c>
      <c r="I30" s="155">
        <v>3</v>
      </c>
    </row>
    <row r="31" spans="1:9" ht="15" thickTop="1" thickBot="1">
      <c r="A31" s="162" t="s">
        <v>62</v>
      </c>
      <c r="B31" s="154">
        <v>211730</v>
      </c>
      <c r="C31" s="154">
        <v>246599</v>
      </c>
      <c r="D31" s="155">
        <v>3</v>
      </c>
      <c r="E31" s="124"/>
      <c r="F31" s="162" t="s">
        <v>62</v>
      </c>
      <c r="G31" s="156" cm="1">
        <f t="array" ref="G31">IFERROR(
ROUND(
IF($A$2="COSTO",
   (B31*(1+VLOOKUP($D$2,COLORES[],2,FALSE))
    *VLOOKUP("CORREDIZO",MARCOANCHO[],2,FALSE))
   *(1-IFERROR(_xlfn.XLOOKUP(1,(DESC_PROV[LINEA]=$B$2)*(DESC_PROV[LISTA]=$C$2),DESC_PROV[DESCUENTO]),0)),
   (B31*(1+VLOOKUP($D$2,COLORES[],2,FALSE))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262590</v>
      </c>
      <c r="H31" s="156" cm="1">
        <f t="array" ref="H31">IFERROR(
ROUND(
IF($A$2="COSTO",
   (C31*(1+VLOOKUP($D$2,COLORES[],2,FALSE))
    *VLOOKUP("ABRIR",MARCOANCHO[],2,FALSE))
   *(1-IFERROR(_xlfn.XLOOKUP(1,(DESC_PROV[LINEA]=$B$2)*(DESC_PROV[LISTA]=$C$2),DESC_PROV[DESCUENTO]),0)),
   (C31*(1+VLOOKUP($D$2,COLORES[],2,FALSE))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321125</v>
      </c>
      <c r="I31" s="155">
        <v>3</v>
      </c>
    </row>
    <row r="32" spans="1:9" ht="15" thickTop="1" thickBot="1">
      <c r="A32" s="162" t="s">
        <v>63</v>
      </c>
      <c r="B32" s="154">
        <v>232209</v>
      </c>
      <c r="C32" s="154">
        <v>270884</v>
      </c>
      <c r="D32" s="155">
        <v>3</v>
      </c>
      <c r="E32" s="124"/>
      <c r="F32" s="162" t="s">
        <v>63</v>
      </c>
      <c r="G32" s="156" cm="1">
        <f t="array" ref="G32">IFERROR(
ROUND(
IF($A$2="COSTO",
   (B32*(1+VLOOKUP($D$2,COLORES[],2,FALSE))
    *VLOOKUP("CORREDIZO",MARCOANCHO[],2,FALSE))
   *(1-IFERROR(_xlfn.XLOOKUP(1,(DESC_PROV[LINEA]=$B$2)*(DESC_PROV[LISTA]=$C$2),DESC_PROV[DESCUENTO]),0)),
   (B32*(1+VLOOKUP($D$2,COLORES[],2,FALSE))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287985</v>
      </c>
      <c r="H32" s="156" cm="1">
        <f t="array" ref="H32">IFERROR(
ROUND(
IF($A$2="COSTO",
   (C32*(1+VLOOKUP($D$2,COLORES[],2,FALSE))
    *VLOOKUP("ABRIR",MARCOANCHO[],2,FALSE))
   *(1-IFERROR(_xlfn.XLOOKUP(1,(DESC_PROV[LINEA]=$B$2)*(DESC_PROV[LISTA]=$C$2),DESC_PROV[DESCUENTO]),0)),
   (C32*(1+VLOOKUP($D$2,COLORES[],2,FALSE))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352750</v>
      </c>
      <c r="I32" s="155">
        <v>3</v>
      </c>
    </row>
    <row r="33" spans="1:9" ht="15" thickTop="1" thickBot="1">
      <c r="A33" s="162" t="s">
        <v>64</v>
      </c>
      <c r="B33" s="154">
        <v>252594</v>
      </c>
      <c r="C33" s="154">
        <v>294252</v>
      </c>
      <c r="D33" s="155">
        <v>3</v>
      </c>
      <c r="E33" s="124"/>
      <c r="F33" s="162" t="s">
        <v>64</v>
      </c>
      <c r="G33" s="156" cm="1">
        <f t="array" ref="G33">IFERROR(
ROUND(
IF($A$2="COSTO",
   (B33*(1+VLOOKUP($D$2,COLORES[],2,FALSE))
    *VLOOKUP("CORREDIZO",MARCOANCHO[],2,FALSE))
   *(1-IFERROR(_xlfn.XLOOKUP(1,(DESC_PROV[LINEA]=$B$2)*(DESC_PROV[LISTA]=$C$2),DESC_PROV[DESCUENTO]),0)),
   (B33*(1+VLOOKUP($D$2,COLORES[],2,FALSE))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313265</v>
      </c>
      <c r="H33" s="156" cm="1">
        <f t="array" ref="H33">IFERROR(
ROUND(
IF($A$2="COSTO",
   (C33*(1+VLOOKUP($D$2,COLORES[],2,FALSE))
    *VLOOKUP("ABRIR",MARCOANCHO[],2,FALSE))
   *(1-IFERROR(_xlfn.XLOOKUP(1,(DESC_PROV[LINEA]=$B$2)*(DESC_PROV[LISTA]=$C$2),DESC_PROV[DESCUENTO]),0)),
   (C33*(1+VLOOKUP($D$2,COLORES[],2,FALSE))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383180</v>
      </c>
      <c r="I33" s="155">
        <v>3</v>
      </c>
    </row>
    <row r="34" spans="1:9" ht="15" thickTop="1" thickBot="1">
      <c r="A34" s="162" t="s">
        <v>107</v>
      </c>
      <c r="B34" s="154">
        <v>125469</v>
      </c>
      <c r="C34" s="154">
        <v>138799</v>
      </c>
      <c r="D34" s="155">
        <v>2</v>
      </c>
      <c r="E34" s="124"/>
      <c r="F34" s="162" t="s">
        <v>107</v>
      </c>
      <c r="G34" s="156" cm="1">
        <f t="array" ref="G34">IFERROR(
ROUND(
IF($A$2="COSTO",
   (B34*(1+VLOOKUP($D$2,COLORES[],2,FALSE))
    *VLOOKUP("CORREDIZO",MARCOANCHO[],2,FALSE))
   *(1-IFERROR(_xlfn.XLOOKUP(1,(DESC_PROV[LINEA]=$B$2)*(DESC_PROV[LISTA]=$C$2),DESC_PROV[DESCUENTO]),0)),
   (B34*(1+VLOOKUP($D$2,COLORES[],2,FALSE))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155605</v>
      </c>
      <c r="H34" s="156" cm="1">
        <f t="array" ref="H34">IFERROR(
ROUND(
IF($A$2="COSTO",
   (C34*(1+VLOOKUP($D$2,COLORES[],2,FALSE))
    *VLOOKUP("ABRIR",MARCOANCHO[],2,FALSE))
   *(1-IFERROR(_xlfn.XLOOKUP(1,(DESC_PROV[LINEA]=$B$2)*(DESC_PROV[LISTA]=$C$2),DESC_PROV[DESCUENTO]),0)),
   (C34*(1+VLOOKUP($D$2,COLORES[],2,FALSE))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180745</v>
      </c>
      <c r="I34" s="155">
        <v>2</v>
      </c>
    </row>
    <row r="35" spans="1:9" ht="15" thickTop="1" thickBot="1">
      <c r="A35" s="162" t="s">
        <v>108</v>
      </c>
      <c r="B35" s="154">
        <v>134980</v>
      </c>
      <c r="C35" s="154">
        <v>153016</v>
      </c>
      <c r="D35" s="155">
        <v>2</v>
      </c>
      <c r="E35" s="124"/>
      <c r="F35" s="162" t="s">
        <v>108</v>
      </c>
      <c r="G35" s="156" cm="1">
        <f t="array" ref="G35">IFERROR(
ROUND(
IF($A$2="COSTO",
   (B35*(1+VLOOKUP($D$2,COLORES[],2,FALSE))
    *VLOOKUP("CORREDIZO",MARCOANCHO[],2,FALSE))
   *(1-IFERROR(_xlfn.XLOOKUP(1,(DESC_PROV[LINEA]=$B$2)*(DESC_PROV[LISTA]=$C$2),DESC_PROV[DESCUENTO]),0)),
   (B35*(1+VLOOKUP($D$2,COLORES[],2,FALSE))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167400</v>
      </c>
      <c r="H35" s="156" cm="1">
        <f t="array" ref="H35">IFERROR(
ROUND(
IF($A$2="COSTO",
   (C35*(1+VLOOKUP($D$2,COLORES[],2,FALSE))
    *VLOOKUP("ABRIR",MARCOANCHO[],2,FALSE))
   *(1-IFERROR(_xlfn.XLOOKUP(1,(DESC_PROV[LINEA]=$B$2)*(DESC_PROV[LISTA]=$C$2),DESC_PROV[DESCUENTO]),0)),
   (C35*(1+VLOOKUP($D$2,COLORES[],2,FALSE))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199260</v>
      </c>
      <c r="I35" s="155">
        <v>2</v>
      </c>
    </row>
    <row r="36" spans="1:9" ht="15" thickTop="1" thickBot="1">
      <c r="A36" s="162" t="s">
        <v>109</v>
      </c>
      <c r="B36" s="154">
        <v>173501</v>
      </c>
      <c r="C36" s="154">
        <v>201723</v>
      </c>
      <c r="D36" s="155">
        <v>3</v>
      </c>
      <c r="E36" s="124"/>
      <c r="F36" s="162" t="s">
        <v>109</v>
      </c>
      <c r="G36" s="156" cm="1">
        <f t="array" ref="G36">IFERROR(
ROUND(
IF($A$2="COSTO",
   (B36*(1+VLOOKUP($D$2,COLORES[],2,FALSE))
    *VLOOKUP("CORREDIZO",MARCOANCHO[],2,FALSE))
   *(1-IFERROR(_xlfn.XLOOKUP(1,(DESC_PROV[LINEA]=$B$2)*(DESC_PROV[LISTA]=$C$2),DESC_PROV[DESCUENTO]),0)),
   (B36*(1+VLOOKUP($D$2,COLORES[],2,FALSE))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215175</v>
      </c>
      <c r="H36" s="156" cm="1">
        <f t="array" ref="H36">IFERROR(
ROUND(
IF($A$2="COSTO",
   (C36*(1+VLOOKUP($D$2,COLORES[],2,FALSE))
    *VLOOKUP("ABRIR",MARCOANCHO[],2,FALSE))
   *(1-IFERROR(_xlfn.XLOOKUP(1,(DESC_PROV[LINEA]=$B$2)*(DESC_PROV[LISTA]=$C$2),DESC_PROV[DESCUENTO]),0)),
   (C36*(1+VLOOKUP($D$2,COLORES[],2,FALSE))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262685</v>
      </c>
      <c r="I36" s="155">
        <v>3</v>
      </c>
    </row>
    <row r="37" spans="1:9" ht="15" thickTop="1" thickBot="1">
      <c r="A37" s="162" t="s">
        <v>110</v>
      </c>
      <c r="B37" s="154">
        <v>207316</v>
      </c>
      <c r="C37" s="154">
        <v>241967</v>
      </c>
      <c r="D37" s="155">
        <v>3</v>
      </c>
      <c r="E37" s="124"/>
      <c r="F37" s="162" t="s">
        <v>110</v>
      </c>
      <c r="G37" s="156" cm="1">
        <f t="array" ref="G37">IFERROR(
ROUND(
IF($A$2="COSTO",
   (B37*(1+VLOOKUP($D$2,COLORES[],2,FALSE))
    *VLOOKUP("CORREDIZO",MARCOANCHO[],2,FALSE))
   *(1-IFERROR(_xlfn.XLOOKUP(1,(DESC_PROV[LINEA]=$B$2)*(DESC_PROV[LISTA]=$C$2),DESC_PROV[DESCUENTO]),0)),
   (B37*(1+VLOOKUP($D$2,COLORES[],2,FALSE))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257115</v>
      </c>
      <c r="H37" s="156" cm="1">
        <f t="array" ref="H37">IFERROR(
ROUND(
IF($A$2="COSTO",
   (C37*(1+VLOOKUP($D$2,COLORES[],2,FALSE))
    *VLOOKUP("ABRIR",MARCOANCHO[],2,FALSE))
   *(1-IFERROR(_xlfn.XLOOKUP(1,(DESC_PROV[LINEA]=$B$2)*(DESC_PROV[LISTA]=$C$2),DESC_PROV[DESCUENTO]),0)),
   (C37*(1+VLOOKUP($D$2,COLORES[],2,FALSE))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315090</v>
      </c>
      <c r="I37" s="155">
        <v>3</v>
      </c>
    </row>
    <row r="38" spans="1:9" ht="15" thickTop="1" thickBot="1">
      <c r="A38" s="162" t="s">
        <v>111</v>
      </c>
      <c r="B38" s="154">
        <v>209808</v>
      </c>
      <c r="C38" s="154">
        <v>269043</v>
      </c>
      <c r="D38" s="155">
        <v>3</v>
      </c>
      <c r="E38" s="124"/>
      <c r="F38" s="162" t="s">
        <v>111</v>
      </c>
      <c r="G38" s="156" cm="1">
        <f t="array" ref="G38">IFERROR(
ROUND(
IF($A$2="COSTO",
   (B38*(1+VLOOKUP($D$2,COLORES[],2,FALSE))
    *VLOOKUP("CORREDIZO",MARCOANCHO[],2,FALSE))
   *(1-IFERROR(_xlfn.XLOOKUP(1,(DESC_PROV[LINEA]=$B$2)*(DESC_PROV[LISTA]=$C$2),DESC_PROV[DESCUENTO]),0)),
   (B38*(1+VLOOKUP($D$2,COLORES[],2,FALSE))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260205</v>
      </c>
      <c r="H38" s="156" cm="1">
        <f t="array" ref="H38">IFERROR(
ROUND(
IF($A$2="COSTO",
   (C38*(1+VLOOKUP($D$2,COLORES[],2,FALSE))
    *VLOOKUP("ABRIR",MARCOANCHO[],2,FALSE))
   *(1-IFERROR(_xlfn.XLOOKUP(1,(DESC_PROV[LINEA]=$B$2)*(DESC_PROV[LISTA]=$C$2),DESC_PROV[DESCUENTO]),0)),
   (C38*(1+VLOOKUP($D$2,COLORES[],2,FALSE))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350350</v>
      </c>
      <c r="I38" s="155">
        <v>3</v>
      </c>
    </row>
    <row r="39" spans="1:9" ht="15" thickTop="1" thickBot="1">
      <c r="A39" s="162" t="s">
        <v>112</v>
      </c>
      <c r="B39" s="154">
        <v>253487</v>
      </c>
      <c r="C39" s="154">
        <v>295188</v>
      </c>
      <c r="D39" s="155">
        <v>3</v>
      </c>
      <c r="E39" s="124"/>
      <c r="F39" s="162" t="s">
        <v>112</v>
      </c>
      <c r="G39" s="156" cm="1">
        <f t="array" ref="G39">IFERROR(
ROUND(
IF($A$2="COSTO",
   (B39*(1+VLOOKUP($D$2,COLORES[],2,FALSE))
    *VLOOKUP("CORREDIZO",MARCOANCHO[],2,FALSE))
   *(1-IFERROR(_xlfn.XLOOKUP(1,(DESC_PROV[LINEA]=$B$2)*(DESC_PROV[LISTA]=$C$2),DESC_PROV[DESCUENTO]),0)),
   (B39*(1+VLOOKUP($D$2,COLORES[],2,FALSE))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314375</v>
      </c>
      <c r="H39" s="156" cm="1">
        <f t="array" ref="H39">IFERROR(
ROUND(
IF($A$2="COSTO",
   (C39*(1+VLOOKUP($D$2,COLORES[],2,FALSE))
    *VLOOKUP("ABRIR",MARCOANCHO[],2,FALSE))
   *(1-IFERROR(_xlfn.XLOOKUP(1,(DESC_PROV[LINEA]=$B$2)*(DESC_PROV[LISTA]=$C$2),DESC_PROV[DESCUENTO]),0)),
   (C39*(1+VLOOKUP($D$2,COLORES[],2,FALSE))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384395</v>
      </c>
      <c r="I39" s="155">
        <v>3</v>
      </c>
    </row>
    <row r="40" spans="1:9" ht="15" thickTop="1" thickBot="1">
      <c r="A40" s="162" t="s">
        <v>113</v>
      </c>
      <c r="B40" s="154">
        <v>267139</v>
      </c>
      <c r="C40" s="154">
        <v>322245</v>
      </c>
      <c r="D40" s="155">
        <v>3</v>
      </c>
      <c r="E40" s="124"/>
      <c r="F40" s="162" t="s">
        <v>113</v>
      </c>
      <c r="G40" s="156" cm="1">
        <f t="array" ref="G40">IFERROR(
ROUND(
IF($A$2="COSTO",
   (B40*(1+VLOOKUP($D$2,COLORES[],2,FALSE))
    *VLOOKUP("CORREDIZO",MARCOANCHO[],2,FALSE))
   *(1-IFERROR(_xlfn.XLOOKUP(1,(DESC_PROV[LINEA]=$B$2)*(DESC_PROV[LISTA]=$C$2),DESC_PROV[DESCUENTO]),0)),
   (B40*(1+VLOOKUP($D$2,COLORES[],2,FALSE))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331305</v>
      </c>
      <c r="H40" s="156" cm="1">
        <f t="array" ref="H40">IFERROR(
ROUND(
IF($A$2="COSTO",
   (C40*(1+VLOOKUP($D$2,COLORES[],2,FALSE))
    *VLOOKUP("ABRIR",MARCOANCHO[],2,FALSE))
   *(1-IFERROR(_xlfn.XLOOKUP(1,(DESC_PROV[LINEA]=$B$2)*(DESC_PROV[LISTA]=$C$2),DESC_PROV[DESCUENTO]),0)),
   (C40*(1+VLOOKUP($D$2,COLORES[],2,FALSE))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419630</v>
      </c>
      <c r="I40" s="155">
        <v>3</v>
      </c>
    </row>
    <row r="41" spans="1:9" ht="15" thickTop="1" thickBot="1">
      <c r="A41" s="162" t="s">
        <v>114</v>
      </c>
      <c r="B41" s="154">
        <v>149482</v>
      </c>
      <c r="C41" s="154">
        <v>166352</v>
      </c>
      <c r="D41" s="155">
        <v>2</v>
      </c>
      <c r="E41" s="124"/>
      <c r="F41" s="162" t="s">
        <v>114</v>
      </c>
      <c r="G41" s="156" cm="1">
        <f t="array" ref="G41">IFERROR(
ROUND(
IF($A$2="COSTO",
   (B41*(1+VLOOKUP($D$2,COLORES[],2,FALSE))
    *VLOOKUP("CORREDIZO",MARCOANCHO[],2,FALSE))
   *(1-IFERROR(_xlfn.XLOOKUP(1,(DESC_PROV[LINEA]=$B$2)*(DESC_PROV[LISTA]=$C$2),DESC_PROV[DESCUENTO]),0)),
   (B41*(1+VLOOKUP($D$2,COLORES[],2,FALSE))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185390</v>
      </c>
      <c r="H41" s="156" cm="1">
        <f t="array" ref="H41">IFERROR(
ROUND(
IF($A$2="COSTO",
   (C41*(1+VLOOKUP($D$2,COLORES[],2,FALSE))
    *VLOOKUP("ABRIR",MARCOANCHO[],2,FALSE))
   *(1-IFERROR(_xlfn.XLOOKUP(1,(DESC_PROV[LINEA]=$B$2)*(DESC_PROV[LISTA]=$C$2),DESC_PROV[DESCUENTO]),0)),
   (C41*(1+VLOOKUP($D$2,COLORES[],2,FALSE))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216625</v>
      </c>
      <c r="I41" s="155">
        <v>2</v>
      </c>
    </row>
    <row r="42" spans="1:9" ht="15" thickTop="1" thickBot="1">
      <c r="A42" s="162" t="s">
        <v>71</v>
      </c>
      <c r="B42" s="154">
        <v>180563</v>
      </c>
      <c r="C42" s="154">
        <v>200167</v>
      </c>
      <c r="D42" s="155">
        <v>2</v>
      </c>
      <c r="E42" s="124"/>
      <c r="F42" s="162" t="s">
        <v>71</v>
      </c>
      <c r="G42" s="156" cm="1">
        <f t="array" ref="G42">IFERROR(
ROUND(
IF($A$2="COSTO",
   (B42*(1+VLOOKUP($D$2,COLORES[],2,FALSE))
    *VLOOKUP("CORREDIZO",MARCOANCHO[],2,FALSE))
   *(1-IFERROR(_xlfn.XLOOKUP(1,(DESC_PROV[LINEA]=$B$2)*(DESC_PROV[LISTA]=$C$2),DESC_PROV[DESCUENTO]),0)),
   (B42*(1+VLOOKUP($D$2,COLORES[],2,FALSE))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223935</v>
      </c>
      <c r="H42" s="156" cm="1">
        <f t="array" ref="H42">IFERROR(
ROUND(
IF($A$2="COSTO",
   (C42*(1+VLOOKUP($D$2,COLORES[],2,FALSE))
    *VLOOKUP("ABRIR",MARCOANCHO[],2,FALSE))
   *(1-IFERROR(_xlfn.XLOOKUP(1,(DESC_PROV[LINEA]=$B$2)*(DESC_PROV[LISTA]=$C$2),DESC_PROV[DESCUENTO]),0)),
   (C42*(1+VLOOKUP($D$2,COLORES[],2,FALSE))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260660</v>
      </c>
      <c r="I42" s="155">
        <v>2</v>
      </c>
    </row>
    <row r="43" spans="1:9" ht="15" thickTop="1" thickBot="1">
      <c r="A43" s="162" t="s">
        <v>72</v>
      </c>
      <c r="B43" s="154">
        <v>209076</v>
      </c>
      <c r="C43" s="154">
        <v>248254</v>
      </c>
      <c r="D43" s="155">
        <v>3</v>
      </c>
      <c r="E43" s="124"/>
      <c r="F43" s="162" t="s">
        <v>72</v>
      </c>
      <c r="G43" s="156" cm="1">
        <f t="array" ref="G43">IFERROR(
ROUND(
IF($A$2="COSTO",
   (B43*(1+VLOOKUP($D$2,COLORES[],2,FALSE))
    *VLOOKUP("CORREDIZO",MARCOANCHO[],2,FALSE))
   *(1-IFERROR(_xlfn.XLOOKUP(1,(DESC_PROV[LINEA]=$B$2)*(DESC_PROV[LISTA]=$C$2),DESC_PROV[DESCUENTO]),0)),
   (B43*(1+VLOOKUP($D$2,COLORES[],2,FALSE))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259295</v>
      </c>
      <c r="H43" s="156" cm="1">
        <f t="array" ref="H43">IFERROR(
ROUND(
IF($A$2="COSTO",
   (C43*(1+VLOOKUP($D$2,COLORES[],2,FALSE))
    *VLOOKUP("ABRIR",MARCOANCHO[],2,FALSE))
   *(1-IFERROR(_xlfn.XLOOKUP(1,(DESC_PROV[LINEA]=$B$2)*(DESC_PROV[LISTA]=$C$2),DESC_PROV[DESCUENTO]),0)),
   (C43*(1+VLOOKUP($D$2,COLORES[],2,FALSE))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323280</v>
      </c>
      <c r="I43" s="155">
        <v>3</v>
      </c>
    </row>
    <row r="44" spans="1:9" ht="15" thickTop="1" thickBot="1">
      <c r="A44" s="162" t="s">
        <v>73</v>
      </c>
      <c r="B44" s="154">
        <v>221204</v>
      </c>
      <c r="C44" s="154">
        <v>261528</v>
      </c>
      <c r="D44" s="155">
        <v>3</v>
      </c>
      <c r="E44" s="124"/>
      <c r="F44" s="162" t="s">
        <v>73</v>
      </c>
      <c r="G44" s="156" cm="1">
        <f t="array" ref="G44">IFERROR(
ROUND(
IF($A$2="COSTO",
   (B44*(1+VLOOKUP($D$2,COLORES[],2,FALSE))
    *VLOOKUP("CORREDIZO",MARCOANCHO[],2,FALSE))
   *(1-IFERROR(_xlfn.XLOOKUP(1,(DESC_PROV[LINEA]=$B$2)*(DESC_PROV[LISTA]=$C$2),DESC_PROV[DESCUENTO]),0)),
   (B44*(1+VLOOKUP($D$2,COLORES[],2,FALSE))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274335</v>
      </c>
      <c r="H44" s="156" cm="1">
        <f t="array" ref="H44">IFERROR(
ROUND(
IF($A$2="COSTO",
   (C44*(1+VLOOKUP($D$2,COLORES[],2,FALSE))
    *VLOOKUP("ABRIR",MARCOANCHO[],2,FALSE))
   *(1-IFERROR(_xlfn.XLOOKUP(1,(DESC_PROV[LINEA]=$B$2)*(DESC_PROV[LISTA]=$C$2),DESC_PROV[DESCUENTO]),0)),
   (C44*(1+VLOOKUP($D$2,COLORES[],2,FALSE))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340565</v>
      </c>
      <c r="I44" s="155">
        <v>3</v>
      </c>
    </row>
    <row r="45" spans="1:9" ht="15" thickTop="1" thickBot="1">
      <c r="A45" s="162" t="s">
        <v>74</v>
      </c>
      <c r="B45" s="154">
        <v>243325</v>
      </c>
      <c r="C45" s="154">
        <v>280259</v>
      </c>
      <c r="D45" s="155">
        <v>3</v>
      </c>
      <c r="E45" s="124"/>
      <c r="F45" s="162" t="s">
        <v>74</v>
      </c>
      <c r="G45" s="156" cm="1">
        <f t="array" ref="G45">IFERROR(
ROUND(
IF($A$2="COSTO",
   (B45*(1+VLOOKUP($D$2,COLORES[],2,FALSE))
    *VLOOKUP("CORREDIZO",MARCOANCHO[],2,FALSE))
   *(1-IFERROR(_xlfn.XLOOKUP(1,(DESC_PROV[LINEA]=$B$2)*(DESC_PROV[LISTA]=$C$2),DESC_PROV[DESCUENTO]),0)),
   (B45*(1+VLOOKUP($D$2,COLORES[],2,FALSE))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301770</v>
      </c>
      <c r="H45" s="156" cm="1">
        <f t="array" ref="H45">IFERROR(
ROUND(
IF($A$2="COSTO",
   (C45*(1+VLOOKUP($D$2,COLORES[],2,FALSE))
    *VLOOKUP("ABRIR",MARCOANCHO[],2,FALSE))
   *(1-IFERROR(_xlfn.XLOOKUP(1,(DESC_PROV[LINEA]=$B$2)*(DESC_PROV[LISTA]=$C$2),DESC_PROV[DESCUENTO]),0)),
   (C45*(1+VLOOKUP($D$2,COLORES[],2,FALSE))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364955</v>
      </c>
      <c r="I45" s="155">
        <v>3</v>
      </c>
    </row>
    <row r="46" spans="1:9" ht="15" thickTop="1" thickBot="1">
      <c r="A46" s="162" t="s">
        <v>75</v>
      </c>
      <c r="B46" s="154">
        <v>267666</v>
      </c>
      <c r="C46" s="154">
        <v>308252</v>
      </c>
      <c r="D46" s="155">
        <v>3</v>
      </c>
      <c r="E46" s="124"/>
      <c r="F46" s="162" t="s">
        <v>75</v>
      </c>
      <c r="G46" s="156" cm="1">
        <f t="array" ref="G46">IFERROR(
ROUND(
IF($A$2="COSTO",
   (B46*(1+VLOOKUP($D$2,COLORES[],2,FALSE))
    *VLOOKUP("CORREDIZO",MARCOANCHO[],2,FALSE))
   *(1-IFERROR(_xlfn.XLOOKUP(1,(DESC_PROV[LINEA]=$B$2)*(DESC_PROV[LISTA]=$C$2),DESC_PROV[DESCUENTO]),0)),
   (B46*(1+VLOOKUP($D$2,COLORES[],2,FALSE))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331960</v>
      </c>
      <c r="H46" s="156" cm="1">
        <f t="array" ref="H46">IFERROR(
ROUND(
IF($A$2="COSTO",
   (C46*(1+VLOOKUP($D$2,COLORES[],2,FALSE))
    *VLOOKUP("ABRIR",MARCOANCHO[],2,FALSE))
   *(1-IFERROR(_xlfn.XLOOKUP(1,(DESC_PROV[LINEA]=$B$2)*(DESC_PROV[LISTA]=$C$2),DESC_PROV[DESCUENTO]),0)),
   (C46*(1+VLOOKUP($D$2,COLORES[],2,FALSE))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401410</v>
      </c>
      <c r="I46" s="155">
        <v>3</v>
      </c>
    </row>
    <row r="47" spans="1:9" ht="15" thickTop="1" thickBot="1">
      <c r="A47" s="162" t="s">
        <v>76</v>
      </c>
      <c r="B47" s="154">
        <v>288288</v>
      </c>
      <c r="C47" s="154">
        <v>336245</v>
      </c>
      <c r="D47" s="155">
        <v>3</v>
      </c>
      <c r="E47" s="124"/>
      <c r="F47" s="162" t="s">
        <v>76</v>
      </c>
      <c r="G47" s="156" cm="1">
        <f t="array" ref="G47">IFERROR(
ROUND(
IF($A$2="COSTO",
   (B47*(1+VLOOKUP($D$2,COLORES[],2,FALSE))
    *VLOOKUP("CORREDIZO",MARCOANCHO[],2,FALSE))
   *(1-IFERROR(_xlfn.XLOOKUP(1,(DESC_PROV[LINEA]=$B$2)*(DESC_PROV[LISTA]=$C$2),DESC_PROV[DESCUENTO]),0)),
   (B47*(1+VLOOKUP($D$2,COLORES[],2,FALSE))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357535</v>
      </c>
      <c r="H47" s="156" cm="1">
        <f t="array" ref="H47">IFERROR(
ROUND(
IF($A$2="COSTO",
   (C47*(1+VLOOKUP($D$2,COLORES[],2,FALSE))
    *VLOOKUP("ABRIR",MARCOANCHO[],2,FALSE))
   *(1-IFERROR(_xlfn.XLOOKUP(1,(DESC_PROV[LINEA]=$B$2)*(DESC_PROV[LISTA]=$C$2),DESC_PROV[DESCUENTO]),0)),
   (C47*(1+VLOOKUP($D$2,COLORES[],2,FALSE))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437860</v>
      </c>
      <c r="I47" s="155">
        <v>3</v>
      </c>
    </row>
    <row r="48" spans="1:9" ht="15" thickTop="1" thickBot="1">
      <c r="A48" s="162" t="s">
        <v>17</v>
      </c>
      <c r="B48" s="154">
        <v>192126</v>
      </c>
      <c r="C48" s="154">
        <v>224167</v>
      </c>
      <c r="D48" s="155">
        <v>2</v>
      </c>
      <c r="E48" s="124"/>
      <c r="F48" s="162" t="s">
        <v>17</v>
      </c>
      <c r="G48" s="156" cm="1">
        <f t="array" ref="G48">IFERROR(
ROUND(
IF($A$2="COSTO",
   (B48*(1+VLOOKUP($D$2,COLORES[],2,FALSE))
    *VLOOKUP("CORREDIZO",MARCOANCHO[],2,FALSE))
   *(1-IFERROR(_xlfn.XLOOKUP(1,(DESC_PROV[LINEA]=$B$2)*(DESC_PROV[LISTA]=$C$2),DESC_PROV[DESCUENTO]),0)),
   (B48*(1+VLOOKUP($D$2,COLORES[],2,FALSE))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238275</v>
      </c>
      <c r="H48" s="156" cm="1">
        <f t="array" ref="H48">IFERROR(
ROUND(
IF($A$2="COSTO",
   (C48*(1+VLOOKUP($D$2,COLORES[],2,FALSE))
    *VLOOKUP("ABRIR",MARCOANCHO[],2,FALSE))
   *(1-IFERROR(_xlfn.XLOOKUP(1,(DESC_PROV[LINEA]=$B$2)*(DESC_PROV[LISTA]=$C$2),DESC_PROV[DESCUENTO]),0)),
   (C48*(1+VLOOKUP($D$2,COLORES[],2,FALSE))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291915</v>
      </c>
      <c r="I48" s="155">
        <v>2</v>
      </c>
    </row>
    <row r="49" spans="1:9" ht="15" thickTop="1" thickBot="1">
      <c r="A49" s="162" t="s">
        <v>83</v>
      </c>
      <c r="B49" s="154">
        <v>230355</v>
      </c>
      <c r="C49" s="154">
        <v>231334</v>
      </c>
      <c r="D49" s="155">
        <v>2</v>
      </c>
      <c r="E49" s="124"/>
      <c r="F49" s="162" t="s">
        <v>83</v>
      </c>
      <c r="G49" s="156" cm="1">
        <f t="array" ref="G49">IFERROR(
ROUND(
IF($A$2="COSTO",
   (B49*(1+VLOOKUP($D$2,COLORES[],2,FALSE))
    *VLOOKUP("CORREDIZO",MARCOANCHO[],2,FALSE))
   *(1-IFERROR(_xlfn.XLOOKUP(1,(DESC_PROV[LINEA]=$B$2)*(DESC_PROV[LISTA]=$C$2),DESC_PROV[DESCUENTO]),0)),
   (B49*(1+VLOOKUP($D$2,COLORES[],2,FALSE))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285685</v>
      </c>
      <c r="H49" s="156" cm="1">
        <f t="array" ref="H49">IFERROR(
ROUND(
IF($A$2="COSTO",
   (C49*(1+VLOOKUP($D$2,COLORES[],2,FALSE))
    *VLOOKUP("ABRIR",MARCOANCHO[],2,FALSE))
   *(1-IFERROR(_xlfn.XLOOKUP(1,(DESC_PROV[LINEA]=$B$2)*(DESC_PROV[LISTA]=$C$2),DESC_PROV[DESCUENTO]),0)),
   (C49*(1+VLOOKUP($D$2,COLORES[],2,FALSE))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301245</v>
      </c>
      <c r="I49" s="155">
        <v>2</v>
      </c>
    </row>
    <row r="50" spans="1:9" ht="15" thickTop="1" thickBot="1">
      <c r="A50" s="162" t="s">
        <v>84</v>
      </c>
      <c r="B50" s="154">
        <v>259371</v>
      </c>
      <c r="C50" s="154">
        <v>307328</v>
      </c>
      <c r="D50" s="155">
        <v>3</v>
      </c>
      <c r="E50" s="124"/>
      <c r="F50" s="162" t="s">
        <v>84</v>
      </c>
      <c r="G50" s="156" cm="1">
        <f t="array" ref="G50">IFERROR(
ROUND(
IF($A$2="COSTO",
   (B50*(1+VLOOKUP($D$2,COLORES[],2,FALSE))
    *VLOOKUP("CORREDIZO",MARCOANCHO[],2,FALSE))
   *(1-IFERROR(_xlfn.XLOOKUP(1,(DESC_PROV[LINEA]=$B$2)*(DESC_PROV[LISTA]=$C$2),DESC_PROV[DESCUENTO]),0)),
   (B50*(1+VLOOKUP($D$2,COLORES[],2,FALSE))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321670</v>
      </c>
      <c r="H50" s="156" cm="1">
        <f t="array" ref="H50">IFERROR(
ROUND(
IF($A$2="COSTO",
   (C50*(1+VLOOKUP($D$2,COLORES[],2,FALSE))
    *VLOOKUP("ABRIR",MARCOANCHO[],2,FALSE))
   *(1-IFERROR(_xlfn.XLOOKUP(1,(DESC_PROV[LINEA]=$B$2)*(DESC_PROV[LISTA]=$C$2),DESC_PROV[DESCUENTO]),0)),
   (C50*(1+VLOOKUP($D$2,COLORES[],2,FALSE))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400205</v>
      </c>
      <c r="I50" s="155">
        <v>3</v>
      </c>
    </row>
    <row r="51" spans="1:9" ht="15" thickTop="1" thickBot="1">
      <c r="A51" s="162" t="s">
        <v>85</v>
      </c>
      <c r="B51" s="154">
        <v>276625</v>
      </c>
      <c r="C51" s="154">
        <v>320304</v>
      </c>
      <c r="D51" s="155">
        <v>3</v>
      </c>
      <c r="E51" s="124"/>
      <c r="F51" s="162" t="s">
        <v>85</v>
      </c>
      <c r="G51" s="156" cm="1">
        <f t="array" ref="G51">IFERROR(
ROUND(
IF($A$2="COSTO",
   (B51*(1+VLOOKUP($D$2,COLORES[],2,FALSE))
    *VLOOKUP("CORREDIZO",MARCOANCHO[],2,FALSE))
   *(1-IFERROR(_xlfn.XLOOKUP(1,(DESC_PROV[LINEA]=$B$2)*(DESC_PROV[LISTA]=$C$2),DESC_PROV[DESCUENTO]),0)),
   (B51*(1+VLOOKUP($D$2,COLORES[],2,FALSE))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343070</v>
      </c>
      <c r="H51" s="156" cm="1">
        <f t="array" ref="H51">IFERROR(
ROUND(
IF($A$2="COSTO",
   (C51*(1+VLOOKUP($D$2,COLORES[],2,FALSE))
    *VLOOKUP("ABRIR",MARCOANCHO[],2,FALSE))
   *(1-IFERROR(_xlfn.XLOOKUP(1,(DESC_PROV[LINEA]=$B$2)*(DESC_PROV[LISTA]=$C$2),DESC_PROV[DESCUENTO]),0)),
   (C51*(1+VLOOKUP($D$2,COLORES[],2,FALSE))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417105</v>
      </c>
      <c r="I51" s="155">
        <v>3</v>
      </c>
    </row>
    <row r="52" spans="1:9" ht="15" thickTop="1" thickBot="1">
      <c r="A52" s="162" t="s">
        <v>86</v>
      </c>
      <c r="B52" s="154">
        <v>292305</v>
      </c>
      <c r="C52" s="154">
        <v>340988</v>
      </c>
      <c r="D52" s="155">
        <v>3</v>
      </c>
      <c r="E52" s="124"/>
      <c r="F52" s="162" t="s">
        <v>86</v>
      </c>
      <c r="G52" s="156" cm="1">
        <f t="array" ref="G52">IFERROR(
ROUND(
IF($A$2="COSTO",
   (B52*(1+VLOOKUP($D$2,COLORES[],2,FALSE))
    *VLOOKUP("CORREDIZO",MARCOANCHO[],2,FALSE))
   *(1-IFERROR(_xlfn.XLOOKUP(1,(DESC_PROV[LINEA]=$B$2)*(DESC_PROV[LISTA]=$C$2),DESC_PROV[DESCUENTO]),0)),
   (B52*(1+VLOOKUP($D$2,COLORES[],2,FALSE))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362515</v>
      </c>
      <c r="H52" s="156" cm="1">
        <f t="array" ref="H52">IFERROR(
ROUND(
IF($A$2="COSTO",
   (C52*(1+VLOOKUP($D$2,COLORES[],2,FALSE))
    *VLOOKUP("ABRIR",MARCOANCHO[],2,FALSE))
   *(1-IFERROR(_xlfn.XLOOKUP(1,(DESC_PROV[LINEA]=$B$2)*(DESC_PROV[LISTA]=$C$2),DESC_PROV[DESCUENTO]),0)),
   (C52*(1+VLOOKUP($D$2,COLORES[],2,FALSE))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444040</v>
      </c>
      <c r="I52" s="155">
        <v>3</v>
      </c>
    </row>
    <row r="53" spans="1:9" ht="15" thickTop="1" thickBot="1">
      <c r="A53" s="162" t="s">
        <v>87</v>
      </c>
      <c r="B53" s="154">
        <v>320242</v>
      </c>
      <c r="C53" s="154">
        <v>373538</v>
      </c>
      <c r="D53" s="155">
        <v>3</v>
      </c>
      <c r="E53" s="124"/>
      <c r="F53" s="162" t="s">
        <v>87</v>
      </c>
      <c r="G53" s="156" cm="1">
        <f t="array" ref="G53">IFERROR(
ROUND(
IF($A$2="COSTO",
   (B53*(1+VLOOKUP($D$2,COLORES[],2,FALSE))
    *VLOOKUP("CORREDIZO",MARCOANCHO[],2,FALSE))
   *(1-IFERROR(_xlfn.XLOOKUP(1,(DESC_PROV[LINEA]=$B$2)*(DESC_PROV[LISTA]=$C$2),DESC_PROV[DESCUENTO]),0)),
   (B53*(1+VLOOKUP($D$2,COLORES[],2,FALSE))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397165</v>
      </c>
      <c r="H53" s="156" cm="1">
        <f t="array" ref="H53">IFERROR(
ROUND(
IF($A$2="COSTO",
   (C53*(1+VLOOKUP($D$2,COLORES[],2,FALSE))
    *VLOOKUP("ABRIR",MARCOANCHO[],2,FALSE))
   *(1-IFERROR(_xlfn.XLOOKUP(1,(DESC_PROV[LINEA]=$B$2)*(DESC_PROV[LISTA]=$C$2),DESC_PROV[DESCUENTO]),0)),
   (C53*(1+VLOOKUP($D$2,COLORES[],2,FALSE))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486425</v>
      </c>
      <c r="I53" s="155">
        <v>3</v>
      </c>
    </row>
    <row r="54" spans="1:9" ht="15" thickTop="1" thickBot="1">
      <c r="A54" s="163" t="s">
        <v>88</v>
      </c>
      <c r="B54" s="154">
        <v>336319</v>
      </c>
      <c r="C54" s="154">
        <v>392348</v>
      </c>
      <c r="D54" s="157" t="s">
        <v>287</v>
      </c>
      <c r="E54" s="124"/>
      <c r="F54" s="163" t="s">
        <v>88</v>
      </c>
      <c r="G54" s="156" cm="1">
        <f t="array" ref="G54">IFERROR(
ROUND(
IF($A$2="COSTO",
   (B54*(1+VLOOKUP($D$2,COLORES[],2,FALSE))
    *VLOOKUP("CORREDIZO",MARCOANCHO[],2,FALSE))
   *(1-IFERROR(_xlfn.XLOOKUP(1,(DESC_PROV[LINEA]=$B$2)*(DESC_PROV[LISTA]=$C$2),DESC_PROV[DESCUENTO]),0)),
   (B54*(1+VLOOKUP($D$2,COLORES[],2,FALSE))
    *VLOOKUP("CORREDIZO",MARCOANCHO[],2,FALSE))
   *(1-IFERROR(_xlfn.XLOOKUP(1,(DESC_PROV[LINEA]=$B$2)*(DESC_PROV[LISTA]=$C$2),DESC_PROV[DESCUENTO]),0))
   *(1+VLOOKUP($C$2,LISTAS[],2,FALSE))
   *(1+VLOOKUP($C$2,LISTAS[],3,FALSE))
)
/5,0)*5,0)</f>
        <v>417105</v>
      </c>
      <c r="H54" s="156" cm="1">
        <f t="array" ref="H54">IFERROR(
ROUND(
IF($A$2="COSTO",
   (C54*(1+VLOOKUP($D$2,COLORES[],2,FALSE))
    *VLOOKUP("ABRIR",MARCOANCHO[],2,FALSE))
   *(1-IFERROR(_xlfn.XLOOKUP(1,(DESC_PROV[LINEA]=$B$2)*(DESC_PROV[LISTA]=$C$2),DESC_PROV[DESCUENTO]),0)),
   (C54*(1+VLOOKUP($D$2,COLORES[],2,FALSE))
    *VLOOKUP("ABRIR",MARCOANCHO[],2,FALSE))
   *(1-IFERROR(_xlfn.XLOOKUP(1,(DESC_PROV[LINEA]=$B$2)*(DESC_PROV[LISTA]=$C$2),DESC_PROV[DESCUENTO]),0))
   *(1+VLOOKUP($C$2,LISTAS[],2,FALSE))
   *(1+VLOOKUP($C$2,LISTAS[],3,FALSE))
)
/5,0)*5,0)</f>
        <v>510920</v>
      </c>
      <c r="I54" s="158" t="s">
        <v>287</v>
      </c>
    </row>
  </sheetData>
  <mergeCells count="2">
    <mergeCell ref="A5:D5"/>
    <mergeCell ref="F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C37F-86E6-4CD8-9997-AA895008119D}">
  <sheetPr codeName="Hoja13">
    <tabColor rgb="FFFF0000"/>
  </sheetPr>
  <dimension ref="A1:J14"/>
  <sheetViews>
    <sheetView zoomScale="85" zoomScaleNormal="85" workbookViewId="0">
      <selection activeCell="R21" sqref="R21"/>
    </sheetView>
  </sheetViews>
  <sheetFormatPr baseColWidth="10" defaultRowHeight="14.25"/>
  <cols>
    <col min="1" max="1" width="14.73046875" customWidth="1"/>
    <col min="2" max="2" width="10.265625" customWidth="1"/>
    <col min="3" max="4" width="8.73046875"/>
    <col min="5" max="5" width="10.3984375" customWidth="1"/>
    <col min="6" max="6" width="8.73046875"/>
    <col min="7" max="7" width="17.86328125" customWidth="1"/>
    <col min="8" max="9" width="8.73046875"/>
    <col min="10" max="10" width="11.1328125" customWidth="1"/>
  </cols>
  <sheetData>
    <row r="1" spans="1:10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0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10" ht="14.65" thickBot="1"/>
    <row r="5" spans="1:10" ht="25.9" thickBot="1">
      <c r="A5" s="314" t="s">
        <v>289</v>
      </c>
      <c r="B5" s="315"/>
      <c r="C5" s="315"/>
      <c r="D5" s="315"/>
      <c r="E5" s="316"/>
      <c r="F5" s="2"/>
      <c r="G5" s="314" t="s">
        <v>289</v>
      </c>
      <c r="H5" s="315"/>
      <c r="I5" s="315"/>
      <c r="J5" s="316"/>
    </row>
    <row r="6" spans="1:10" ht="14.65" thickBot="1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6.899999999999999">
      <c r="A7" s="169"/>
      <c r="B7" s="172" t="s">
        <v>196</v>
      </c>
      <c r="C7" s="172" t="s">
        <v>290</v>
      </c>
      <c r="D7" s="172" t="s">
        <v>237</v>
      </c>
      <c r="E7" s="173" t="s">
        <v>126</v>
      </c>
      <c r="F7" s="2"/>
      <c r="G7" s="169"/>
      <c r="H7" s="172" t="s">
        <v>290</v>
      </c>
      <c r="I7" s="172" t="s">
        <v>237</v>
      </c>
      <c r="J7" s="173" t="s">
        <v>126</v>
      </c>
    </row>
    <row r="8" spans="1:10" ht="16.899999999999999">
      <c r="A8" s="170" t="s">
        <v>291</v>
      </c>
      <c r="B8" s="64">
        <v>116380</v>
      </c>
      <c r="C8" s="64">
        <v>0</v>
      </c>
      <c r="D8" s="64">
        <v>24077</v>
      </c>
      <c r="E8" s="64">
        <v>26500</v>
      </c>
      <c r="F8" s="2"/>
      <c r="G8" s="170" t="s">
        <v>291</v>
      </c>
      <c r="H8" s="65" cm="1">
        <f t="array" ref="H8">IFERROR(
ROUND(
IF($A$2="COSTO",
   ((B8*(1+IFERROR(VLOOKUP($D$2,COLORES[],2,FALSE),0)))+C8)
   *(1-IFERROR(_xlfn.XLOOKUP(1,(DESC_PROV[LINEA]=$B$2)*(DESC_PROV[LISTA]=$C$2),DESC_PROV[DESCUENTO]),0)),
   ((B8*(1+IFERROR(VLOOKUP($D$2,COLORES[],2,FALSE),0)))+C8)
   *(1-IFERROR(_xlfn.XLOOKUP(1,(DESC_PROV[LINEA]=$B$2)*(DESC_PROV[LISTA]=$C$2),DESC_PROV[DESCUENTO]),0))
   *(1+VLOOKUP($C$2,LISTAS[],2,FALSE))
   *(1+VLOOKUP($C$2,LISTAS[],3,FALSE))
)
/5,0)*5,0)</f>
        <v>144335</v>
      </c>
      <c r="I8" s="65" cm="1">
        <f t="array" ref="I8">IFERROR(
ROUND(
IF($A$2="COSTO",
   ((B8*(1+IFERROR(VLOOKUP($D$2,COLORES[],2,FALSE),0)))+D8)
   *(1-IFERROR(_xlfn.XLOOKUP(1,(DESC_PROV[LINEA]=$B$2)*(DESC_PROV[LISTA]=$C$2),DESC_PROV[DESCUENTO]),0)),
   ((B8*(1+IFERROR(VLOOKUP($D$2,COLORES[],2,FALSE),0)))+D8)
   *(1-IFERROR(_xlfn.XLOOKUP(1,(DESC_PROV[LINEA]=$B$2)*(DESC_PROV[LISTA]=$C$2),DESC_PROV[DESCUENTO]),0))
   *(1+VLOOKUP($C$2,LISTAS[],2,FALSE))
   *(1+VLOOKUP($C$2,LISTAS[],3,FALSE))
)
/5,0)*5,0)</f>
        <v>174195</v>
      </c>
      <c r="J8" s="65" cm="1">
        <f t="array" ref="J8">IFERROR(
ROUND(
IF($A$2="COSTO",
   ((B8*(1+IFERROR(VLOOKUP($D$2,COLORES[],2,FALSE),0)))+E8)
   *(1-IFERROR(_xlfn.XLOOKUP(1,(DESC_PROV[LINEA]=$B$2)*(DESC_PROV[LISTA]=$C$2),DESC_PROV[DESCUENTO]),0)),
   ((B8*(1+IFERROR(VLOOKUP($D$2,COLORES[],2,FALSE),0)))+E8)
   *(1-IFERROR(_xlfn.XLOOKUP(1,(DESC_PROV[LINEA]=$B$2)*(DESC_PROV[LISTA]=$C$2),DESC_PROV[DESCUENTO]),0))
   *(1+VLOOKUP($C$2,LISTAS[],2,FALSE))
   *(1+VLOOKUP($C$2,LISTAS[],3,FALSE))
)
/5,0)*5,0)</f>
        <v>177200</v>
      </c>
    </row>
    <row r="9" spans="1:10" ht="16.899999999999999">
      <c r="A9" s="170" t="s">
        <v>206</v>
      </c>
      <c r="B9" s="64">
        <v>105289</v>
      </c>
      <c r="C9" s="64">
        <v>18819</v>
      </c>
      <c r="D9" s="64">
        <v>22817</v>
      </c>
      <c r="E9" s="64">
        <v>25104</v>
      </c>
      <c r="F9" s="2"/>
      <c r="G9" s="170" t="s">
        <v>206</v>
      </c>
      <c r="H9" s="65" cm="1">
        <f t="array" ref="H9">IFERROR(
ROUND(
IF($A$2="COSTO",
   ((B9*(1+IFERROR(VLOOKUP($D$2,COLORES[],2,FALSE),0)))+C9)
   *(1-IFERROR(_xlfn.XLOOKUP(1,(DESC_PROV[LINEA]=$B$2)*(DESC_PROV[LISTA]=$C$2),DESC_PROV[DESCUENTO]),0)),
   ((B9*(1+IFERROR(VLOOKUP($D$2,COLORES[],2,FALSE),0)))+C9)
   *(1-IFERROR(_xlfn.XLOOKUP(1,(DESC_PROV[LINEA]=$B$2)*(DESC_PROV[LISTA]=$C$2),DESC_PROV[DESCUENTO]),0))
   *(1+VLOOKUP($C$2,LISTAS[],2,FALSE))
   *(1+VLOOKUP($C$2,LISTAS[],3,FALSE))
)
/5,0)*5,0)</f>
        <v>153920</v>
      </c>
      <c r="I9" s="65" cm="1">
        <f t="array" ref="I9">IFERROR(
ROUND(
IF($A$2="COSTO",
   ((B9*(1+IFERROR(VLOOKUP($D$2,COLORES[],2,FALSE),0)))+D9)
   *(1-IFERROR(_xlfn.XLOOKUP(1,(DESC_PROV[LINEA]=$B$2)*(DESC_PROV[LISTA]=$C$2),DESC_PROV[DESCUENTO]),0)),
   ((B9*(1+IFERROR(VLOOKUP($D$2,COLORES[],2,FALSE),0)))+D9)
   *(1-IFERROR(_xlfn.XLOOKUP(1,(DESC_PROV[LINEA]=$B$2)*(DESC_PROV[LISTA]=$C$2),DESC_PROV[DESCUENTO]),0))
   *(1+VLOOKUP($C$2,LISTAS[],2,FALSE))
   *(1+VLOOKUP($C$2,LISTAS[],3,FALSE))
)
/5,0)*5,0)</f>
        <v>158875</v>
      </c>
      <c r="J9" s="65" cm="1">
        <f t="array" ref="J9">IFERROR(
ROUND(
IF($A$2="COSTO",
   ((B9*(1+IFERROR(VLOOKUP($D$2,COLORES[],2,FALSE),0)))+E9)
   *(1-IFERROR(_xlfn.XLOOKUP(1,(DESC_PROV[LINEA]=$B$2)*(DESC_PROV[LISTA]=$C$2),DESC_PROV[DESCUENTO]),0)),
   ((B9*(1+IFERROR(VLOOKUP($D$2,COLORES[],2,FALSE),0)))+E9)
   *(1-IFERROR(_xlfn.XLOOKUP(1,(DESC_PROV[LINEA]=$B$2)*(DESC_PROV[LISTA]=$C$2),DESC_PROV[DESCUENTO]),0))
   *(1+VLOOKUP($C$2,LISTAS[],2,FALSE))
   *(1+VLOOKUP($C$2,LISTAS[],3,FALSE))
)
/5,0)*5,0)</f>
        <v>161715</v>
      </c>
    </row>
    <row r="10" spans="1:10" ht="16.899999999999999">
      <c r="A10" s="170" t="s">
        <v>207</v>
      </c>
      <c r="B10" s="64">
        <v>140475</v>
      </c>
      <c r="C10" s="64">
        <v>9410</v>
      </c>
      <c r="D10" s="64">
        <v>11408</v>
      </c>
      <c r="E10" s="64">
        <v>12552</v>
      </c>
      <c r="F10" s="2"/>
      <c r="G10" s="170" t="s">
        <v>207</v>
      </c>
      <c r="H10" s="65" cm="1">
        <f t="array" ref="H10">IFERROR(
ROUND(
IF($A$2="COSTO",
   ((B10*(1+IFERROR(VLOOKUP($D$2,COLORES[],2,FALSE),0)))+C10)
   *(1-IFERROR(_xlfn.XLOOKUP(1,(DESC_PROV[LINEA]=$B$2)*(DESC_PROV[LISTA]=$C$2),DESC_PROV[DESCUENTO]),0)),
   ((B10*(1+IFERROR(VLOOKUP($D$2,COLORES[],2,FALSE),0)))+C10)
   *(1-IFERROR(_xlfn.XLOOKUP(1,(DESC_PROV[LINEA]=$B$2)*(DESC_PROV[LISTA]=$C$2),DESC_PROV[DESCUENTO]),0))
   *(1+VLOOKUP($C$2,LISTAS[],2,FALSE))
   *(1+VLOOKUP($C$2,LISTAS[],3,FALSE))
)
/5,0)*5,0)</f>
        <v>185885</v>
      </c>
      <c r="I10" s="65" cm="1">
        <f t="array" ref="I10">IFERROR(
ROUND(
IF($A$2="COSTO",
   ((B10*(1+IFERROR(VLOOKUP($D$2,COLORES[],2,FALSE),0)))+D10)
   *(1-IFERROR(_xlfn.XLOOKUP(1,(DESC_PROV[LINEA]=$B$2)*(DESC_PROV[LISTA]=$C$2),DESC_PROV[DESCUENTO]),0)),
   ((B10*(1+IFERROR(VLOOKUP($D$2,COLORES[],2,FALSE),0)))+D10)
   *(1-IFERROR(_xlfn.XLOOKUP(1,(DESC_PROV[LINEA]=$B$2)*(DESC_PROV[LISTA]=$C$2),DESC_PROV[DESCUENTO]),0))
   *(1+VLOOKUP($C$2,LISTAS[],2,FALSE))
   *(1+VLOOKUP($C$2,LISTAS[],3,FALSE))
)
/5,0)*5,0)</f>
        <v>188365</v>
      </c>
      <c r="J10" s="65" cm="1">
        <f t="array" ref="J10">IFERROR(
ROUND(
IF($A$2="COSTO",
   ((B10*(1+IFERROR(VLOOKUP($D$2,COLORES[],2,FALSE),0)))+E10)
   *(1-IFERROR(_xlfn.XLOOKUP(1,(DESC_PROV[LINEA]=$B$2)*(DESC_PROV[LISTA]=$C$2),DESC_PROV[DESCUENTO]),0)),
   ((B10*(1+IFERROR(VLOOKUP($D$2,COLORES[],2,FALSE),0)))+E10)
   *(1-IFERROR(_xlfn.XLOOKUP(1,(DESC_PROV[LINEA]=$B$2)*(DESC_PROV[LISTA]=$C$2),DESC_PROV[DESCUENTO]),0))
   *(1+VLOOKUP($C$2,LISTAS[],2,FALSE))
   *(1+VLOOKUP($C$2,LISTAS[],3,FALSE))
)
/5,0)*5,0)</f>
        <v>189785</v>
      </c>
    </row>
    <row r="11" spans="1:10" ht="16.899999999999999">
      <c r="A11" s="170" t="s">
        <v>292</v>
      </c>
      <c r="B11" s="64">
        <v>168040</v>
      </c>
      <c r="C11" s="64">
        <v>9410</v>
      </c>
      <c r="D11" s="64">
        <v>0</v>
      </c>
      <c r="E11" s="64">
        <v>12552</v>
      </c>
      <c r="F11" s="2"/>
      <c r="G11" s="170" t="s">
        <v>292</v>
      </c>
      <c r="H11" s="65" cm="1">
        <f t="array" ref="H11">IFERROR(
ROUND(
IF($A$2="COSTO",
   ((B11*(1+IFERROR(VLOOKUP($D$2,COLORES[],2,FALSE),0)))+C11)
   *(1-IFERROR(_xlfn.XLOOKUP(1,(DESC_PROV[LINEA]=$B$2)*(DESC_PROV[LISTA]=$C$2),DESC_PROV[DESCUENTO]),0)),
   ((B11*(1+IFERROR(VLOOKUP($D$2,COLORES[],2,FALSE),0)))+C11)
   *(1-IFERROR(_xlfn.XLOOKUP(1,(DESC_PROV[LINEA]=$B$2)*(DESC_PROV[LISTA]=$C$2),DESC_PROV[DESCUENTO]),0))
   *(1+VLOOKUP($C$2,LISTAS[],2,FALSE))
   *(1+VLOOKUP($C$2,LISTAS[],3,FALSE))
)
/5,0)*5,0)</f>
        <v>220075</v>
      </c>
      <c r="I11" s="65" cm="1">
        <f t="array" ref="I11">IFERROR(
ROUND(
IF($A$2="COSTO",
   ((B11*(1+IFERROR(VLOOKUP($D$2,COLORES[],2,FALSE),0)))+D11)
   *(1-IFERROR(_xlfn.XLOOKUP(1,(DESC_PROV[LINEA]=$B$2)*(DESC_PROV[LISTA]=$C$2),DESC_PROV[DESCUENTO]),0)),
   ((B11*(1+IFERROR(VLOOKUP($D$2,COLORES[],2,FALSE),0)))+D11)
   *(1-IFERROR(_xlfn.XLOOKUP(1,(DESC_PROV[LINEA]=$B$2)*(DESC_PROV[LISTA]=$C$2),DESC_PROV[DESCUENTO]),0))
   *(1+VLOOKUP($C$2,LISTAS[],2,FALSE))
   *(1+VLOOKUP($C$2,LISTAS[],3,FALSE))
)
/5,0)*5,0)</f>
        <v>208405</v>
      </c>
      <c r="J11" s="65" cm="1">
        <f t="array" ref="J11">IFERROR(
ROUND(
IF($A$2="COSTO",
   ((B11*(1+IFERROR(VLOOKUP($D$2,COLORES[],2,FALSE),0)))+E11)
   *(1-IFERROR(_xlfn.XLOOKUP(1,(DESC_PROV[LINEA]=$B$2)*(DESC_PROV[LISTA]=$C$2),DESC_PROV[DESCUENTO]),0)),
   ((B11*(1+IFERROR(VLOOKUP($D$2,COLORES[],2,FALSE),0)))+E11)
   *(1-IFERROR(_xlfn.XLOOKUP(1,(DESC_PROV[LINEA]=$B$2)*(DESC_PROV[LISTA]=$C$2),DESC_PROV[DESCUENTO]),0))
   *(1+VLOOKUP($C$2,LISTAS[],2,FALSE))
   *(1+VLOOKUP($C$2,LISTAS[],3,FALSE))
)
/5,0)*5,0)</f>
        <v>223970</v>
      </c>
    </row>
    <row r="12" spans="1:10" ht="16.899999999999999">
      <c r="A12" s="170" t="s">
        <v>293</v>
      </c>
      <c r="B12" s="64">
        <v>157887</v>
      </c>
      <c r="C12" s="64">
        <v>5258</v>
      </c>
      <c r="D12" s="64">
        <v>6335</v>
      </c>
      <c r="E12" s="64">
        <v>6974</v>
      </c>
      <c r="F12" s="2"/>
      <c r="G12" s="170" t="s">
        <v>293</v>
      </c>
      <c r="H12" s="65" cm="1">
        <f t="array" ref="H12">IFERROR(
ROUND(
IF($A$2="COSTO",
   ((B12*(1+IFERROR(VLOOKUP($D$2,COLORES[],2,FALSE),0)))+C12)
   *(1-IFERROR(_xlfn.XLOOKUP(1,(DESC_PROV[LINEA]=$B$2)*(DESC_PROV[LISTA]=$C$2),DESC_PROV[DESCUENTO]),0)),
   ((B12*(1+IFERROR(VLOOKUP($D$2,COLORES[],2,FALSE),0)))+C12)
   *(1-IFERROR(_xlfn.XLOOKUP(1,(DESC_PROV[LINEA]=$B$2)*(DESC_PROV[LISTA]=$C$2),DESC_PROV[DESCUENTO]),0))
   *(1+VLOOKUP($C$2,LISTAS[],2,FALSE))
   *(1+VLOOKUP($C$2,LISTAS[],3,FALSE))
)
/5,0)*5,0)</f>
        <v>202330</v>
      </c>
      <c r="I12" s="65" cm="1">
        <f t="array" ref="I12">IFERROR(
ROUND(
IF($A$2="COSTO",
   ((B12*(1+IFERROR(VLOOKUP($D$2,COLORES[],2,FALSE),0)))+D12)
   *(1-IFERROR(_xlfn.XLOOKUP(1,(DESC_PROV[LINEA]=$B$2)*(DESC_PROV[LISTA]=$C$2),DESC_PROV[DESCUENTO]),0)),
   ((B12*(1+IFERROR(VLOOKUP($D$2,COLORES[],2,FALSE),0)))+D12)
   *(1-IFERROR(_xlfn.XLOOKUP(1,(DESC_PROV[LINEA]=$B$2)*(DESC_PROV[LISTA]=$C$2),DESC_PROV[DESCUENTO]),0))
   *(1+VLOOKUP($C$2,LISTAS[],2,FALSE))
   *(1+VLOOKUP($C$2,LISTAS[],3,FALSE))
)
/5,0)*5,0)</f>
        <v>203670</v>
      </c>
      <c r="J12" s="65" cm="1">
        <f t="array" ref="J12">IFERROR(
ROUND(
IF($A$2="COSTO",
   ((B12*(1+IFERROR(VLOOKUP($D$2,COLORES[],2,FALSE),0)))+E12)
   *(1-IFERROR(_xlfn.XLOOKUP(1,(DESC_PROV[LINEA]=$B$2)*(DESC_PROV[LISTA]=$C$2),DESC_PROV[DESCUENTO]),0)),
   ((B12*(1+IFERROR(VLOOKUP($D$2,COLORES[],2,FALSE),0)))+E12)
   *(1-IFERROR(_xlfn.XLOOKUP(1,(DESC_PROV[LINEA]=$B$2)*(DESC_PROV[LISTA]=$C$2),DESC_PROV[DESCUENTO]),0))
   *(1+VLOOKUP($C$2,LISTAS[],2,FALSE))
   *(1+VLOOKUP($C$2,LISTAS[],3,FALSE))
)
/5,0)*5,0)</f>
        <v>204460</v>
      </c>
    </row>
    <row r="13" spans="1:10" ht="16.899999999999999">
      <c r="A13" s="170" t="s">
        <v>210</v>
      </c>
      <c r="B13" s="64">
        <v>171861</v>
      </c>
      <c r="C13" s="64">
        <v>5258</v>
      </c>
      <c r="D13" s="64">
        <v>0</v>
      </c>
      <c r="E13" s="64">
        <v>6974</v>
      </c>
      <c r="F13" s="2"/>
      <c r="G13" s="170" t="s">
        <v>210</v>
      </c>
      <c r="H13" s="65" cm="1">
        <f t="array" ref="H13">IFERROR(
ROUND(
IF($A$2="COSTO",
   ((B13*(1+IFERROR(VLOOKUP($D$2,COLORES[],2,FALSE),0)))+C13)
   *(1-IFERROR(_xlfn.XLOOKUP(1,(DESC_PROV[LINEA]=$B$2)*(DESC_PROV[LISTA]=$C$2),DESC_PROV[DESCUENTO]),0)),
   ((B13*(1+IFERROR(VLOOKUP($D$2,COLORES[],2,FALSE),0)))+C13)
   *(1-IFERROR(_xlfn.XLOOKUP(1,(DESC_PROV[LINEA]=$B$2)*(DESC_PROV[LISTA]=$C$2),DESC_PROV[DESCUENTO]),0))
   *(1+VLOOKUP($C$2,LISTAS[],2,FALSE))
   *(1+VLOOKUP($C$2,LISTAS[],3,FALSE))
)
/5,0)*5,0)</f>
        <v>219665</v>
      </c>
      <c r="I13" s="65" cm="1">
        <f t="array" ref="I13">IFERROR(
ROUND(
IF($A$2="COSTO",
   ((B13*(1+IFERROR(VLOOKUP($D$2,COLORES[],2,FALSE),0)))+D13)
   *(1-IFERROR(_xlfn.XLOOKUP(1,(DESC_PROV[LINEA]=$B$2)*(DESC_PROV[LISTA]=$C$2),DESC_PROV[DESCUENTO]),0)),
   ((B13*(1+IFERROR(VLOOKUP($D$2,COLORES[],2,FALSE),0)))+D13)
   *(1-IFERROR(_xlfn.XLOOKUP(1,(DESC_PROV[LINEA]=$B$2)*(DESC_PROV[LISTA]=$C$2),DESC_PROV[DESCUENTO]),0))
   *(1+VLOOKUP($C$2,LISTAS[],2,FALSE))
   *(1+VLOOKUP($C$2,LISTAS[],3,FALSE))
)
/5,0)*5,0)</f>
        <v>213140</v>
      </c>
      <c r="J13" s="65" cm="1">
        <f t="array" ref="J13">IFERROR(
ROUND(
IF($A$2="COSTO",
   ((B13*(1+IFERROR(VLOOKUP($D$2,COLORES[],2,FALSE),0)))+E13)
   *(1-IFERROR(_xlfn.XLOOKUP(1,(DESC_PROV[LINEA]=$B$2)*(DESC_PROV[LISTA]=$C$2),DESC_PROV[DESCUENTO]),0)),
   ((B13*(1+IFERROR(VLOOKUP($D$2,COLORES[],2,FALSE),0)))+E13)
   *(1-IFERROR(_xlfn.XLOOKUP(1,(DESC_PROV[LINEA]=$B$2)*(DESC_PROV[LISTA]=$C$2),DESC_PROV[DESCUENTO]),0))
   *(1+VLOOKUP($C$2,LISTAS[],2,FALSE))
   *(1+VLOOKUP($C$2,LISTAS[],3,FALSE))
)
/5,0)*5,0)</f>
        <v>221790</v>
      </c>
    </row>
    <row r="14" spans="1:10" ht="17.25" thickBot="1">
      <c r="A14" s="171" t="s">
        <v>211</v>
      </c>
      <c r="B14" s="64">
        <v>172979</v>
      </c>
      <c r="C14" s="64">
        <v>0</v>
      </c>
      <c r="D14" s="64">
        <v>0</v>
      </c>
      <c r="E14" s="64">
        <v>0</v>
      </c>
      <c r="F14" s="2"/>
      <c r="G14" s="171" t="s">
        <v>211</v>
      </c>
      <c r="H14" s="65" cm="1">
        <f t="array" ref="H14">IFERROR(
ROUND(
IF($A$2="COSTO",
   ((B14*(1+IFERROR(VLOOKUP($D$2,COLORES[],2,FALSE),0)))+C14)
   *(1-IFERROR(_xlfn.XLOOKUP(1,(DESC_PROV[LINEA]=$B$2)*(DESC_PROV[LISTA]=$C$2),DESC_PROV[DESCUENTO]),0)),
   ((B14*(1+IFERROR(VLOOKUP($D$2,COLORES[],2,FALSE),0)))+C14)
   *(1-IFERROR(_xlfn.XLOOKUP(1,(DESC_PROV[LINEA]=$B$2)*(DESC_PROV[LISTA]=$C$2),DESC_PROV[DESCUENTO]),0))
   *(1+VLOOKUP($C$2,LISTAS[],2,FALSE))
   *(1+VLOOKUP($C$2,LISTAS[],3,FALSE))
)
/5,0)*5,0)</f>
        <v>214530</v>
      </c>
      <c r="I14" s="65" cm="1">
        <f t="array" ref="I14">IFERROR(
ROUND(
IF($A$2="COSTO",
   ((B14*(1+IFERROR(VLOOKUP($D$2,COLORES[],2,FALSE),0)))+D14)
   *(1-IFERROR(_xlfn.XLOOKUP(1,(DESC_PROV[LINEA]=$B$2)*(DESC_PROV[LISTA]=$C$2),DESC_PROV[DESCUENTO]),0)),
   ((B14*(1+IFERROR(VLOOKUP($D$2,COLORES[],2,FALSE),0)))+D14)
   *(1-IFERROR(_xlfn.XLOOKUP(1,(DESC_PROV[LINEA]=$B$2)*(DESC_PROV[LISTA]=$C$2),DESC_PROV[DESCUENTO]),0))
   *(1+VLOOKUP($C$2,LISTAS[],2,FALSE))
   *(1+VLOOKUP($C$2,LISTAS[],3,FALSE))
)
/5,0)*5,0)</f>
        <v>214530</v>
      </c>
      <c r="J14" s="65" cm="1">
        <f t="array" ref="J14">IFERROR(
ROUND(
IF($A$2="COSTO",
   ((B14*(1+IFERROR(VLOOKUP($D$2,COLORES[],2,FALSE),0)))+E14)
   *(1-IFERROR(_xlfn.XLOOKUP(1,(DESC_PROV[LINEA]=$B$2)*(DESC_PROV[LISTA]=$C$2),DESC_PROV[DESCUENTO]),0)),
   ((B14*(1+IFERROR(VLOOKUP($D$2,COLORES[],2,FALSE),0)))+E14)
   *(1-IFERROR(_xlfn.XLOOKUP(1,(DESC_PROV[LINEA]=$B$2)*(DESC_PROV[LISTA]=$C$2),DESC_PROV[DESCUENTO]),0))
   *(1+VLOOKUP($C$2,LISTAS[],2,FALSE))
   *(1+VLOOKUP($C$2,LISTAS[],3,FALSE))
)
/5,0)*5,0)</f>
        <v>214530</v>
      </c>
    </row>
  </sheetData>
  <mergeCells count="2">
    <mergeCell ref="A5:E5"/>
    <mergeCell ref="G5:J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A099-9CF9-4973-B6DF-FC8180BF0BA8}">
  <sheetPr codeName="Hoja14">
    <tabColor rgb="FFFF0000"/>
  </sheetPr>
  <dimension ref="A1:G37"/>
  <sheetViews>
    <sheetView topLeftCell="A4" zoomScale="40" zoomScaleNormal="40" workbookViewId="0">
      <selection activeCell="C38" sqref="C38"/>
    </sheetView>
  </sheetViews>
  <sheetFormatPr baseColWidth="10" defaultRowHeight="14.25"/>
  <cols>
    <col min="1" max="1" width="68.59765625" customWidth="1"/>
    <col min="2" max="2" width="17.86328125" customWidth="1"/>
    <col min="3" max="3" width="12.59765625" customWidth="1"/>
    <col min="4" max="4" width="8.73046875"/>
    <col min="5" max="5" width="68.59765625" customWidth="1"/>
    <col min="6" max="6" width="17.86328125" customWidth="1"/>
    <col min="7" max="7" width="12.59765625" customWidth="1"/>
  </cols>
  <sheetData>
    <row r="1" spans="1:7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7" ht="14.65" thickBot="1">
      <c r="A2" s="210" t="str">
        <f>CONTROL!B4</f>
        <v>VENTA</v>
      </c>
      <c r="B2" s="252" t="s">
        <v>400</v>
      </c>
      <c r="C2" s="252" t="str">
        <f>CONTROL!C4</f>
        <v>AMARILLA</v>
      </c>
      <c r="D2" s="253" t="str">
        <f>CONTROL!D4</f>
        <v>BLANCO</v>
      </c>
    </row>
    <row r="4" spans="1:7" ht="14.65" thickBot="1"/>
    <row r="5" spans="1:7" ht="14.65" thickBot="1">
      <c r="A5" s="317" t="s">
        <v>295</v>
      </c>
      <c r="B5" s="318"/>
      <c r="C5" s="319"/>
      <c r="D5" s="2"/>
      <c r="E5" s="317" t="s">
        <v>295</v>
      </c>
      <c r="F5" s="318"/>
      <c r="G5" s="319"/>
    </row>
    <row r="6" spans="1:7" ht="14.65" thickBot="1">
      <c r="A6" s="179" t="s">
        <v>296</v>
      </c>
      <c r="B6" s="180"/>
      <c r="C6" s="181">
        <v>0.3</v>
      </c>
      <c r="D6" s="2"/>
      <c r="E6" s="182" t="s">
        <v>297</v>
      </c>
      <c r="F6" s="180"/>
      <c r="G6" s="181">
        <f>C6</f>
        <v>0.3</v>
      </c>
    </row>
    <row r="7" spans="1:7" ht="14.65" thickBot="1">
      <c r="A7" s="179" t="s">
        <v>298</v>
      </c>
      <c r="B7" s="183"/>
      <c r="C7" s="181">
        <v>0.2</v>
      </c>
      <c r="D7" s="2"/>
      <c r="E7" s="184" t="s">
        <v>299</v>
      </c>
      <c r="F7" s="183"/>
      <c r="G7" s="181">
        <f t="shared" ref="G7:G10" si="0">C7</f>
        <v>0.2</v>
      </c>
    </row>
    <row r="8" spans="1:7" ht="14.65" thickBot="1">
      <c r="A8" s="179" t="s">
        <v>300</v>
      </c>
      <c r="B8" s="183"/>
      <c r="C8" s="181">
        <v>0.7</v>
      </c>
      <c r="D8" s="2"/>
      <c r="E8" s="184" t="s">
        <v>301</v>
      </c>
      <c r="F8" s="183"/>
      <c r="G8" s="181">
        <f t="shared" si="0"/>
        <v>0.7</v>
      </c>
    </row>
    <row r="9" spans="1:7" ht="14.65" thickBot="1">
      <c r="A9" s="179" t="s">
        <v>302</v>
      </c>
      <c r="B9" s="183"/>
      <c r="C9" s="181">
        <v>0.45</v>
      </c>
      <c r="D9" s="2"/>
      <c r="E9" s="184" t="s">
        <v>303</v>
      </c>
      <c r="F9" s="183"/>
      <c r="G9" s="181">
        <f t="shared" si="0"/>
        <v>0.45</v>
      </c>
    </row>
    <row r="10" spans="1:7" ht="14.65" thickBot="1">
      <c r="A10" s="179" t="s">
        <v>304</v>
      </c>
      <c r="B10" s="183"/>
      <c r="C10" s="181">
        <v>0.3</v>
      </c>
      <c r="D10" s="2"/>
      <c r="E10" s="184" t="s">
        <v>305</v>
      </c>
      <c r="F10" s="183"/>
      <c r="G10" s="181">
        <f t="shared" si="0"/>
        <v>0.3</v>
      </c>
    </row>
    <row r="11" spans="1:7" ht="14.65" thickBot="1">
      <c r="A11" s="185"/>
      <c r="B11" s="183"/>
      <c r="C11" s="67"/>
      <c r="D11" s="2"/>
      <c r="E11" s="184"/>
      <c r="F11" s="183"/>
      <c r="G11" s="67"/>
    </row>
    <row r="12" spans="1:7" ht="14.65" thickBot="1">
      <c r="A12" s="185"/>
      <c r="B12" s="183" t="s">
        <v>306</v>
      </c>
      <c r="C12" s="67" t="s">
        <v>31</v>
      </c>
      <c r="D12" s="2"/>
      <c r="E12" s="184"/>
      <c r="F12" s="183" t="s">
        <v>306</v>
      </c>
      <c r="G12" s="67"/>
    </row>
    <row r="13" spans="1:7" ht="14.65" thickBot="1">
      <c r="A13" s="179" t="s">
        <v>307</v>
      </c>
      <c r="B13" s="183" t="s">
        <v>308</v>
      </c>
      <c r="C13" s="67">
        <v>7400</v>
      </c>
      <c r="D13" s="2"/>
      <c r="E13" s="184" t="s">
        <v>309</v>
      </c>
      <c r="F13" s="183" t="s">
        <v>308</v>
      </c>
      <c r="G13" s="70" cm="1">
        <f t="array" ref="G13">ROUND(
C13
*(1-IFERROR(_xlfn.XLOOKUP(1,(DESC_PROV[LINEA]=$B$2)*(DESC_PROV[LISTA]=$C$2),DESC_PROV[DESCUENTO]),0))
*(1+VLOOKUP($C$2,LISTAS[],2,FALSE))
*(1+VLOOKUP($C$2,LISTAS[],3,FALSE)),0)</f>
        <v>9483</v>
      </c>
    </row>
    <row r="14" spans="1:7" ht="14.65" thickBot="1">
      <c r="A14" s="179" t="s">
        <v>310</v>
      </c>
      <c r="B14" s="183" t="s">
        <v>308</v>
      </c>
      <c r="C14" s="67">
        <v>4200</v>
      </c>
      <c r="D14" s="2"/>
      <c r="E14" s="184" t="s">
        <v>311</v>
      </c>
      <c r="F14" s="183" t="s">
        <v>308</v>
      </c>
      <c r="G14" s="70" cm="1">
        <f t="array" ref="G14">ROUND(
(C14*(1+IFERROR(VLOOKUP($D$2,COLORES[],2,FALSE),0)))
*(1-IFERROR(_xlfn.XLOOKUP(1,(DESC_PROV[LINEA]=$B$2)*(DESC_PROV[LISTA]=$C$2),DESC_PROV[DESCUENTO]),0))
*(1+VLOOKUP($C$2,LISTAS[],2,FALSE))
*(1+VLOOKUP($C$2,LISTAS[],3,FALSE)),0)</f>
        <v>5382</v>
      </c>
    </row>
    <row r="15" spans="1:7" ht="14.65" thickBot="1">
      <c r="A15" s="179" t="s">
        <v>312</v>
      </c>
      <c r="B15" s="183"/>
      <c r="C15" s="67">
        <v>28000</v>
      </c>
      <c r="D15" s="2"/>
      <c r="E15" s="184" t="s">
        <v>313</v>
      </c>
      <c r="F15" s="183"/>
      <c r="G15" s="70" cm="1">
        <f t="array" ref="G15">ROUND(
C15
*(1-IFERROR(_xlfn.XLOOKUP(1,(DESC_PROV[LINEA]=$B$2)*(DESC_PROV[LISTA]=$C$2),DESC_PROV[DESCUENTO]),0))
*(1+VLOOKUP($C$2,LISTAS[],2,FALSE))
*(1+VLOOKUP($C$2,LISTAS[],3,FALSE)),0)</f>
        <v>35883</v>
      </c>
    </row>
    <row r="16" spans="1:7" ht="14.65" thickBot="1">
      <c r="A16" s="186" t="s">
        <v>314</v>
      </c>
      <c r="B16" s="183"/>
      <c r="C16" s="67">
        <v>100000</v>
      </c>
      <c r="D16" s="2"/>
      <c r="E16" s="187" t="s">
        <v>314</v>
      </c>
      <c r="F16" s="183"/>
      <c r="G16" s="70" cm="1">
        <f t="array" ref="G16">ROUND(
C16
*(1-IFERROR(_xlfn.XLOOKUP(1,(DESC_PROV[LINEA]=$B$2)*(DESC_PROV[LISTA]=$C$2),DESC_PROV[DESCUENTO]),0))
*(1+VLOOKUP($C$2,LISTAS[],2,FALSE))
*(1+VLOOKUP($C$2,LISTAS[],3,FALSE)),0)</f>
        <v>128154</v>
      </c>
    </row>
    <row r="17" spans="1:7" ht="14.65" thickBot="1">
      <c r="A17" s="179" t="s">
        <v>315</v>
      </c>
      <c r="B17" s="183" t="s">
        <v>308</v>
      </c>
      <c r="C17" s="67">
        <v>10685</v>
      </c>
      <c r="D17" s="2"/>
      <c r="E17" s="184" t="s">
        <v>316</v>
      </c>
      <c r="F17" s="183" t="s">
        <v>308</v>
      </c>
      <c r="G17" s="70" cm="1">
        <f t="array" ref="G17">ROUND(
(C17*(1+IFERROR(VLOOKUP($D$2,COLORES[],2,FALSE),0)))
*(1-IFERROR(_xlfn.XLOOKUP(1,(DESC_PROV[LINEA]=$B$2)*(DESC_PROV[LISTA]=$C$2),DESC_PROV[DESCUENTO]),0))
*(1+VLOOKUP($C$2,LISTAS[],2,FALSE))
*(1+VLOOKUP($C$2,LISTAS[],3,FALSE)),0)</f>
        <v>13693</v>
      </c>
    </row>
    <row r="18" spans="1:7" ht="14.65" thickBot="1">
      <c r="A18" s="179" t="s">
        <v>317</v>
      </c>
      <c r="B18" s="183" t="s">
        <v>308</v>
      </c>
      <c r="C18" s="67">
        <v>13517</v>
      </c>
      <c r="D18" s="2"/>
      <c r="E18" s="184" t="s">
        <v>318</v>
      </c>
      <c r="F18" s="183" t="s">
        <v>308</v>
      </c>
      <c r="G18" s="70" cm="1">
        <f t="array" ref="G18">ROUND(
(C18*(1+IFERROR(VLOOKUP($D$2,COLORES[],2,FALSE),0)))
*(1-IFERROR(_xlfn.XLOOKUP(1,(DESC_PROV[LINEA]=$B$2)*(DESC_PROV[LISTA]=$C$2),DESC_PROV[DESCUENTO]),0))
*(1+VLOOKUP($C$2,LISTAS[],2,FALSE))
*(1+VLOOKUP($C$2,LISTAS[],3,FALSE)),0)</f>
        <v>17323</v>
      </c>
    </row>
    <row r="19" spans="1:7" ht="14.65" thickBot="1">
      <c r="A19" s="179" t="s">
        <v>319</v>
      </c>
      <c r="B19" s="183" t="s">
        <v>308</v>
      </c>
      <c r="C19" s="67">
        <v>18080</v>
      </c>
      <c r="D19" s="2"/>
      <c r="E19" s="184" t="s">
        <v>320</v>
      </c>
      <c r="F19" s="183" t="s">
        <v>308</v>
      </c>
      <c r="G19" s="70" cm="1">
        <f t="array" ref="G19">ROUND(
(C19*(1+IFERROR(VLOOKUP($D$2,COLORES[],2,FALSE),0)))
*(1-IFERROR(_xlfn.XLOOKUP(1,(DESC_PROV[LINEA]=$B$2)*(DESC_PROV[LISTA]=$C$2),DESC_PROV[DESCUENTO]),0))
*(1+VLOOKUP($C$2,LISTAS[],2,FALSE))
*(1+VLOOKUP($C$2,LISTAS[],3,FALSE)),0)</f>
        <v>23170</v>
      </c>
    </row>
    <row r="20" spans="1:7" ht="14.65" thickBot="1">
      <c r="A20" s="179" t="s">
        <v>321</v>
      </c>
      <c r="B20" s="183" t="s">
        <v>308</v>
      </c>
      <c r="C20" s="67">
        <v>20505</v>
      </c>
      <c r="D20" s="2"/>
      <c r="E20" s="184" t="s">
        <v>322</v>
      </c>
      <c r="F20" s="183" t="s">
        <v>308</v>
      </c>
      <c r="G20" s="70" cm="1">
        <f t="array" ref="G20">ROUND(
(C20*(1+IFERROR(VLOOKUP($D$2,COLORES[],2,FALSE),0)))
*(1-IFERROR(_xlfn.XLOOKUP(1,(DESC_PROV[LINEA]=$B$2)*(DESC_PROV[LISTA]=$C$2),DESC_PROV[DESCUENTO]),0))
*(1+VLOOKUP($C$2,LISTAS[],2,FALSE))
*(1+VLOOKUP($C$2,LISTAS[],3,FALSE)),0)</f>
        <v>26278</v>
      </c>
    </row>
    <row r="21" spans="1:7" ht="14.65" thickBot="1">
      <c r="A21" s="179" t="s">
        <v>323</v>
      </c>
      <c r="B21" s="183" t="s">
        <v>308</v>
      </c>
      <c r="C21" s="67">
        <v>5905</v>
      </c>
      <c r="D21" s="2"/>
      <c r="E21" s="184" t="s">
        <v>324</v>
      </c>
      <c r="F21" s="183" t="s">
        <v>308</v>
      </c>
      <c r="G21" s="70" cm="1">
        <f t="array" ref="G21">ROUND(
(C21*(1+IFERROR(VLOOKUP($D$2,COLORES[],2,FALSE),0)))
*(1-IFERROR(_xlfn.XLOOKUP(1,(DESC_PROV[LINEA]=$B$2)*(DESC_PROV[LISTA]=$C$2),DESC_PROV[DESCUENTO]),0))
*(1+VLOOKUP($C$2,LISTAS[],2,FALSE))
*(1+VLOOKUP($C$2,LISTAS[],3,FALSE)),0)</f>
        <v>7567</v>
      </c>
    </row>
    <row r="22" spans="1:7" ht="14.65" thickBot="1">
      <c r="A22" s="179" t="s">
        <v>325</v>
      </c>
      <c r="B22" s="183" t="s">
        <v>308</v>
      </c>
      <c r="C22" s="67">
        <v>12600</v>
      </c>
      <c r="D22" s="2"/>
      <c r="E22" s="184" t="s">
        <v>326</v>
      </c>
      <c r="F22" s="183" t="s">
        <v>308</v>
      </c>
      <c r="G22" s="70" cm="1">
        <f t="array" ref="G22">ROUND(
C22
*(1-IFERROR(_xlfn.XLOOKUP(1,(DESC_PROV[LINEA]=$B$2)*(DESC_PROV[LISTA]=$C$2),DESC_PROV[DESCUENTO]),0))
*(1+VLOOKUP($C$2,LISTAS[],2,FALSE))
*(1+VLOOKUP($C$2,LISTAS[],3,FALSE)),0)</f>
        <v>16147</v>
      </c>
    </row>
    <row r="23" spans="1:7" ht="14.65" thickBot="1">
      <c r="A23" s="185"/>
      <c r="B23" s="183"/>
      <c r="C23" s="67"/>
      <c r="D23" s="2"/>
      <c r="E23" s="184"/>
      <c r="F23" s="183"/>
      <c r="G23" s="70"/>
    </row>
    <row r="24" spans="1:7" ht="14.65" thickBot="1">
      <c r="A24" s="179" t="s">
        <v>327</v>
      </c>
      <c r="B24" s="183" t="s">
        <v>328</v>
      </c>
      <c r="C24" s="67">
        <v>15072</v>
      </c>
      <c r="D24" s="2"/>
      <c r="E24" s="184" t="s">
        <v>329</v>
      </c>
      <c r="F24" s="183" t="s">
        <v>328</v>
      </c>
      <c r="G24" s="70" cm="1">
        <f t="array" ref="G24">ROUND(
C24
*(1-IFERROR(_xlfn.XLOOKUP(1,(DESC_PROV[LINEA]=$B$2)*(DESC_PROV[LISTA]=$C$2),DESC_PROV[DESCUENTO]),0))
*(1+VLOOKUP($C$2,LISTAS[],2,FALSE))
*(1+VLOOKUP($C$2,LISTAS[],3,FALSE)),0)</f>
        <v>19315</v>
      </c>
    </row>
    <row r="25" spans="1:7" ht="14.65" thickBot="1">
      <c r="A25" s="179" t="s">
        <v>330</v>
      </c>
      <c r="B25" s="183" t="s">
        <v>328</v>
      </c>
      <c r="C25" s="67">
        <v>20238</v>
      </c>
      <c r="D25" s="2"/>
      <c r="E25" s="184" t="s">
        <v>331</v>
      </c>
      <c r="F25" s="183" t="s">
        <v>328</v>
      </c>
      <c r="G25" s="70" cm="1">
        <f t="array" ref="G25">ROUND(
C25
*(1-IFERROR(_xlfn.XLOOKUP(1,(DESC_PROV[LINEA]=$B$2)*(DESC_PROV[LISTA]=$C$2),DESC_PROV[DESCUENTO]),0))
*(1+VLOOKUP($C$2,LISTAS[],2,FALSE))
*(1+VLOOKUP($C$2,LISTAS[],3,FALSE)),0)</f>
        <v>25936</v>
      </c>
    </row>
    <row r="26" spans="1:7" ht="14.65" thickBot="1">
      <c r="A26" s="179" t="s">
        <v>332</v>
      </c>
      <c r="B26" s="183" t="s">
        <v>328</v>
      </c>
      <c r="C26" s="67">
        <v>25875</v>
      </c>
      <c r="D26" s="2"/>
      <c r="E26" s="184" t="s">
        <v>333</v>
      </c>
      <c r="F26" s="183" t="s">
        <v>328</v>
      </c>
      <c r="G26" s="70" cm="1">
        <f t="array" ref="G26">ROUND(
C26
*(1-IFERROR(_xlfn.XLOOKUP(1,(DESC_PROV[LINEA]=$B$2)*(DESC_PROV[LISTA]=$C$2),DESC_PROV[DESCUENTO]),0))
*(1+VLOOKUP($C$2,LISTAS[],2,FALSE))
*(1+VLOOKUP($C$2,LISTAS[],3,FALSE)),0)</f>
        <v>33160</v>
      </c>
    </row>
    <row r="27" spans="1:7" ht="14.65" thickBot="1">
      <c r="A27" s="179" t="s">
        <v>334</v>
      </c>
      <c r="B27" s="183" t="s">
        <v>328</v>
      </c>
      <c r="C27" s="67">
        <v>32754</v>
      </c>
      <c r="D27" s="2"/>
      <c r="E27" s="184" t="s">
        <v>335</v>
      </c>
      <c r="F27" s="183" t="s">
        <v>328</v>
      </c>
      <c r="G27" s="70" cm="1">
        <f t="array" ref="G27">ROUND(
C27
*(1-IFERROR(_xlfn.XLOOKUP(1,(DESC_PROV[LINEA]=$B$2)*(DESC_PROV[LISTA]=$C$2),DESC_PROV[DESCUENTO]),0))
*(1+VLOOKUP($C$2,LISTAS[],2,FALSE))
*(1+VLOOKUP($C$2,LISTAS[],3,FALSE)),0)</f>
        <v>41976</v>
      </c>
    </row>
    <row r="28" spans="1:7" ht="14.65" thickBot="1">
      <c r="A28" s="185"/>
      <c r="B28" s="183"/>
      <c r="C28" s="67" t="s">
        <v>395</v>
      </c>
      <c r="D28" s="2"/>
      <c r="E28" s="184"/>
      <c r="F28" s="183"/>
      <c r="G28" s="70"/>
    </row>
    <row r="29" spans="1:7" ht="14.65" thickBot="1">
      <c r="A29" s="179" t="s">
        <v>336</v>
      </c>
      <c r="B29" s="183" t="s">
        <v>328</v>
      </c>
      <c r="C29" s="67">
        <v>25725</v>
      </c>
      <c r="D29" s="2"/>
      <c r="E29" s="184" t="s">
        <v>337</v>
      </c>
      <c r="F29" s="183" t="s">
        <v>328</v>
      </c>
      <c r="G29" s="70" cm="1">
        <f t="array" ref="G29">ROUND(
C29
*(1-IFERROR(_xlfn.XLOOKUP(1,(DESC_PROV[LINEA]=$B$2)*(DESC_PROV[LISTA]=$C$2),DESC_PROV[DESCUENTO]),0))
*(1+VLOOKUP($C$2,LISTAS[],2,FALSE))
*(1+VLOOKUP($C$2,LISTAS[],3,FALSE)),0)</f>
        <v>32968</v>
      </c>
    </row>
    <row r="30" spans="1:7" ht="14.65" thickBot="1">
      <c r="A30" s="179" t="s">
        <v>338</v>
      </c>
      <c r="B30" s="183" t="s">
        <v>328</v>
      </c>
      <c r="C30" s="67">
        <v>82108</v>
      </c>
      <c r="D30" s="2"/>
      <c r="E30" s="184" t="s">
        <v>339</v>
      </c>
      <c r="F30" s="183" t="s">
        <v>328</v>
      </c>
      <c r="G30" s="70" cm="1">
        <f t="array" ref="G30">ROUND(
C30
*(1-IFERROR(_xlfn.XLOOKUP(1,(DESC_PROV[LINEA]=$B$2)*(DESC_PROV[LISTA]=$C$2),DESC_PROV[DESCUENTO]),0))
*(1+VLOOKUP($C$2,LISTAS[],2,FALSE))
*(1+VLOOKUP($C$2,LISTAS[],3,FALSE)),0)</f>
        <v>105225</v>
      </c>
    </row>
    <row r="31" spans="1:7" ht="14.65" thickBot="1">
      <c r="A31" s="185"/>
      <c r="B31" s="183"/>
      <c r="C31" s="67"/>
      <c r="D31" s="2"/>
      <c r="E31" s="184"/>
      <c r="F31" s="183"/>
      <c r="G31" s="70"/>
    </row>
    <row r="32" spans="1:7" ht="14.65" thickBot="1">
      <c r="A32" s="179" t="s">
        <v>340</v>
      </c>
      <c r="B32" s="183" t="s">
        <v>328</v>
      </c>
      <c r="C32" s="67">
        <v>62425</v>
      </c>
      <c r="D32" s="2"/>
      <c r="E32" s="184" t="s">
        <v>341</v>
      </c>
      <c r="F32" s="183" t="s">
        <v>328</v>
      </c>
      <c r="G32" s="70" cm="1">
        <f t="array" ref="G32">ROUND(
C32
*(1-IFERROR(_xlfn.XLOOKUP(1,(DESC_PROV[LINEA]=$B$2)*(DESC_PROV[LISTA]=$C$2),DESC_PROV[DESCUENTO]),0))
*(1+VLOOKUP($C$2,LISTAS[],2,FALSE))
*(1+VLOOKUP($C$2,LISTAS[],3,FALSE)),0)</f>
        <v>80000</v>
      </c>
    </row>
    <row r="33" spans="1:7" ht="14.65" thickBot="1">
      <c r="A33" s="179" t="s">
        <v>342</v>
      </c>
      <c r="B33" s="183" t="s">
        <v>328</v>
      </c>
      <c r="C33" s="67">
        <v>69735</v>
      </c>
      <c r="D33" s="2"/>
      <c r="E33" s="184" t="s">
        <v>343</v>
      </c>
      <c r="F33" s="183" t="s">
        <v>328</v>
      </c>
      <c r="G33" s="70" cm="1">
        <f t="array" ref="G33">ROUND(
C33
*(1-IFERROR(_xlfn.XLOOKUP(1,(DESC_PROV[LINEA]=$B$2)*(DESC_PROV[LISTA]=$C$2),DESC_PROV[DESCUENTO]),0))
*(1+VLOOKUP($C$2,LISTAS[],2,FALSE))
*(1+VLOOKUP($C$2,LISTAS[],3,FALSE)),0)</f>
        <v>89368</v>
      </c>
    </row>
    <row r="34" spans="1:7" ht="14.65" thickBot="1">
      <c r="A34" s="179" t="s">
        <v>344</v>
      </c>
      <c r="B34" s="183" t="s">
        <v>328</v>
      </c>
      <c r="C34" s="67">
        <v>84357</v>
      </c>
      <c r="D34" s="2"/>
      <c r="E34" s="184" t="s">
        <v>345</v>
      </c>
      <c r="F34" s="183" t="s">
        <v>328</v>
      </c>
      <c r="G34" s="70" cm="1">
        <f t="array" ref="G34">ROUND(
C34
*(1-IFERROR(_xlfn.XLOOKUP(1,(DESC_PROV[LINEA]=$B$2)*(DESC_PROV[LISTA]=$C$2),DESC_PROV[DESCUENTO]),0))
*(1+VLOOKUP($C$2,LISTAS[],2,FALSE))
*(1+VLOOKUP($C$2,LISTAS[],3,FALSE)),0)</f>
        <v>108107</v>
      </c>
    </row>
    <row r="35" spans="1:7" ht="14.65" thickBot="1">
      <c r="A35" s="185"/>
      <c r="B35" s="183"/>
      <c r="C35" s="67"/>
      <c r="D35" s="2"/>
      <c r="E35" s="184"/>
      <c r="F35" s="183"/>
      <c r="G35" s="70"/>
    </row>
    <row r="36" spans="1:7" ht="14.65" thickBot="1">
      <c r="A36" s="179" t="s">
        <v>346</v>
      </c>
      <c r="B36" s="183" t="s">
        <v>328</v>
      </c>
      <c r="C36" s="67">
        <v>51470</v>
      </c>
      <c r="D36" s="2"/>
      <c r="E36" s="184" t="s">
        <v>347</v>
      </c>
      <c r="F36" s="183" t="s">
        <v>308</v>
      </c>
      <c r="G36" s="70" cm="1">
        <f t="array" ref="G36">ROUND(
C36
*(1-IFERROR(_xlfn.XLOOKUP(1,(DESC_PROV[LINEA]=$B$2)*(DESC_PROV[LISTA]=$C$2),DESC_PROV[DESCUENTO]),0))
*(1+VLOOKUP($C$2,LISTAS[],2,FALSE))
*(1+VLOOKUP($C$2,LISTAS[],3,FALSE)),0)</f>
        <v>65961</v>
      </c>
    </row>
    <row r="37" spans="1:7" ht="14.65" thickBot="1">
      <c r="A37" s="179" t="s">
        <v>348</v>
      </c>
      <c r="B37" s="183" t="s">
        <v>328</v>
      </c>
      <c r="C37" s="67">
        <v>57902</v>
      </c>
      <c r="D37" s="2"/>
      <c r="E37" s="184" t="s">
        <v>349</v>
      </c>
      <c r="F37" s="183" t="s">
        <v>328</v>
      </c>
      <c r="G37" s="70" cm="1">
        <f t="array" ref="G37">ROUND(
C37
*(1-IFERROR(_xlfn.XLOOKUP(1,(DESC_PROV[LINEA]=$B$2)*(DESC_PROV[LISTA]=$C$2),DESC_PROV[DESCUENTO]),0))
*(1+VLOOKUP($C$2,LISTAS[],2,FALSE))
*(1+VLOOKUP($C$2,LISTAS[],3,FALSE)),0)</f>
        <v>74204</v>
      </c>
    </row>
  </sheetData>
  <mergeCells count="2">
    <mergeCell ref="A5:C5"/>
    <mergeCell ref="E5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879F-76F0-4AED-8713-21CA9AB62416}">
  <sheetPr codeName="Hoja15">
    <tabColor rgb="FFFF0000"/>
  </sheetPr>
  <dimension ref="A1:M12"/>
  <sheetViews>
    <sheetView zoomScale="70" zoomScaleNormal="70" workbookViewId="0">
      <selection sqref="A1:D2"/>
    </sheetView>
  </sheetViews>
  <sheetFormatPr baseColWidth="10" defaultRowHeight="14.25"/>
  <cols>
    <col min="1" max="1" width="25" customWidth="1"/>
    <col min="2" max="2" width="15.59765625" customWidth="1"/>
    <col min="3" max="3" width="12.3984375" customWidth="1"/>
    <col min="4" max="4" width="21.1328125" customWidth="1"/>
    <col min="5" max="5" width="20.59765625" customWidth="1"/>
    <col min="6" max="6" width="21.1328125" customWidth="1"/>
    <col min="7" max="7" width="8.73046875"/>
    <col min="8" max="8" width="17.86328125" customWidth="1"/>
    <col min="9" max="9" width="12.1328125" customWidth="1"/>
    <col min="10" max="10" width="12.73046875" customWidth="1"/>
    <col min="11" max="11" width="23.1328125" customWidth="1"/>
    <col min="12" max="12" width="20.86328125" customWidth="1"/>
    <col min="13" max="13" width="22.59765625" customWidth="1"/>
  </cols>
  <sheetData>
    <row r="1" spans="1:13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3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13">
      <c r="A4" s="320" t="s">
        <v>414</v>
      </c>
      <c r="B4" s="320"/>
      <c r="C4" s="320"/>
      <c r="D4" s="320"/>
      <c r="E4" s="320"/>
      <c r="F4" s="320"/>
      <c r="H4" s="320" t="s">
        <v>414</v>
      </c>
      <c r="I4" s="320"/>
      <c r="J4" s="320"/>
      <c r="K4" s="320"/>
      <c r="L4" s="320"/>
      <c r="M4" s="320"/>
    </row>
    <row r="5" spans="1:13" ht="14.65" thickBot="1">
      <c r="A5" s="321"/>
      <c r="B5" s="321"/>
      <c r="C5" s="321"/>
      <c r="D5" s="321"/>
      <c r="E5" s="321"/>
      <c r="F5" s="321"/>
      <c r="G5" s="2"/>
      <c r="H5" s="321"/>
      <c r="I5" s="321"/>
      <c r="J5" s="321"/>
      <c r="K5" s="321"/>
      <c r="L5" s="321"/>
      <c r="M5" s="321"/>
    </row>
    <row r="6" spans="1:13">
      <c r="A6" s="262" t="s">
        <v>351</v>
      </c>
      <c r="B6" s="41" t="s">
        <v>352</v>
      </c>
      <c r="C6" s="41" t="s">
        <v>353</v>
      </c>
      <c r="D6" s="41" t="s">
        <v>354</v>
      </c>
      <c r="E6" s="41" t="s">
        <v>355</v>
      </c>
      <c r="F6" s="263" t="s">
        <v>356</v>
      </c>
      <c r="G6" s="2"/>
      <c r="H6" s="262" t="s">
        <v>351</v>
      </c>
      <c r="I6" s="41" t="s">
        <v>352</v>
      </c>
      <c r="J6" s="41" t="s">
        <v>353</v>
      </c>
      <c r="K6" s="41" t="s">
        <v>354</v>
      </c>
      <c r="L6" s="41" t="s">
        <v>355</v>
      </c>
      <c r="M6" s="263" t="s">
        <v>356</v>
      </c>
    </row>
    <row r="7" spans="1:13">
      <c r="A7" s="21" t="s">
        <v>357</v>
      </c>
      <c r="B7" s="64">
        <v>41593</v>
      </c>
      <c r="C7" s="64">
        <v>0</v>
      </c>
      <c r="D7" s="64">
        <v>41593</v>
      </c>
      <c r="E7" s="64">
        <v>46863</v>
      </c>
      <c r="F7" s="64">
        <v>46863</v>
      </c>
      <c r="G7" s="2"/>
      <c r="H7" s="21" t="s">
        <v>357</v>
      </c>
      <c r="I7" s="65">
        <f>IFERROR(
ROUND(
IF($A$2="COSTO",
   B7,
   B7
   *1.21
   *(1+_xlfn.XLOOKUP("PVC",PVC[TIPO],PVC[FLETE]))
   *(1+_xlfn.XLOOKUP("PVC",PVC[TIPO],PVC[GANANCIA]))
),0),0)</f>
        <v>81027</v>
      </c>
      <c r="J7" s="65">
        <f>IFERROR(
ROUND(
IF($A$2="COSTO",
   C7,
   C7
   *1.21
   *(1+_xlfn.XLOOKUP("PVC",PVC[TIPO],PVC[FLETE]))
   *(1+_xlfn.XLOOKUP("PVC",PVC[TIPO],PVC[GANANCIA]))
),0),0)</f>
        <v>0</v>
      </c>
      <c r="K7" s="65">
        <f>IFERROR(
ROUND(
IF($A$2="COSTO",
   D7,
   D7
   *1.21
   *(1+_xlfn.XLOOKUP("PVC",PVC[TIPO],PVC[FLETE]))
   *(1+_xlfn.XLOOKUP("PVC",PVC[TIPO],PVC[GANANCIA]))
),0),0)</f>
        <v>81027</v>
      </c>
      <c r="L7" s="65">
        <f>IFERROR(
ROUND(
IF($A$2="COSTO",
   E7,
   E7
   *1.21
   *(1+_xlfn.XLOOKUP("PVC",PVC[TIPO],PVC[FLETE]))
   *(1+_xlfn.XLOOKUP("PVC",PVC[TIPO],PVC[GANANCIA]))
),0),0)</f>
        <v>91294</v>
      </c>
      <c r="M7" s="65">
        <f>IFERROR(
ROUND(
IF($A$2="COSTO",
   F7,
   F7
   *1.21
   *(1+_xlfn.XLOOKUP("PVC",PVC[TIPO],PVC[FLETE]))
   *(1+_xlfn.XLOOKUP("PVC",PVC[TIPO],PVC[GANANCIA]))
),0),0)</f>
        <v>91294</v>
      </c>
    </row>
    <row r="8" spans="1:13">
      <c r="A8" s="21" t="s">
        <v>358</v>
      </c>
      <c r="B8" s="64">
        <v>43834</v>
      </c>
      <c r="C8" s="64">
        <v>43834</v>
      </c>
      <c r="D8" s="64">
        <v>43834</v>
      </c>
      <c r="E8" s="64">
        <v>44072</v>
      </c>
      <c r="F8" s="64">
        <v>48479</v>
      </c>
      <c r="G8" s="2"/>
      <c r="H8" s="21" t="s">
        <v>358</v>
      </c>
      <c r="I8" s="65">
        <f>IFERROR(
ROUND(
IF($A$2="COSTO",
   B8,
   B8
   *1.21
   *(1+_xlfn.XLOOKUP("PVC",PVC[TIPO],PVC[FLETE]))
   *(1+_xlfn.XLOOKUP("PVC",PVC[TIPO],PVC[GANANCIA]))
),0),0)</f>
        <v>85393</v>
      </c>
      <c r="J8" s="65">
        <f>IFERROR(
ROUND(
IF($A$2="COSTO",
   C8,
   C8
   *1.21
   *(1+_xlfn.XLOOKUP("PVC",PVC[TIPO],PVC[FLETE]))
   *(1+_xlfn.XLOOKUP("PVC",PVC[TIPO],PVC[GANANCIA]))
),0),0)</f>
        <v>85393</v>
      </c>
      <c r="K8" s="65">
        <f>IFERROR(
ROUND(
IF($A$2="COSTO",
   D8,
   D8
   *1.21
   *(1+_xlfn.XLOOKUP("PVC",PVC[TIPO],PVC[FLETE]))
   *(1+_xlfn.XLOOKUP("PVC",PVC[TIPO],PVC[GANANCIA]))
),0),0)</f>
        <v>85393</v>
      </c>
      <c r="L8" s="65">
        <f>IFERROR(
ROUND(
IF($A$2="COSTO",
   E8,
   E8
   *1.21
   *(1+_xlfn.XLOOKUP("PVC",PVC[TIPO],PVC[FLETE]))
   *(1+_xlfn.XLOOKUP("PVC",PVC[TIPO],PVC[GANANCIA]))
),0),0)</f>
        <v>85857</v>
      </c>
      <c r="M8" s="65">
        <f>IFERROR(
ROUND(
IF($A$2="COSTO",
   F8,
   F8
   *1.21
   *(1+_xlfn.XLOOKUP("PVC",PVC[TIPO],PVC[FLETE]))
   *(1+_xlfn.XLOOKUP("PVC",PVC[TIPO],PVC[GANANCIA]))
),0),0)</f>
        <v>94442</v>
      </c>
    </row>
    <row r="9" spans="1:13">
      <c r="A9" s="21" t="s">
        <v>359</v>
      </c>
      <c r="B9" s="64">
        <v>47610</v>
      </c>
      <c r="C9" s="64">
        <v>47610</v>
      </c>
      <c r="D9" s="64">
        <v>47610</v>
      </c>
      <c r="E9" s="64">
        <v>55902</v>
      </c>
      <c r="F9" s="64">
        <v>55902</v>
      </c>
      <c r="G9" s="2"/>
      <c r="H9" s="21" t="s">
        <v>359</v>
      </c>
      <c r="I9" s="65">
        <f>IFERROR(
ROUND(
IF($A$2="COSTO",
   B9,
   B9
   *1.21
   *(1+_xlfn.XLOOKUP("PVC",PVC[TIPO],PVC[FLETE]))
   *(1+_xlfn.XLOOKUP("PVC",PVC[TIPO],PVC[GANANCIA]))
),0),0)</f>
        <v>92749</v>
      </c>
      <c r="J9" s="65">
        <f>IFERROR(
ROUND(
IF($A$2="COSTO",
   C9,
   C9
   *1.21
   *(1+_xlfn.XLOOKUP("PVC",PVC[TIPO],PVC[FLETE]))
   *(1+_xlfn.XLOOKUP("PVC",PVC[TIPO],PVC[GANANCIA]))
),0),0)</f>
        <v>92749</v>
      </c>
      <c r="K9" s="65">
        <f>IFERROR(
ROUND(
IF($A$2="COSTO",
   D9,
   D9
   *1.21
   *(1+_xlfn.XLOOKUP("PVC",PVC[TIPO],PVC[FLETE]))
   *(1+_xlfn.XLOOKUP("PVC",PVC[TIPO],PVC[GANANCIA]))
),0),0)</f>
        <v>92749</v>
      </c>
      <c r="L9" s="65">
        <f>IFERROR(
ROUND(
IF($A$2="COSTO",
   E9,
   E9
   *1.21
   *(1+_xlfn.XLOOKUP("PVC",PVC[TIPO],PVC[FLETE]))
   *(1+_xlfn.XLOOKUP("PVC",PVC[TIPO],PVC[GANANCIA]))
),0),0)</f>
        <v>108903</v>
      </c>
      <c r="M9" s="65">
        <f>IFERROR(
ROUND(
IF($A$2="COSTO",
   F9,
   F9
   *1.21
   *(1+_xlfn.XLOOKUP("PVC",PVC[TIPO],PVC[FLETE]))
   *(1+_xlfn.XLOOKUP("PVC",PVC[TIPO],PVC[GANANCIA]))
),0),0)</f>
        <v>108903</v>
      </c>
    </row>
    <row r="10" spans="1:13">
      <c r="A10" s="21" t="s">
        <v>360</v>
      </c>
      <c r="B10" s="64">
        <v>48726</v>
      </c>
      <c r="C10" s="64">
        <v>48726</v>
      </c>
      <c r="D10" s="64">
        <v>48726</v>
      </c>
      <c r="E10" s="64">
        <v>0</v>
      </c>
      <c r="F10" s="64">
        <v>0</v>
      </c>
      <c r="G10" s="2"/>
      <c r="H10" s="21" t="s">
        <v>360</v>
      </c>
      <c r="I10" s="65">
        <f>IFERROR(
ROUND(
IF($A$2="COSTO",
   B10,
   B10
   *1.21
   *(1+_xlfn.XLOOKUP("PVC",PVC[TIPO],PVC[FLETE]))
   *(1+_xlfn.XLOOKUP("PVC",PVC[TIPO],PVC[GANANCIA]))
),0),0)</f>
        <v>94923</v>
      </c>
      <c r="J10" s="65">
        <f>IFERROR(
ROUND(
IF($A$2="COSTO",
   C10,
   C10
   *1.21
   *(1+_xlfn.XLOOKUP("PVC",PVC[TIPO],PVC[FLETE]))
   *(1+_xlfn.XLOOKUP("PVC",PVC[TIPO],PVC[GANANCIA]))
),0),0)</f>
        <v>94923</v>
      </c>
      <c r="K10" s="65">
        <f>IFERROR(
ROUND(
IF($A$2="COSTO",
   D10,
   D10
   *1.21
   *(1+_xlfn.XLOOKUP("PVC",PVC[TIPO],PVC[FLETE]))
   *(1+_xlfn.XLOOKUP("PVC",PVC[TIPO],PVC[GANANCIA]))
),0),0)</f>
        <v>94923</v>
      </c>
      <c r="L10" s="65">
        <f>IFERROR(
ROUND(
IF($A$2="COSTO",
   E10,
   E10
   *1.21
   *(1+_xlfn.XLOOKUP("PVC",PVC[TIPO],PVC[FLETE]))
   *(1+_xlfn.XLOOKUP("PVC",PVC[TIPO],PVC[GANANCIA]))
),0),0)</f>
        <v>0</v>
      </c>
      <c r="M10" s="65">
        <f>IFERROR(
ROUND(
IF($A$2="COSTO",
   F10,
   F10
   *1.21
   *(1+_xlfn.XLOOKUP("PVC",PVC[TIPO],PVC[FLETE]))
   *(1+_xlfn.XLOOKUP("PVC",PVC[TIPO],PVC[GANANCIA]))
),0),0)</f>
        <v>0</v>
      </c>
    </row>
    <row r="11" spans="1:13">
      <c r="A11" s="21" t="s">
        <v>361</v>
      </c>
      <c r="B11" s="64">
        <v>56214</v>
      </c>
      <c r="C11" s="64">
        <v>0</v>
      </c>
      <c r="D11" s="64">
        <v>56214</v>
      </c>
      <c r="E11" s="64">
        <v>0</v>
      </c>
      <c r="F11" s="64">
        <v>0</v>
      </c>
      <c r="G11" s="2"/>
      <c r="H11" s="21" t="s">
        <v>361</v>
      </c>
      <c r="I11" s="65">
        <f>IFERROR(
ROUND(
IF($A$2="COSTO",
   B11,
   B11
   *1.21
   *(1+_xlfn.XLOOKUP("PVC",PVC[TIPO],PVC[FLETE]))
   *(1+_xlfn.XLOOKUP("PVC",PVC[TIPO],PVC[GANANCIA]))
),0),0)</f>
        <v>109510</v>
      </c>
      <c r="J11" s="65">
        <f>IFERROR(
ROUND(
IF($A$2="COSTO",
   C11,
   C11
   *1.21
   *(1+_xlfn.XLOOKUP("PVC",PVC[TIPO],PVC[FLETE]))
   *(1+_xlfn.XLOOKUP("PVC",PVC[TIPO],PVC[GANANCIA]))
),0),0)</f>
        <v>0</v>
      </c>
      <c r="K11" s="65">
        <f>IFERROR(
ROUND(
IF($A$2="COSTO",
   D11,
   D11
   *1.21
   *(1+_xlfn.XLOOKUP("PVC",PVC[TIPO],PVC[FLETE]))
   *(1+_xlfn.XLOOKUP("PVC",PVC[TIPO],PVC[GANANCIA]))
),0),0)</f>
        <v>109510</v>
      </c>
      <c r="L11" s="65">
        <f>IFERROR(
ROUND(
IF($A$2="COSTO",
   E11,
   E11
   *1.21
   *(1+_xlfn.XLOOKUP("PVC",PVC[TIPO],PVC[FLETE]))
   *(1+_xlfn.XLOOKUP("PVC",PVC[TIPO],PVC[GANANCIA]))
),0),0)</f>
        <v>0</v>
      </c>
      <c r="M11" s="65">
        <f>IFERROR(
ROUND(
IF($A$2="COSTO",
   F11,
   F11
   *1.21
   *(1+_xlfn.XLOOKUP("PVC",PVC[TIPO],PVC[FLETE]))
   *(1+_xlfn.XLOOKUP("PVC",PVC[TIPO],PVC[GANANCIA]))
),0),0)</f>
        <v>0</v>
      </c>
    </row>
    <row r="12" spans="1:13">
      <c r="A12" s="21" t="s">
        <v>362</v>
      </c>
      <c r="B12" s="64">
        <v>59566</v>
      </c>
      <c r="C12" s="64">
        <v>0</v>
      </c>
      <c r="D12" s="64">
        <v>59566</v>
      </c>
      <c r="E12" s="64">
        <v>0</v>
      </c>
      <c r="F12" s="64">
        <v>0</v>
      </c>
      <c r="G12" s="2"/>
      <c r="H12" s="21" t="s">
        <v>362</v>
      </c>
      <c r="I12" s="65">
        <f>IFERROR(
ROUND(
IF($A$2="COSTO",
   B12,
   B12
   *1.21
   *(1+_xlfn.XLOOKUP("PVC",PVC[TIPO],PVC[FLETE]))
   *(1+_xlfn.XLOOKUP("PVC",PVC[TIPO],PVC[GANANCIA]))
),0),0)</f>
        <v>116041</v>
      </c>
      <c r="J12" s="65">
        <f>IFERROR(
ROUND(
IF($A$2="COSTO",
   C12,
   C12
   *1.21
   *(1+_xlfn.XLOOKUP("PVC",PVC[TIPO],PVC[FLETE]))
   *(1+_xlfn.XLOOKUP("PVC",PVC[TIPO],PVC[GANANCIA]))
),0),0)</f>
        <v>0</v>
      </c>
      <c r="K12" s="65">
        <f>IFERROR(
ROUND(
IF($A$2="COSTO",
   D12,
   D12
   *1.21
   *(1+_xlfn.XLOOKUP("PVC",PVC[TIPO],PVC[FLETE]))
   *(1+_xlfn.XLOOKUP("PVC",PVC[TIPO],PVC[GANANCIA]))
),0),0)</f>
        <v>116041</v>
      </c>
      <c r="L12" s="65">
        <f>IFERROR(
ROUND(
IF($A$2="COSTO",
   E12,
   E12
   *1.21
   *(1+_xlfn.XLOOKUP("PVC",PVC[TIPO],PVC[FLETE]))
   *(1+_xlfn.XLOOKUP("PVC",PVC[TIPO],PVC[GANANCIA]))
),0),0)</f>
        <v>0</v>
      </c>
      <c r="M12" s="65">
        <f>IFERROR(
ROUND(
IF($A$2="COSTO",
   F12,
   F12
   *1.21
   *(1+_xlfn.XLOOKUP("PVC",PVC[TIPO],PVC[FLETE]))
   *(1+_xlfn.XLOOKUP("PVC",PVC[TIPO],PVC[GANANCIA]))
),0),0)</f>
        <v>0</v>
      </c>
    </row>
  </sheetData>
  <mergeCells count="2">
    <mergeCell ref="A4:F5"/>
    <mergeCell ref="H4:M5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67C2-E4A4-4716-91FF-75C9E2A9C96E}">
  <sheetPr codeName="Hoja16">
    <tabColor rgb="FFFF0000"/>
  </sheetPr>
  <dimension ref="A1:M10"/>
  <sheetViews>
    <sheetView zoomScale="70" zoomScaleNormal="70" workbookViewId="0">
      <selection sqref="A1:D2"/>
    </sheetView>
  </sheetViews>
  <sheetFormatPr baseColWidth="10" defaultRowHeight="14.25"/>
  <cols>
    <col min="1" max="1" width="25" customWidth="1"/>
    <col min="2" max="2" width="15.59765625" customWidth="1"/>
    <col min="3" max="3" width="12.3984375" customWidth="1"/>
    <col min="4" max="4" width="21.1328125" customWidth="1"/>
    <col min="5" max="5" width="20.59765625" customWidth="1"/>
    <col min="6" max="6" width="21.1328125" customWidth="1"/>
    <col min="7" max="7" width="8.73046875"/>
    <col min="8" max="8" width="17.86328125" customWidth="1"/>
    <col min="9" max="9" width="12.1328125" customWidth="1"/>
    <col min="10" max="10" width="12.73046875" customWidth="1"/>
    <col min="11" max="11" width="23.1328125" customWidth="1"/>
    <col min="12" max="12" width="20.86328125" customWidth="1"/>
    <col min="13" max="13" width="22.59765625" customWidth="1"/>
  </cols>
  <sheetData>
    <row r="1" spans="1:13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13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13" ht="14.65" thickBot="1"/>
    <row r="5" spans="1:13" ht="25.9" thickBot="1">
      <c r="A5" s="276" t="s">
        <v>363</v>
      </c>
      <c r="B5" s="277"/>
      <c r="C5" s="277"/>
      <c r="D5" s="277"/>
      <c r="E5" s="277"/>
      <c r="F5" s="278"/>
      <c r="G5" s="2"/>
      <c r="H5" s="276" t="s">
        <v>363</v>
      </c>
      <c r="I5" s="277"/>
      <c r="J5" s="277"/>
      <c r="K5" s="277"/>
      <c r="L5" s="277"/>
      <c r="M5" s="278"/>
    </row>
    <row r="6" spans="1:13">
      <c r="A6" s="262" t="s">
        <v>351</v>
      </c>
      <c r="B6" s="41" t="s">
        <v>364</v>
      </c>
      <c r="C6" s="41" t="s">
        <v>365</v>
      </c>
      <c r="D6" s="41" t="s">
        <v>366</v>
      </c>
      <c r="E6" s="41" t="s">
        <v>367</v>
      </c>
      <c r="F6" s="263" t="s">
        <v>368</v>
      </c>
      <c r="G6" s="2"/>
      <c r="H6" s="262" t="s">
        <v>351</v>
      </c>
      <c r="I6" s="41" t="s">
        <v>364</v>
      </c>
      <c r="J6" s="41" t="s">
        <v>365</v>
      </c>
      <c r="K6" s="41" t="s">
        <v>366</v>
      </c>
      <c r="L6" s="41" t="s">
        <v>367</v>
      </c>
      <c r="M6" s="263" t="s">
        <v>368</v>
      </c>
    </row>
    <row r="7" spans="1:13">
      <c r="A7" s="21" t="s">
        <v>369</v>
      </c>
      <c r="B7" s="64">
        <v>18273</v>
      </c>
      <c r="C7" s="64">
        <v>22631</v>
      </c>
      <c r="D7" s="64">
        <v>21290</v>
      </c>
      <c r="E7" s="64">
        <v>31863</v>
      </c>
      <c r="F7" s="64">
        <v>38235</v>
      </c>
      <c r="G7" s="2"/>
      <c r="H7" s="21" t="s">
        <v>369</v>
      </c>
      <c r="I7" s="65">
        <f>IFERROR(
ROUND(
IF($A$2="COSTO",
   B7,
   B7
   *1.21
   *(1+_xlfn.XLOOKUP("PVC",PVC[TIPO],PVC[FLETE]))
   *(1+_xlfn.XLOOKUP("PVC",PVC[TIPO],PVC[GANANCIA]))
),0),0)</f>
        <v>35598</v>
      </c>
      <c r="J7" s="65">
        <f>IFERROR(
ROUND(
IF($A$2="COSTO",
   C7,
   C7
   *1.21
   *(1+_xlfn.XLOOKUP("PVC",PVC[TIPO],PVC[FLETE]))
   *(1+_xlfn.XLOOKUP("PVC",PVC[TIPO],PVC[GANANCIA]))
),0),0)</f>
        <v>44087</v>
      </c>
      <c r="K7" s="65">
        <f>IFERROR(
ROUND(
IF($A$2="COSTO",
   D7,
   D7
   *1.21
   *(1+_xlfn.XLOOKUP("PVC",PVC[TIPO],PVC[FLETE]))
   *(1+_xlfn.XLOOKUP("PVC",PVC[TIPO],PVC[GANANCIA]))
),0),0)</f>
        <v>41475</v>
      </c>
      <c r="L7" s="65">
        <f>IFERROR(
ROUND(
IF($A$2="COSTO",
   E7,
   E7
   *1.21
   *(1+_xlfn.XLOOKUP("PVC",PVC[TIPO],PVC[FLETE]))
   *(1+_xlfn.XLOOKUP("PVC",PVC[TIPO],PVC[GANANCIA]))
),0),0)</f>
        <v>62072</v>
      </c>
      <c r="M7" s="66">
        <f>IFERROR(
ROUND(
IF($A$2="COSTO",
   F7,
   F7
   *1.21
   *(1+_xlfn.XLOOKUP("PVC",PVC[TIPO],PVC[FLETE]))
   *(1+_xlfn.XLOOKUP("PVC",PVC[TIPO],PVC[GANANCIA]))
),0),0)</f>
        <v>74486</v>
      </c>
    </row>
    <row r="8" spans="1:13">
      <c r="A8" s="21" t="s">
        <v>370</v>
      </c>
      <c r="B8" s="64">
        <v>14023</v>
      </c>
      <c r="C8" s="64">
        <v>17097</v>
      </c>
      <c r="D8" s="64">
        <v>16726</v>
      </c>
      <c r="E8" s="64">
        <v>23653</v>
      </c>
      <c r="F8" s="64">
        <v>28383</v>
      </c>
      <c r="G8" s="2"/>
      <c r="H8" s="21" t="s">
        <v>370</v>
      </c>
      <c r="I8" s="65">
        <f>IFERROR(
ROUND(
IF($A$2="COSTO",
   B8,
   B8
   *1.21
   *(1+_xlfn.XLOOKUP("PVC",PVC[TIPO],PVC[FLETE]))
   *(1+_xlfn.XLOOKUP("PVC",PVC[TIPO],PVC[GANANCIA]))
),0),0)</f>
        <v>27318</v>
      </c>
      <c r="J8" s="65">
        <f>IFERROR(
ROUND(
IF($A$2="COSTO",
   C8,
   C8
   *1.21
   *(1+_xlfn.XLOOKUP("PVC",PVC[TIPO],PVC[FLETE]))
   *(1+_xlfn.XLOOKUP("PVC",PVC[TIPO],PVC[GANANCIA]))
),0),0)</f>
        <v>33307</v>
      </c>
      <c r="K8" s="65">
        <f>IFERROR(
ROUND(
IF($A$2="COSTO",
   D8,
   D8
   *1.21
   *(1+_xlfn.XLOOKUP("PVC",PVC[TIPO],PVC[FLETE]))
   *(1+_xlfn.XLOOKUP("PVC",PVC[TIPO],PVC[GANANCIA]))
),0),0)</f>
        <v>32584</v>
      </c>
      <c r="L8" s="65">
        <f>IFERROR(
ROUND(
IF($A$2="COSTO",
   E8,
   E8
   *1.21
   *(1+_xlfn.XLOOKUP("PVC",PVC[TIPO],PVC[FLETE]))
   *(1+_xlfn.XLOOKUP("PVC",PVC[TIPO],PVC[GANANCIA]))
),0),0)</f>
        <v>46078</v>
      </c>
      <c r="M8" s="66">
        <f>IFERROR(
ROUND(
IF($A$2="COSTO",
   F8,
   F8
   *1.21
   *(1+_xlfn.XLOOKUP("PVC",PVC[TIPO],PVC[FLETE]))
   *(1+_xlfn.XLOOKUP("PVC",PVC[TIPO],PVC[GANANCIA]))
),0),0)</f>
        <v>55293</v>
      </c>
    </row>
    <row r="9" spans="1:13">
      <c r="A9" s="21" t="s">
        <v>371</v>
      </c>
      <c r="B9" s="64">
        <v>702</v>
      </c>
      <c r="C9" s="64">
        <v>875</v>
      </c>
      <c r="D9" s="64">
        <v>837</v>
      </c>
      <c r="E9" s="64">
        <v>1183</v>
      </c>
      <c r="F9" s="64">
        <v>1420</v>
      </c>
      <c r="G9" s="2"/>
      <c r="H9" s="21" t="s">
        <v>371</v>
      </c>
      <c r="I9" s="65">
        <f>IFERROR(
ROUND(
IF($A$2="COSTO",
   B9,
   B9
   *1.21
   *(1+_xlfn.XLOOKUP("PVC",PVC[TIPO],PVC[FLETE]))
   *(1+_xlfn.XLOOKUP("PVC",PVC[TIPO],PVC[GANANCIA]))
),0),0)</f>
        <v>1368</v>
      </c>
      <c r="J9" s="65">
        <f>IFERROR(
ROUND(
IF($A$2="COSTO",
   C9,
   C9
   *1.21
   *(1+_xlfn.XLOOKUP("PVC",PVC[TIPO],PVC[FLETE]))
   *(1+_xlfn.XLOOKUP("PVC",PVC[TIPO],PVC[GANANCIA]))
),0),0)</f>
        <v>1705</v>
      </c>
      <c r="K9" s="65">
        <f>IFERROR(
ROUND(
IF($A$2="COSTO",
   D9,
   D9
   *1.21
   *(1+_xlfn.XLOOKUP("PVC",PVC[TIPO],PVC[FLETE]))
   *(1+_xlfn.XLOOKUP("PVC",PVC[TIPO],PVC[GANANCIA]))
),0),0)</f>
        <v>1631</v>
      </c>
      <c r="L9" s="65">
        <f>IFERROR(
ROUND(
IF($A$2="COSTO",
   E9,
   E9
   *1.21
   *(1+_xlfn.XLOOKUP("PVC",PVC[TIPO],PVC[FLETE]))
   *(1+_xlfn.XLOOKUP("PVC",PVC[TIPO],PVC[GANANCIA]))
),0),0)</f>
        <v>2305</v>
      </c>
      <c r="M9" s="66">
        <f>IFERROR(
ROUND(
IF($A$2="COSTO",
   F9,
   F9
   *1.21
   *(1+_xlfn.XLOOKUP("PVC",PVC[TIPO],PVC[FLETE]))
   *(1+_xlfn.XLOOKUP("PVC",PVC[TIPO],PVC[GANANCIA]))
),0),0)</f>
        <v>2766</v>
      </c>
    </row>
    <row r="10" spans="1:13" ht="14.65" thickBot="1">
      <c r="A10" s="22" t="s">
        <v>372</v>
      </c>
      <c r="B10" s="64">
        <v>1584</v>
      </c>
      <c r="C10" s="64">
        <v>1574</v>
      </c>
      <c r="D10" s="64">
        <v>1584</v>
      </c>
      <c r="E10" s="64">
        <v>1584</v>
      </c>
      <c r="F10" s="64">
        <v>1901</v>
      </c>
      <c r="G10" s="2"/>
      <c r="H10" s="22" t="s">
        <v>372</v>
      </c>
      <c r="I10" s="65">
        <f>IFERROR(
ROUND(
IF($A$2="COSTO",
   B10,
   B10
   *1.21
   *(1+_xlfn.XLOOKUP("PVC",PVC[TIPO],PVC[FLETE]))
   *(1+_xlfn.XLOOKUP("PVC",PVC[TIPO],PVC[GANANCIA]))
),0),0)</f>
        <v>3086</v>
      </c>
      <c r="J10" s="65">
        <f>IFERROR(
ROUND(
IF($A$2="COSTO",
   C10,
   C10
   *1.21
   *(1+_xlfn.XLOOKUP("PVC",PVC[TIPO],PVC[FLETE]))
   *(1+_xlfn.XLOOKUP("PVC",PVC[TIPO],PVC[GANANCIA]))
),0),0)</f>
        <v>3066</v>
      </c>
      <c r="K10" s="65">
        <f>IFERROR(
ROUND(
IF($A$2="COSTO",
   D10,
   D10
   *1.21
   *(1+_xlfn.XLOOKUP("PVC",PVC[TIPO],PVC[FLETE]))
   *(1+_xlfn.XLOOKUP("PVC",PVC[TIPO],PVC[GANANCIA]))
),0),0)</f>
        <v>3086</v>
      </c>
      <c r="L10" s="65">
        <f>IFERROR(
ROUND(
IF($A$2="COSTO",
   E10,
   E10
   *1.21
   *(1+_xlfn.XLOOKUP("PVC",PVC[TIPO],PVC[FLETE]))
   *(1+_xlfn.XLOOKUP("PVC",PVC[TIPO],PVC[GANANCIA]))
),0),0)</f>
        <v>3086</v>
      </c>
      <c r="M10" s="66">
        <f>IFERROR(
ROUND(
IF($A$2="COSTO",
   F10,
   F10
   *1.21
   *(1+_xlfn.XLOOKUP("PVC",PVC[TIPO],PVC[FLETE]))
   *(1+_xlfn.XLOOKUP("PVC",PVC[TIPO],PVC[GANANCIA]))
),0),0)</f>
        <v>3703</v>
      </c>
    </row>
  </sheetData>
  <mergeCells count="2">
    <mergeCell ref="A5:F5"/>
    <mergeCell ref="H5:M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86F8-FC8A-40D1-B200-8A7224C00755}">
  <sheetPr codeName="Hoja17">
    <tabColor rgb="FFFF0000"/>
  </sheetPr>
  <dimension ref="A1:I47"/>
  <sheetViews>
    <sheetView zoomScale="70" zoomScaleNormal="70" workbookViewId="0">
      <selection activeCell="C2" sqref="C2"/>
    </sheetView>
  </sheetViews>
  <sheetFormatPr baseColWidth="10" defaultRowHeight="14.25"/>
  <cols>
    <col min="1" max="1" width="20.3984375" customWidth="1"/>
    <col min="6" max="6" width="20.3984375" customWidth="1"/>
    <col min="11" max="11" width="14.3984375" customWidth="1"/>
    <col min="13" max="13" width="16.06640625" customWidth="1"/>
  </cols>
  <sheetData>
    <row r="1" spans="1:9">
      <c r="A1" s="254" t="s">
        <v>34</v>
      </c>
      <c r="B1" s="255" t="s">
        <v>396</v>
      </c>
      <c r="C1" s="255" t="s">
        <v>397</v>
      </c>
      <c r="D1" s="256" t="s">
        <v>28</v>
      </c>
    </row>
    <row r="2" spans="1:9" ht="14.65" thickBot="1">
      <c r="A2" s="210" t="str">
        <f>CONTROL!B4</f>
        <v>VENTA</v>
      </c>
      <c r="B2" s="252" t="s">
        <v>399</v>
      </c>
      <c r="C2" s="252" t="str">
        <f>CONTROL!C4</f>
        <v>AMARILLA</v>
      </c>
      <c r="D2" s="253" t="str">
        <f>CONTROL!D4</f>
        <v>BLANCO</v>
      </c>
    </row>
    <row r="4" spans="1:9" ht="14.65" thickBot="1"/>
    <row r="5" spans="1:9">
      <c r="A5" s="322" t="s">
        <v>375</v>
      </c>
      <c r="B5" s="323"/>
      <c r="C5" s="323"/>
      <c r="D5" s="324"/>
      <c r="F5" s="322" t="s">
        <v>375</v>
      </c>
      <c r="G5" s="323"/>
      <c r="H5" s="323"/>
      <c r="I5" s="324"/>
    </row>
    <row r="6" spans="1:9" ht="14.65" thickBot="1">
      <c r="A6" s="325"/>
      <c r="B6" s="326"/>
      <c r="C6" s="326"/>
      <c r="D6" s="327"/>
      <c r="F6" s="325"/>
      <c r="G6" s="326"/>
      <c r="H6" s="326"/>
      <c r="I6" s="327"/>
    </row>
    <row r="7" spans="1:9">
      <c r="A7" s="328" t="s">
        <v>376</v>
      </c>
      <c r="B7" s="205" t="s">
        <v>377</v>
      </c>
      <c r="C7" s="206" t="s">
        <v>378</v>
      </c>
      <c r="D7" s="207" t="s">
        <v>379</v>
      </c>
      <c r="F7" s="328" t="s">
        <v>376</v>
      </c>
      <c r="G7" s="205" t="s">
        <v>377</v>
      </c>
      <c r="H7" s="206" t="s">
        <v>378</v>
      </c>
      <c r="I7" s="207" t="s">
        <v>379</v>
      </c>
    </row>
    <row r="8" spans="1:9" ht="14.65" thickBot="1">
      <c r="A8" s="329"/>
      <c r="B8" s="208" t="s">
        <v>390</v>
      </c>
      <c r="C8" s="209">
        <v>62100</v>
      </c>
      <c r="D8" s="209">
        <v>66000</v>
      </c>
      <c r="F8" s="329"/>
      <c r="G8" s="208" t="s">
        <v>390</v>
      </c>
      <c r="H8" s="209">
        <f>IFERROR(
ROUND(
IF($A$2="COSTO",
   C8*(1-0.09),
   C8*(1-0.09)
   *(1+VLOOKUP($C$2,LISTAS[],3,FALSE))
   *(1+VLOOKUP($C$2,LISTAS[],7,FALSE))
),0),0)</f>
        <v>80811</v>
      </c>
      <c r="I8" s="209">
        <f>IFERROR(
ROUND(
IF($A$2="COSTO",
   D8*(1-0.09),
   D8*(1-0.09)
   *(1+VLOOKUP($C$2,LISTAS[],3,FALSE))
   *(1+VLOOKUP($C$2,LISTAS[],7,FALSE))
),0),0)</f>
        <v>85886</v>
      </c>
    </row>
    <row r="9" spans="1:9">
      <c r="A9" s="328" t="s">
        <v>380</v>
      </c>
      <c r="B9" s="208" t="s">
        <v>393</v>
      </c>
      <c r="C9" s="209">
        <v>62100</v>
      </c>
      <c r="D9" s="209">
        <v>66000</v>
      </c>
      <c r="F9" s="328" t="s">
        <v>380</v>
      </c>
      <c r="G9" s="208" t="s">
        <v>393</v>
      </c>
      <c r="H9" s="209">
        <f>IFERROR(
ROUND(
IF($A$2="COSTO",
   C9*(1-0.09),
   C9*(1-0.09)
   *(1+VLOOKUP($C$2,LISTAS[],3,FALSE))
   *(1+VLOOKUP($C$2,LISTAS[],7,FALSE))
),0),0)</f>
        <v>80811</v>
      </c>
      <c r="I9" s="209">
        <f>IFERROR(
ROUND(
IF($A$2="COSTO",
   D9*(1-0.09),
   D9*(1-0.09)
   *(1+VLOOKUP($C$2,LISTAS[],3,FALSE))
   *(1+VLOOKUP($C$2,LISTAS[],7,FALSE))
),0),0)</f>
        <v>85886</v>
      </c>
    </row>
    <row r="10" spans="1:9" ht="14.65" thickBot="1">
      <c r="A10" s="330"/>
      <c r="B10" s="210" t="s">
        <v>394</v>
      </c>
      <c r="C10" s="209">
        <v>66000</v>
      </c>
      <c r="D10" s="209">
        <v>70100</v>
      </c>
      <c r="F10" s="330"/>
      <c r="G10" s="210" t="s">
        <v>394</v>
      </c>
      <c r="H10" s="209">
        <f>IFERROR(
ROUND(
IF($A$2="COSTO",
   C10*(1-0.09),
   C10*(1-0.09)
   *(1+VLOOKUP($C$2,LISTAS[],3,FALSE))
   *(1+VLOOKUP($C$2,LISTAS[],7,FALSE))
),0),0)</f>
        <v>85886</v>
      </c>
      <c r="I10" s="209">
        <f>IFERROR(
ROUND(
IF($A$2="COSTO",
   D10*(1-0.09),
   D10*(1-0.09)
   *(1+VLOOKUP($C$2,LISTAS[],3,FALSE))
   *(1+VLOOKUP($C$2,LISTAS[],7,FALSE))
),0),0)</f>
        <v>91221</v>
      </c>
    </row>
    <row r="11" spans="1:9" ht="14.65" thickBot="1">
      <c r="H11" s="209"/>
      <c r="I11" s="209"/>
    </row>
    <row r="12" spans="1:9">
      <c r="A12" s="328" t="s">
        <v>381</v>
      </c>
      <c r="B12" s="205" t="s">
        <v>377</v>
      </c>
      <c r="C12" s="206" t="s">
        <v>378</v>
      </c>
      <c r="D12" s="207" t="s">
        <v>379</v>
      </c>
      <c r="F12" s="328" t="s">
        <v>382</v>
      </c>
      <c r="G12" s="205" t="s">
        <v>377</v>
      </c>
      <c r="H12" s="206" t="s">
        <v>378</v>
      </c>
      <c r="I12" s="207" t="s">
        <v>379</v>
      </c>
    </row>
    <row r="13" spans="1:9" ht="14.65" thickBot="1">
      <c r="A13" s="329"/>
      <c r="B13" s="208" t="s">
        <v>390</v>
      </c>
      <c r="C13" s="209">
        <v>112717</v>
      </c>
      <c r="D13" s="209">
        <v>117180</v>
      </c>
      <c r="F13" s="329"/>
      <c r="G13" s="208" t="s">
        <v>390</v>
      </c>
      <c r="H13" s="209">
        <f>IFERROR(
ROUND(
IF($A$2="COSTO",
   C13*(1-0.09),
   C13*(1-0.09)
   *(1+VLOOKUP($C$2,LISTAS[],3,FALSE))
   *(1+VLOOKUP($C$2,LISTAS[],7,FALSE))
),0),0)</f>
        <v>146679</v>
      </c>
      <c r="I13" s="209">
        <f>IFERROR(
ROUND(
IF($A$2="COSTO",
   D13*(1-0.09),
   D13*(1-0.09)
   *(1+VLOOKUP($C$2,LISTAS[],3,FALSE))
   *(1+VLOOKUP($C$2,LISTAS[],7,FALSE))
),0),0)</f>
        <v>152486</v>
      </c>
    </row>
    <row r="14" spans="1:9">
      <c r="A14" s="328" t="s">
        <v>383</v>
      </c>
      <c r="B14" s="208" t="s">
        <v>393</v>
      </c>
      <c r="C14" s="209">
        <v>112717</v>
      </c>
      <c r="D14" s="209">
        <v>117180</v>
      </c>
      <c r="F14" s="328" t="s">
        <v>380</v>
      </c>
      <c r="G14" s="208" t="s">
        <v>393</v>
      </c>
      <c r="H14" s="209">
        <f>IFERROR(
ROUND(
IF($A$2="COSTO",
   C14*(1-0.09),
   C14*(1-0.09)
   *(1+VLOOKUP($C$2,LISTAS[],3,FALSE))
   *(1+VLOOKUP($C$2,LISTAS[],7,FALSE))
),0),0)</f>
        <v>146679</v>
      </c>
      <c r="I14" s="209">
        <f>IFERROR(
ROUND(
IF($A$2="COSTO",
   D14*(1-0.09),
   D14*(1-0.09)
   *(1+VLOOKUP($C$2,LISTAS[],3,FALSE))
   *(1+VLOOKUP($C$2,LISTAS[],7,FALSE))
),0),0)</f>
        <v>152486</v>
      </c>
    </row>
    <row r="15" spans="1:9" ht="14.65" thickBot="1">
      <c r="A15" s="330"/>
      <c r="B15" s="210" t="s">
        <v>394</v>
      </c>
      <c r="C15" s="209">
        <v>116550</v>
      </c>
      <c r="D15" s="209">
        <v>122300</v>
      </c>
      <c r="F15" s="330"/>
      <c r="G15" s="210" t="s">
        <v>394</v>
      </c>
      <c r="H15" s="209">
        <f>IFERROR(
ROUND(
IF($A$2="COSTO",
   C15*(1-0.09),
   C15*(1-0.09)
   *(1+VLOOKUP($C$2,LISTAS[],3,FALSE))
   *(1+VLOOKUP($C$2,LISTAS[],7,FALSE))
),0),0)</f>
        <v>151667</v>
      </c>
      <c r="I15" s="209">
        <f>IFERROR(
ROUND(
IF($A$2="COSTO",
   D15*(1-0.09),
   D15*(1-0.09)
   *(1+VLOOKUP($C$2,LISTAS[],3,FALSE))
   *(1+VLOOKUP($C$2,LISTAS[],7,FALSE))
),0),0)</f>
        <v>159149</v>
      </c>
    </row>
    <row r="16" spans="1:9" ht="14.65" thickBot="1">
      <c r="H16" s="209"/>
      <c r="I16" s="209"/>
    </row>
    <row r="17" spans="1:9">
      <c r="A17" s="328" t="s">
        <v>382</v>
      </c>
      <c r="B17" s="205" t="s">
        <v>377</v>
      </c>
      <c r="C17" s="206" t="s">
        <v>378</v>
      </c>
      <c r="D17" s="207" t="s">
        <v>379</v>
      </c>
      <c r="F17" s="328" t="s">
        <v>382</v>
      </c>
      <c r="G17" s="205" t="s">
        <v>377</v>
      </c>
      <c r="H17" s="206" t="s">
        <v>378</v>
      </c>
      <c r="I17" s="207" t="s">
        <v>379</v>
      </c>
    </row>
    <row r="18" spans="1:9" ht="14.65" thickBot="1">
      <c r="A18" s="329"/>
      <c r="B18" s="208" t="s">
        <v>390</v>
      </c>
      <c r="C18" s="209">
        <v>184297</v>
      </c>
      <c r="D18" s="209">
        <v>204498</v>
      </c>
      <c r="F18" s="329"/>
      <c r="G18" s="208" t="s">
        <v>390</v>
      </c>
      <c r="H18" s="209">
        <f>IFERROR(
ROUND(
IF($A$2="COSTO",
   C18*(1-0.09),
   C18*(1-0.09)
   *(1+VLOOKUP($C$2,LISTAS[],3,FALSE))
   *(1+VLOOKUP($C$2,LISTAS[],7,FALSE))
),0),0)</f>
        <v>239826</v>
      </c>
      <c r="I18" s="209">
        <f>IFERROR(
ROUND(
IF($A$2="COSTO",
   D18*(1-0.09),
   D18*(1-0.09)
   *(1+VLOOKUP($C$2,LISTAS[],3,FALSE))
   *(1+VLOOKUP($C$2,LISTAS[],7,FALSE))
),0),0)</f>
        <v>266113</v>
      </c>
    </row>
    <row r="19" spans="1:9">
      <c r="A19" s="328" t="s">
        <v>383</v>
      </c>
      <c r="B19" s="208" t="s">
        <v>393</v>
      </c>
      <c r="C19" s="209">
        <v>184297</v>
      </c>
      <c r="D19" s="209">
        <v>204498</v>
      </c>
      <c r="F19" s="328" t="s">
        <v>383</v>
      </c>
      <c r="G19" s="208" t="s">
        <v>393</v>
      </c>
      <c r="H19" s="209">
        <f>IFERROR(
ROUND(
IF($A$2="COSTO",
   C19*(1-0.09),
   C19*(1-0.09)
   *(1+VLOOKUP($C$2,LISTAS[],3,FALSE))
   *(1+VLOOKUP($C$2,LISTAS[],7,FALSE))
),0),0)</f>
        <v>239826</v>
      </c>
      <c r="I19" s="209">
        <f>IFERROR(
ROUND(
IF($A$2="COSTO",
   D19*(1-0.09),
   D19*(1-0.09)
   *(1+VLOOKUP($C$2,LISTAS[],3,FALSE))
   *(1+VLOOKUP($C$2,LISTAS[],7,FALSE))
),0),0)</f>
        <v>266113</v>
      </c>
    </row>
    <row r="20" spans="1:9" ht="14.65" thickBot="1">
      <c r="A20" s="330"/>
      <c r="B20" s="210" t="s">
        <v>394</v>
      </c>
      <c r="C20" s="209">
        <v>194121</v>
      </c>
      <c r="D20" s="209">
        <v>208575</v>
      </c>
      <c r="F20" s="330"/>
      <c r="G20" s="210" t="s">
        <v>394</v>
      </c>
      <c r="H20" s="209">
        <f>IFERROR(
ROUND(
IF($A$2="COSTO",
   C20*(1-0.09),
   C20*(1-0.09)
   *(1+VLOOKUP($C$2,LISTAS[],3,FALSE))
   *(1+VLOOKUP($C$2,LISTAS[],7,FALSE))
),0),0)</f>
        <v>252610</v>
      </c>
      <c r="I20" s="209">
        <f>IFERROR(
ROUND(
IF($A$2="COSTO",
   D20*(1-0.09),
   D20*(1-0.09)
   *(1+VLOOKUP($C$2,LISTAS[],3,FALSE))
   *(1+VLOOKUP($C$2,LISTAS[],7,FALSE))
),0),0)</f>
        <v>271419</v>
      </c>
    </row>
    <row r="21" spans="1:9" ht="14.65" thickBot="1">
      <c r="H21" s="209"/>
    </row>
    <row r="22" spans="1:9">
      <c r="A22" s="328" t="s">
        <v>384</v>
      </c>
      <c r="B22" s="205" t="s">
        <v>377</v>
      </c>
      <c r="C22" s="211" t="s">
        <v>384</v>
      </c>
      <c r="F22" s="328" t="s">
        <v>384</v>
      </c>
      <c r="G22" s="205" t="s">
        <v>377</v>
      </c>
      <c r="H22" s="211" t="s">
        <v>384</v>
      </c>
    </row>
    <row r="23" spans="1:9" ht="14.65" thickBot="1">
      <c r="A23" s="329"/>
      <c r="B23" s="208" t="s">
        <v>390</v>
      </c>
      <c r="C23" s="209">
        <v>64350</v>
      </c>
      <c r="F23" s="329"/>
      <c r="G23" s="208" t="s">
        <v>390</v>
      </c>
      <c r="H23" s="209">
        <f>IFERROR(
ROUND(
IF($A$2="COSTO",
   C23*(1-0.09),
   C23*(1-0.09)
   *(1+VLOOKUP($C$2,LISTAS[],3,FALSE))
   *(1+VLOOKUP($C$2,LISTAS[],7,FALSE))
),0),0)</f>
        <v>83739</v>
      </c>
    </row>
    <row r="24" spans="1:9">
      <c r="A24" s="328" t="s">
        <v>380</v>
      </c>
      <c r="B24" s="208" t="s">
        <v>393</v>
      </c>
      <c r="C24" s="209">
        <v>64350</v>
      </c>
      <c r="F24" s="328" t="s">
        <v>380</v>
      </c>
      <c r="G24" s="208" t="s">
        <v>393</v>
      </c>
      <c r="H24" s="209">
        <f>IFERROR(
ROUND(
IF($A$2="COSTO",
   C24*(1-0.09),
   C24*(1-0.09)
   *(1+VLOOKUP($C$2,LISTAS[],3,FALSE))
   *(1+VLOOKUP($C$2,LISTAS[],7,FALSE))
),0),0)</f>
        <v>83739</v>
      </c>
    </row>
    <row r="25" spans="1:9" ht="14.65" thickBot="1">
      <c r="A25" s="330"/>
      <c r="B25" s="210" t="s">
        <v>394</v>
      </c>
      <c r="C25" s="209">
        <v>67260</v>
      </c>
      <c r="F25" s="330"/>
      <c r="G25" s="210" t="s">
        <v>394</v>
      </c>
      <c r="H25" s="209">
        <f>IFERROR(
ROUND(
IF($A$2="COSTO",
   C25*(1-0.09),
   C25*(1-0.09)
   *(1+VLOOKUP($C$2,LISTAS[],3,FALSE))
   *(1+VLOOKUP($C$2,LISTAS[],7,FALSE))
),0),0)</f>
        <v>87525</v>
      </c>
    </row>
    <row r="26" spans="1:9" ht="16.149999999999999" thickBot="1">
      <c r="A26" s="212"/>
      <c r="B26" s="4"/>
      <c r="C26" s="213"/>
      <c r="F26" s="212"/>
      <c r="G26" s="4"/>
      <c r="H26" s="209"/>
    </row>
    <row r="27" spans="1:9">
      <c r="A27" s="328" t="s">
        <v>384</v>
      </c>
      <c r="B27" s="205" t="s">
        <v>377</v>
      </c>
      <c r="C27" s="211" t="s">
        <v>384</v>
      </c>
      <c r="F27" s="328" t="s">
        <v>384</v>
      </c>
      <c r="G27" s="205" t="s">
        <v>377</v>
      </c>
      <c r="H27" s="211" t="s">
        <v>384</v>
      </c>
    </row>
    <row r="28" spans="1:9" ht="14.65" thickBot="1">
      <c r="A28" s="329"/>
      <c r="B28" s="208" t="s">
        <v>390</v>
      </c>
      <c r="C28" s="209">
        <v>133075</v>
      </c>
      <c r="F28" s="329"/>
      <c r="G28" s="208" t="s">
        <v>390</v>
      </c>
      <c r="H28" s="209">
        <f>IFERROR(
ROUND(
IF($A$2="COSTO",
   C28*(1-0.09),
   C28*(1-0.09)
   *(1+VLOOKUP($C$2,LISTAS[],3,FALSE))
   *(1+VLOOKUP($C$2,LISTAS[],7,FALSE))
),0),0)</f>
        <v>173170</v>
      </c>
    </row>
    <row r="29" spans="1:9">
      <c r="A29" s="328" t="s">
        <v>383</v>
      </c>
      <c r="B29" s="208" t="s">
        <v>393</v>
      </c>
      <c r="C29" s="209">
        <v>133875</v>
      </c>
      <c r="F29" s="328" t="s">
        <v>383</v>
      </c>
      <c r="G29" s="208" t="s">
        <v>393</v>
      </c>
      <c r="H29" s="209">
        <f>IFERROR(
ROUND(
IF($A$2="COSTO",
   C29*(1-0.09),
   C29*(1-0.09)
   *(1+VLOOKUP($C$2,LISTAS[],3,FALSE))
   *(1+VLOOKUP($C$2,LISTAS[],7,FALSE))
),0),0)</f>
        <v>174212</v>
      </c>
    </row>
    <row r="30" spans="1:9" ht="14.65" thickBot="1">
      <c r="A30" s="330"/>
      <c r="B30" s="210" t="s">
        <v>394</v>
      </c>
      <c r="C30" s="209">
        <v>145763</v>
      </c>
      <c r="F30" s="330"/>
      <c r="G30" s="210" t="s">
        <v>394</v>
      </c>
      <c r="H30" s="209">
        <f>IFERROR(
ROUND(
IF($A$2="COSTO",
   C30*(1-0.09),
   C30*(1-0.09)
   *(1+VLOOKUP($C$2,LISTAS[],3,FALSE))
   *(1+VLOOKUP($C$2,LISTAS[],7,FALSE))
),0),0)</f>
        <v>189681</v>
      </c>
    </row>
    <row r="31" spans="1:9" ht="14.65" thickBot="1"/>
    <row r="32" spans="1:9">
      <c r="A32" s="322" t="s">
        <v>385</v>
      </c>
      <c r="B32" s="323"/>
      <c r="C32" s="323"/>
      <c r="D32" s="324"/>
      <c r="F32" s="322" t="s">
        <v>385</v>
      </c>
      <c r="G32" s="323"/>
      <c r="H32" s="323"/>
      <c r="I32" s="324"/>
    </row>
    <row r="33" spans="1:9" ht="14.65" thickBot="1">
      <c r="A33" s="325"/>
      <c r="B33" s="326"/>
      <c r="C33" s="326"/>
      <c r="D33" s="327"/>
      <c r="F33" s="325"/>
      <c r="G33" s="326"/>
      <c r="H33" s="326"/>
      <c r="I33" s="327"/>
    </row>
    <row r="34" spans="1:9">
      <c r="A34" s="328" t="s">
        <v>386</v>
      </c>
      <c r="B34" s="205" t="s">
        <v>377</v>
      </c>
      <c r="C34" s="206" t="s">
        <v>378</v>
      </c>
      <c r="D34" s="207" t="s">
        <v>379</v>
      </c>
      <c r="F34" s="328" t="s">
        <v>386</v>
      </c>
      <c r="G34" s="205" t="s">
        <v>377</v>
      </c>
      <c r="H34" s="206" t="s">
        <v>378</v>
      </c>
      <c r="I34" s="207" t="s">
        <v>379</v>
      </c>
    </row>
    <row r="35" spans="1:9" ht="14.65" thickBot="1">
      <c r="A35" s="329"/>
      <c r="B35" s="208" t="s">
        <v>390</v>
      </c>
      <c r="C35" s="209">
        <v>0</v>
      </c>
      <c r="D35" s="209">
        <v>174350</v>
      </c>
      <c r="F35" s="329"/>
      <c r="G35" s="208" t="s">
        <v>390</v>
      </c>
      <c r="H35" s="214">
        <f>IFERROR(
ROUND(
IF($A$2="COSTO",
   C8*(1-0.09),
   C35*(1-0.09)
   *(1+VLOOKUP($C$2,LISTAS[],3,FALSE))
   *(1+VLOOKUP($C$2,LISTAS[],7,FALSE))
),0),0)</f>
        <v>0</v>
      </c>
      <c r="I35" s="214">
        <f>IFERROR(
ROUND(
IF($A$2="COSTO",
   D8*(1-0.09),
   D35*(1-0.09)
   *(1+VLOOKUP($C$2,LISTAS[],3,FALSE))
   *(1+VLOOKUP($C$2,LISTAS[],7,FALSE))
),0),0)</f>
        <v>226882</v>
      </c>
    </row>
    <row r="36" spans="1:9">
      <c r="A36" s="328" t="s">
        <v>387</v>
      </c>
      <c r="B36" s="208" t="s">
        <v>393</v>
      </c>
      <c r="C36" s="209">
        <v>0</v>
      </c>
      <c r="D36" s="209">
        <v>174350</v>
      </c>
      <c r="F36" s="328" t="s">
        <v>387</v>
      </c>
      <c r="G36" s="208" t="s">
        <v>393</v>
      </c>
      <c r="H36" s="214">
        <f>IFERROR(
ROUND(
IF($A$2="COSTO",
   C9*(1-0.09),
   C36*(1-0.09)
   *(1+VLOOKUP($C$2,LISTAS[],3,FALSE))
   *(1+VLOOKUP($C$2,LISTAS[],7,FALSE))
),0),0)</f>
        <v>0</v>
      </c>
      <c r="I36" s="214">
        <f>IFERROR(
ROUND(
IF($A$2="COSTO",
   D9*(1-0.09),
   D36*(1-0.09)
   *(1+VLOOKUP($C$2,LISTAS[],3,FALSE))
   *(1+VLOOKUP($C$2,LISTAS[],7,FALSE))
),0),0)</f>
        <v>226882</v>
      </c>
    </row>
    <row r="37" spans="1:9" ht="14.65" thickBot="1">
      <c r="A37" s="330"/>
      <c r="B37" s="210" t="s">
        <v>394</v>
      </c>
      <c r="C37" s="209">
        <v>0</v>
      </c>
      <c r="D37" s="209">
        <v>186300</v>
      </c>
      <c r="F37" s="330"/>
      <c r="G37" s="210" t="s">
        <v>394</v>
      </c>
      <c r="H37" s="214">
        <f>IFERROR(
ROUND(
IF($A$2="COSTO",
   C10*(1-0.09),
   C37*(1-0.09)
   *(1+VLOOKUP($C$2,LISTAS[],3,FALSE))
   *(1+VLOOKUP($C$2,LISTAS[],7,FALSE))
),0),0)</f>
        <v>0</v>
      </c>
      <c r="I37" s="214">
        <f>IFERROR(
ROUND(
IF($A$2="COSTO",
   D10*(1-0.09),
   D37*(1-0.09)
   *(1+VLOOKUP($C$2,LISTAS[],3,FALSE))
   *(1+VLOOKUP($C$2,LISTAS[],7,FALSE))
),0),0)</f>
        <v>242432</v>
      </c>
    </row>
    <row r="38" spans="1:9" ht="14.65" thickBot="1">
      <c r="H38" s="214"/>
      <c r="I38" s="214"/>
    </row>
    <row r="39" spans="1:9">
      <c r="A39" s="328" t="s">
        <v>386</v>
      </c>
      <c r="B39" s="205" t="s">
        <v>377</v>
      </c>
      <c r="C39" s="206" t="s">
        <v>378</v>
      </c>
      <c r="D39" s="207" t="s">
        <v>379</v>
      </c>
      <c r="F39" s="328" t="s">
        <v>386</v>
      </c>
      <c r="G39" s="205" t="s">
        <v>377</v>
      </c>
      <c r="H39" s="206" t="s">
        <v>378</v>
      </c>
      <c r="I39" s="207" t="s">
        <v>379</v>
      </c>
    </row>
    <row r="40" spans="1:9" ht="14.65" thickBot="1">
      <c r="A40" s="329"/>
      <c r="B40" s="208" t="s">
        <v>390</v>
      </c>
      <c r="C40" s="209">
        <v>0</v>
      </c>
      <c r="D40" s="209">
        <v>206731</v>
      </c>
      <c r="F40" s="329"/>
      <c r="G40" s="208" t="s">
        <v>390</v>
      </c>
      <c r="H40" s="214">
        <f>IFERROR(
ROUND(
IF($A$2="COSTO",
   C13*(1-0.09),
   C40*(1-0.09)
   *(1+VLOOKUP($C$2,LISTAS[],3,FALSE))
   *(1+VLOOKUP($C$2,LISTAS[],7,FALSE))
),0),0)</f>
        <v>0</v>
      </c>
      <c r="I40" s="214">
        <f>IFERROR(
ROUND(
IF($A$2="COSTO",
   D13*(1-0.09),
   D40*(1-0.09)
   *(1+VLOOKUP($C$2,LISTAS[],3,FALSE))
   *(1+VLOOKUP($C$2,LISTAS[],7,FALSE))
),0),0)</f>
        <v>269019</v>
      </c>
    </row>
    <row r="41" spans="1:9">
      <c r="A41" s="328" t="s">
        <v>388</v>
      </c>
      <c r="B41" s="208" t="s">
        <v>393</v>
      </c>
      <c r="C41" s="209">
        <v>0</v>
      </c>
      <c r="D41" s="209">
        <v>206731</v>
      </c>
      <c r="F41" s="328" t="s">
        <v>388</v>
      </c>
      <c r="G41" s="208" t="s">
        <v>393</v>
      </c>
      <c r="H41" s="214">
        <f>IFERROR(
ROUND(
IF($A$2="COSTO",
   C14*(1-0.09),
   C41*(1-0.09)
   *(1+VLOOKUP($C$2,LISTAS[],3,FALSE))
   *(1+VLOOKUP($C$2,LISTAS[],7,FALSE))
),0),0)</f>
        <v>0</v>
      </c>
      <c r="I41" s="214">
        <f>IFERROR(
ROUND(
IF($A$2="COSTO",
   D14*(1-0.09),
   D41*(1-0.09)
   *(1+VLOOKUP($C$2,LISTAS[],3,FALSE))
   *(1+VLOOKUP($C$2,LISTAS[],7,FALSE))
),0),0)</f>
        <v>269019</v>
      </c>
    </row>
    <row r="42" spans="1:9" ht="14.65" thickBot="1">
      <c r="A42" s="330"/>
      <c r="B42" s="210" t="s">
        <v>394</v>
      </c>
      <c r="C42" s="209">
        <v>0</v>
      </c>
      <c r="D42" s="209">
        <v>208285</v>
      </c>
      <c r="F42" s="330"/>
      <c r="G42" s="210" t="s">
        <v>394</v>
      </c>
      <c r="H42" s="214">
        <f>IFERROR(
ROUND(
IF($A$2="COSTO",
   C15*(1-0.09),
   C42*(1-0.09)
   *(1+VLOOKUP($C$2,LISTAS[],3,FALSE))
   *(1+VLOOKUP($C$2,LISTAS[],7,FALSE))
),0),0)</f>
        <v>0</v>
      </c>
      <c r="I42" s="214">
        <f>IFERROR(
ROUND(
IF($A$2="COSTO",
   D15*(1-0.09),
   D42*(1-0.09)
   *(1+VLOOKUP($C$2,LISTAS[],3,FALSE))
   *(1+VLOOKUP($C$2,LISTAS[],7,FALSE))
),0),0)</f>
        <v>271041</v>
      </c>
    </row>
    <row r="43" spans="1:9" ht="14.65" thickBot="1">
      <c r="H43" s="214"/>
      <c r="I43" s="214"/>
    </row>
    <row r="44" spans="1:9">
      <c r="A44" s="328" t="s">
        <v>389</v>
      </c>
      <c r="B44" s="205" t="s">
        <v>377</v>
      </c>
      <c r="C44" s="206" t="s">
        <v>378</v>
      </c>
      <c r="D44" s="207" t="s">
        <v>379</v>
      </c>
      <c r="F44" s="328" t="s">
        <v>389</v>
      </c>
      <c r="G44" s="205" t="s">
        <v>377</v>
      </c>
      <c r="H44" s="206" t="s">
        <v>378</v>
      </c>
      <c r="I44" s="207" t="s">
        <v>379</v>
      </c>
    </row>
    <row r="45" spans="1:9" ht="14.65" thickBot="1">
      <c r="A45" s="329"/>
      <c r="B45" s="208" t="s">
        <v>390</v>
      </c>
      <c r="C45" s="209">
        <v>0</v>
      </c>
      <c r="D45" s="209">
        <v>271005</v>
      </c>
      <c r="F45" s="329"/>
      <c r="G45" s="208" t="s">
        <v>390</v>
      </c>
      <c r="H45" s="214">
        <f>IFERROR(
ROUND(
IF($A$2="COSTO",
   C18*(1-0.09),
   C45*(1-0.09)
   *(1+VLOOKUP($C$2,LISTAS[],3,FALSE))
   *(1+VLOOKUP($C$2,LISTAS[],7,FALSE))
),0),0)</f>
        <v>0</v>
      </c>
      <c r="I45" s="214">
        <f>IFERROR(
ROUND(
IF($A$2="COSTO",
   D18*(1-0.09),
   D45*(1-0.09)
   *(1+VLOOKUP($C$2,LISTAS[],3,FALSE))
   *(1+VLOOKUP($C$2,LISTAS[],7,FALSE))
),0),0)</f>
        <v>352659</v>
      </c>
    </row>
    <row r="46" spans="1:9">
      <c r="A46" s="328" t="s">
        <v>388</v>
      </c>
      <c r="B46" s="208" t="s">
        <v>393</v>
      </c>
      <c r="C46" s="209">
        <v>0</v>
      </c>
      <c r="D46" s="209">
        <v>271005</v>
      </c>
      <c r="F46" s="328" t="s">
        <v>388</v>
      </c>
      <c r="G46" s="208" t="s">
        <v>393</v>
      </c>
      <c r="H46" s="214">
        <f>IFERROR(
ROUND(
IF($A$2="COSTO",
   C19*(1-0.09),
   C46*(1-0.09)
   *(1+VLOOKUP($C$2,LISTAS[],3,FALSE))
   *(1+VLOOKUP($C$2,LISTAS[],7,FALSE))
),0),0)</f>
        <v>0</v>
      </c>
      <c r="I46" s="214">
        <f>IFERROR(
ROUND(
IF($A$2="COSTO",
   D19*(1-0.09),
   D46*(1-0.09)
   *(1+VLOOKUP($C$2,LISTAS[],3,FALSE))
   *(1+VLOOKUP($C$2,LISTAS[],7,FALSE))
),0),0)</f>
        <v>352659</v>
      </c>
    </row>
    <row r="47" spans="1:9" ht="14.65" thickBot="1">
      <c r="A47" s="330"/>
      <c r="B47" s="210" t="s">
        <v>394</v>
      </c>
      <c r="C47" s="209">
        <v>0</v>
      </c>
      <c r="D47" s="209">
        <v>286182</v>
      </c>
      <c r="F47" s="330"/>
      <c r="G47" s="210" t="s">
        <v>394</v>
      </c>
      <c r="H47" s="214">
        <f>IFERROR(
ROUND(
IF($A$2="COSTO",
   C20*(1-0.09),
   C47*(1-0.09)
   *(1+VLOOKUP($C$2,LISTAS[],3,FALSE))
   *(1+VLOOKUP($C$2,LISTAS[],7,FALSE))
),0),0)</f>
        <v>0</v>
      </c>
      <c r="I47" s="214">
        <f>IFERROR(
ROUND(
IF($A$2="COSTO",
   D20*(1-0.09),
   D47*(1-0.09)
   *(1+VLOOKUP($C$2,LISTAS[],3,FALSE))
   *(1+VLOOKUP($C$2,LISTAS[],7,FALSE))
),0),0)</f>
        <v>372409</v>
      </c>
    </row>
  </sheetData>
  <mergeCells count="36">
    <mergeCell ref="A41:A42"/>
    <mergeCell ref="F41:F42"/>
    <mergeCell ref="A44:A45"/>
    <mergeCell ref="F44:F45"/>
    <mergeCell ref="A46:A47"/>
    <mergeCell ref="F46:F47"/>
    <mergeCell ref="A34:A35"/>
    <mergeCell ref="F34:F35"/>
    <mergeCell ref="A36:A37"/>
    <mergeCell ref="F36:F37"/>
    <mergeCell ref="A39:A40"/>
    <mergeCell ref="F39:F40"/>
    <mergeCell ref="A27:A28"/>
    <mergeCell ref="F27:F28"/>
    <mergeCell ref="A29:A30"/>
    <mergeCell ref="F29:F30"/>
    <mergeCell ref="A32:D33"/>
    <mergeCell ref="F32:I33"/>
    <mergeCell ref="A19:A20"/>
    <mergeCell ref="F19:F20"/>
    <mergeCell ref="A22:A23"/>
    <mergeCell ref="F22:F23"/>
    <mergeCell ref="A24:A25"/>
    <mergeCell ref="F24:F25"/>
    <mergeCell ref="A12:A13"/>
    <mergeCell ref="F12:F13"/>
    <mergeCell ref="A14:A15"/>
    <mergeCell ref="F14:F15"/>
    <mergeCell ref="A17:A18"/>
    <mergeCell ref="F17:F18"/>
    <mergeCell ref="A5:D6"/>
    <mergeCell ref="F5:I6"/>
    <mergeCell ref="A7:A8"/>
    <mergeCell ref="F7:F8"/>
    <mergeCell ref="A9:A10"/>
    <mergeCell ref="F9:F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DCFB-A0D5-456D-83F5-56109157407B}">
  <sheetPr codeName="Hoja18">
    <tabColor rgb="FF00B050"/>
    <pageSetUpPr fitToPage="1"/>
  </sheetPr>
  <dimension ref="B6:G64"/>
  <sheetViews>
    <sheetView topLeftCell="A8" zoomScale="55" zoomScaleNormal="55" workbookViewId="0">
      <selection activeCell="H87" sqref="H87"/>
    </sheetView>
  </sheetViews>
  <sheetFormatPr baseColWidth="10" defaultColWidth="11.3984375" defaultRowHeight="12.75"/>
  <cols>
    <col min="1" max="2" width="11.3984375" style="25"/>
    <col min="3" max="3" width="15" style="25" customWidth="1"/>
    <col min="4" max="4" width="15.59765625" style="25" customWidth="1"/>
    <col min="5" max="5" width="13.86328125" style="25" customWidth="1"/>
    <col min="6" max="6" width="13.59765625" style="25" customWidth="1"/>
    <col min="7" max="16384" width="11.3984375" style="25"/>
  </cols>
  <sheetData>
    <row r="6" spans="2:7" ht="15.75">
      <c r="B6" s="331" t="s">
        <v>21</v>
      </c>
      <c r="C6" s="331"/>
      <c r="D6" s="331"/>
      <c r="E6" s="331"/>
      <c r="F6" s="331"/>
    </row>
    <row r="7" spans="2:7" ht="15.75">
      <c r="B7" s="331" t="s">
        <v>22</v>
      </c>
      <c r="C7" s="331"/>
      <c r="D7" s="331"/>
      <c r="E7" s="331"/>
      <c r="F7" s="331"/>
    </row>
    <row r="8" spans="2:7" ht="13.15" thickBot="1"/>
    <row r="9" spans="2:7" ht="21.4" thickBot="1">
      <c r="B9" s="332" t="s">
        <v>23</v>
      </c>
      <c r="C9" s="333"/>
      <c r="D9" s="333"/>
      <c r="E9" s="333"/>
      <c r="F9" s="334"/>
      <c r="G9" s="26"/>
    </row>
    <row r="10" spans="2:7" ht="17.25" thickBot="1">
      <c r="B10" s="27" t="s">
        <v>24</v>
      </c>
      <c r="C10" s="28" t="s">
        <v>25</v>
      </c>
      <c r="D10" s="28" t="s">
        <v>121</v>
      </c>
      <c r="E10" s="28" t="s">
        <v>26</v>
      </c>
      <c r="F10" s="29" t="s">
        <v>27</v>
      </c>
    </row>
    <row r="11" spans="2:7" ht="14.25">
      <c r="B11" s="30" t="s">
        <v>6</v>
      </c>
      <c r="C11" s="5">
        <f>'ventana herrero'!H7</f>
        <v>27475</v>
      </c>
      <c r="D11" s="5">
        <f>'ventana herrero'!I7</f>
        <v>31905</v>
      </c>
      <c r="E11" s="5">
        <f>'ventana herrero'!J7</f>
        <v>9235</v>
      </c>
      <c r="F11" s="6">
        <f>'ventana herrero'!K7</f>
        <v>34340</v>
      </c>
    </row>
    <row r="12" spans="2:7" ht="14.25">
      <c r="B12" s="31" t="s">
        <v>7</v>
      </c>
      <c r="C12" s="5">
        <f>'ventana herrero'!H8</f>
        <v>40350</v>
      </c>
      <c r="D12" s="5">
        <f>'ventana herrero'!I8</f>
        <v>48465</v>
      </c>
      <c r="E12" s="5">
        <f>'ventana herrero'!J8</f>
        <v>15070</v>
      </c>
      <c r="F12" s="6">
        <f>'ventana herrero'!K8</f>
        <v>52460</v>
      </c>
    </row>
    <row r="13" spans="2:7" ht="14.25">
      <c r="B13" s="31" t="s">
        <v>8</v>
      </c>
      <c r="C13" s="5">
        <f>'ventana herrero'!H9</f>
        <v>44290</v>
      </c>
      <c r="D13" s="5">
        <f>'ventana herrero'!I9</f>
        <v>52400</v>
      </c>
      <c r="E13" s="5">
        <f>'ventana herrero'!J9</f>
        <v>17280</v>
      </c>
      <c r="F13" s="6">
        <f>'ventana herrero'!K9</f>
        <v>57580</v>
      </c>
    </row>
    <row r="14" spans="2:7" ht="14.25">
      <c r="B14" s="31" t="s">
        <v>9</v>
      </c>
      <c r="C14" s="5">
        <f>'ventana herrero'!H10</f>
        <v>49555</v>
      </c>
      <c r="D14" s="5">
        <f>'ventana herrero'!I10</f>
        <v>57670</v>
      </c>
      <c r="E14" s="5">
        <f>'ventana herrero'!J10</f>
        <v>19490</v>
      </c>
      <c r="F14" s="6">
        <f>'ventana herrero'!K10</f>
        <v>64425</v>
      </c>
    </row>
    <row r="15" spans="2:7" ht="14.25">
      <c r="B15" s="31" t="s">
        <v>10</v>
      </c>
      <c r="C15" s="5">
        <f>'ventana herrero'!H11</f>
        <v>58080</v>
      </c>
      <c r="D15" s="5">
        <f>'ventana herrero'!I11</f>
        <v>66190</v>
      </c>
      <c r="E15" s="5">
        <f>'ventana herrero'!J11</f>
        <v>22805</v>
      </c>
      <c r="F15" s="6">
        <f>'ventana herrero'!K11</f>
        <v>75505</v>
      </c>
    </row>
    <row r="16" spans="2:7" ht="14.25">
      <c r="B16" s="31" t="s">
        <v>11</v>
      </c>
      <c r="C16" s="5">
        <f>'ventana herrero'!H12</f>
        <v>65310</v>
      </c>
      <c r="D16" s="5">
        <f>'ventana herrero'!I12</f>
        <v>73420</v>
      </c>
      <c r="E16" s="5">
        <f>'ventana herrero'!J12</f>
        <v>26115</v>
      </c>
      <c r="F16" s="6">
        <f>'ventana herrero'!K12</f>
        <v>84900</v>
      </c>
    </row>
    <row r="17" spans="2:6" ht="14.25">
      <c r="B17" s="31" t="s">
        <v>12</v>
      </c>
      <c r="C17" s="5">
        <f>'ventana herrero'!H13</f>
        <v>72530</v>
      </c>
      <c r="D17" s="5">
        <f>'ventana herrero'!I13</f>
        <v>80640</v>
      </c>
      <c r="E17" s="5">
        <f>'ventana herrero'!J13</f>
        <v>28325</v>
      </c>
      <c r="F17" s="6">
        <f>'ventana herrero'!K13</f>
        <v>94290</v>
      </c>
    </row>
    <row r="18" spans="2:6" ht="14.25">
      <c r="B18" s="31" t="s">
        <v>13</v>
      </c>
      <c r="C18" s="5">
        <f>'ventana herrero'!H14</f>
        <v>40080</v>
      </c>
      <c r="D18" s="5">
        <f>'ventana herrero'!I14</f>
        <v>52245</v>
      </c>
      <c r="E18" s="5">
        <f>'ventana herrero'!J14</f>
        <v>16955</v>
      </c>
      <c r="F18" s="6">
        <f>'ventana herrero'!K14</f>
        <v>52100</v>
      </c>
    </row>
    <row r="19" spans="2:6" ht="14.25">
      <c r="B19" s="31" t="s">
        <v>14</v>
      </c>
      <c r="C19" s="5">
        <f>'ventana herrero'!H15</f>
        <v>49380</v>
      </c>
      <c r="D19" s="5">
        <f>'ventana herrero'!I15</f>
        <v>61545</v>
      </c>
      <c r="E19" s="5">
        <f>'ventana herrero'!J15</f>
        <v>19490</v>
      </c>
      <c r="F19" s="6">
        <f>'ventana herrero'!K15</f>
        <v>64190</v>
      </c>
    </row>
    <row r="20" spans="2:6" ht="14.25">
      <c r="B20" s="31" t="s">
        <v>97</v>
      </c>
      <c r="C20" s="5">
        <f>'ventana herrero'!H16</f>
        <v>54910</v>
      </c>
      <c r="D20" s="5">
        <f>'ventana herrero'!I16</f>
        <v>67075</v>
      </c>
      <c r="E20" s="5">
        <f>'ventana herrero'!J16</f>
        <v>22025</v>
      </c>
      <c r="F20" s="6">
        <f>'ventana herrero'!K16</f>
        <v>71380</v>
      </c>
    </row>
    <row r="21" spans="2:6" ht="14.25">
      <c r="B21" s="31" t="s">
        <v>98</v>
      </c>
      <c r="C21" s="5">
        <f>'ventana herrero'!H17</f>
        <v>60765</v>
      </c>
      <c r="D21" s="5">
        <f>'ventana herrero'!I17</f>
        <v>72930</v>
      </c>
      <c r="E21" s="5">
        <f>'ventana herrero'!J17</f>
        <v>24555</v>
      </c>
      <c r="F21" s="6">
        <f>'ventana herrero'!K17</f>
        <v>78995</v>
      </c>
    </row>
    <row r="22" spans="2:6" ht="14.25">
      <c r="B22" s="31" t="s">
        <v>99</v>
      </c>
      <c r="C22" s="5">
        <f>'ventana herrero'!H18</f>
        <v>70460</v>
      </c>
      <c r="D22" s="5">
        <f>'ventana herrero'!I18</f>
        <v>82625</v>
      </c>
      <c r="E22" s="5">
        <f>'ventana herrero'!J18</f>
        <v>28355</v>
      </c>
      <c r="F22" s="6">
        <f>'ventana herrero'!K18</f>
        <v>91595</v>
      </c>
    </row>
    <row r="23" spans="2:6" ht="14.25">
      <c r="B23" s="31" t="s">
        <v>100</v>
      </c>
      <c r="C23" s="5">
        <f>'ventana herrero'!H19</f>
        <v>78835</v>
      </c>
      <c r="D23" s="5">
        <f>'ventana herrero'!I19</f>
        <v>91000</v>
      </c>
      <c r="E23" s="5">
        <f>'ventana herrero'!J19</f>
        <v>32155</v>
      </c>
      <c r="F23" s="6">
        <f>'ventana herrero'!K19</f>
        <v>102485</v>
      </c>
    </row>
    <row r="24" spans="2:6" ht="14.25">
      <c r="B24" s="31" t="s">
        <v>101</v>
      </c>
      <c r="C24" s="5">
        <f>'ventana herrero'!H20</f>
        <v>89740</v>
      </c>
      <c r="D24" s="5">
        <f>'ventana herrero'!I20</f>
        <v>101905</v>
      </c>
      <c r="E24" s="5">
        <f>'ventana herrero'!J20</f>
        <v>34690</v>
      </c>
      <c r="F24" s="6">
        <f>'ventana herrero'!K20</f>
        <v>116665</v>
      </c>
    </row>
    <row r="25" spans="2:6" ht="14.25">
      <c r="B25" s="31" t="s">
        <v>44</v>
      </c>
      <c r="C25" s="5">
        <f>'ventana herrero'!H21</f>
        <v>67825</v>
      </c>
      <c r="D25" s="5">
        <f>'ventana herrero'!I21</f>
        <v>84045</v>
      </c>
      <c r="E25" s="5">
        <f>'ventana herrero'!J21</f>
        <v>26765</v>
      </c>
      <c r="F25" s="6">
        <f>'ventana herrero'!K21</f>
        <v>88175</v>
      </c>
    </row>
    <row r="26" spans="2:6" ht="14.25">
      <c r="B26" s="31" t="s">
        <v>45</v>
      </c>
      <c r="C26" s="5">
        <f>'ventana herrero'!H22</f>
        <v>73965</v>
      </c>
      <c r="D26" s="5">
        <f>'ventana herrero'!I22</f>
        <v>90185</v>
      </c>
      <c r="E26" s="5">
        <f>'ventana herrero'!J22</f>
        <v>29625</v>
      </c>
      <c r="F26" s="6">
        <f>'ventana herrero'!K22</f>
        <v>96150</v>
      </c>
    </row>
    <row r="27" spans="2:6" ht="14.25">
      <c r="B27" s="31" t="s">
        <v>46</v>
      </c>
      <c r="C27" s="5">
        <f>'ventana herrero'!H23</f>
        <v>84800</v>
      </c>
      <c r="D27" s="5">
        <f>'ventana herrero'!I23</f>
        <v>101020</v>
      </c>
      <c r="E27" s="5">
        <f>'ventana herrero'!J23</f>
        <v>33910</v>
      </c>
      <c r="F27" s="6">
        <f>'ventana herrero'!K23</f>
        <v>110240</v>
      </c>
    </row>
    <row r="28" spans="2:6" ht="14.25">
      <c r="B28" s="31" t="s">
        <v>47</v>
      </c>
      <c r="C28" s="5">
        <f>'ventana herrero'!H24</f>
        <v>93675</v>
      </c>
      <c r="D28" s="5">
        <f>'ventana herrero'!I24</f>
        <v>109900</v>
      </c>
      <c r="E28" s="5">
        <f>'ventana herrero'!J24</f>
        <v>38200</v>
      </c>
      <c r="F28" s="6">
        <f>'ventana herrero'!K24</f>
        <v>121780</v>
      </c>
    </row>
    <row r="29" spans="2:6" ht="14.25">
      <c r="B29" s="31" t="s">
        <v>48</v>
      </c>
      <c r="C29" s="5">
        <f>'ventana herrero'!H25</f>
        <v>105715</v>
      </c>
      <c r="D29" s="5">
        <f>'ventana herrero'!I25</f>
        <v>121935</v>
      </c>
      <c r="E29" s="5">
        <f>'ventana herrero'!J25</f>
        <v>41055</v>
      </c>
      <c r="F29" s="6">
        <f>'ventana herrero'!K25</f>
        <v>137430</v>
      </c>
    </row>
    <row r="30" spans="2:6" ht="14.25">
      <c r="B30" s="31" t="s">
        <v>15</v>
      </c>
      <c r="C30" s="5">
        <f>'ventana herrero'!H26</f>
        <v>78265</v>
      </c>
      <c r="D30" s="5">
        <f>'ventana herrero'!I26</f>
        <v>98540</v>
      </c>
      <c r="E30" s="5">
        <f>'ventana herrero'!J26</f>
        <v>31510</v>
      </c>
      <c r="F30" s="6">
        <f>'ventana herrero'!K26</f>
        <v>101745</v>
      </c>
    </row>
    <row r="31" spans="2:6" ht="14.25">
      <c r="B31" s="31" t="s">
        <v>102</v>
      </c>
      <c r="C31" s="5">
        <f>'ventana herrero'!H27</f>
        <v>84910</v>
      </c>
      <c r="D31" s="5">
        <f>'ventana herrero'!I27</f>
        <v>105185</v>
      </c>
      <c r="E31" s="5">
        <f>'ventana herrero'!J27</f>
        <v>34690</v>
      </c>
      <c r="F31" s="6">
        <f>'ventana herrero'!K27</f>
        <v>110380</v>
      </c>
    </row>
    <row r="32" spans="2:6" ht="14.25">
      <c r="B32" s="31" t="s">
        <v>16</v>
      </c>
      <c r="C32" s="5">
        <f>'ventana herrero'!H28</f>
        <v>97160</v>
      </c>
      <c r="D32" s="5">
        <f>'ventana herrero'!I28</f>
        <v>117435</v>
      </c>
      <c r="E32" s="5">
        <f>'ventana herrero'!J28</f>
        <v>39465</v>
      </c>
      <c r="F32" s="6">
        <f>'ventana herrero'!K28</f>
        <v>126310</v>
      </c>
    </row>
    <row r="33" spans="2:6" ht="14.25">
      <c r="B33" s="31" t="s">
        <v>103</v>
      </c>
      <c r="C33" s="5">
        <f>'ventana herrero'!H29</f>
        <v>107180</v>
      </c>
      <c r="D33" s="5">
        <f>'ventana herrero'!I29</f>
        <v>127455</v>
      </c>
      <c r="E33" s="5">
        <f>'ventana herrero'!J29</f>
        <v>44240</v>
      </c>
      <c r="F33" s="6">
        <f>'ventana herrero'!K29</f>
        <v>139335</v>
      </c>
    </row>
    <row r="34" spans="2:6" ht="14.25">
      <c r="B34" s="31" t="s">
        <v>104</v>
      </c>
      <c r="C34" s="5">
        <f>'ventana herrero'!H30</f>
        <v>120000</v>
      </c>
      <c r="D34" s="5">
        <f>'ventana herrero'!I30</f>
        <v>140275</v>
      </c>
      <c r="E34" s="5">
        <f>'ventana herrero'!J30</f>
        <v>47425</v>
      </c>
      <c r="F34" s="6">
        <f>'ventana herrero'!K30</f>
        <v>155995</v>
      </c>
    </row>
    <row r="35" spans="2:6" ht="14.25">
      <c r="B35" s="31" t="s">
        <v>105</v>
      </c>
      <c r="C35" s="5">
        <f>'ventana herrero'!H31</f>
        <v>126240</v>
      </c>
      <c r="D35" s="5">
        <f>'ventana herrero'!I31</f>
        <v>146515</v>
      </c>
      <c r="E35" s="5">
        <f>'ventana herrero'!J31</f>
        <v>50605</v>
      </c>
      <c r="F35" s="6">
        <f>'ventana herrero'!K31</f>
        <v>164115</v>
      </c>
    </row>
    <row r="36" spans="2:6" ht="14.25">
      <c r="B36" s="31" t="s">
        <v>106</v>
      </c>
      <c r="C36" s="5">
        <f>'ventana herrero'!H32</f>
        <v>133795</v>
      </c>
      <c r="D36" s="5">
        <f>'ventana herrero'!I32</f>
        <v>154070</v>
      </c>
      <c r="E36" s="5">
        <f>'ventana herrero'!J32</f>
        <v>53790</v>
      </c>
      <c r="F36" s="6">
        <f>'ventana herrero'!K32</f>
        <v>173930</v>
      </c>
    </row>
    <row r="37" spans="2:6" ht="14.25">
      <c r="B37" s="31" t="s">
        <v>58</v>
      </c>
      <c r="C37" s="5">
        <f>'ventana herrero'!H33</f>
        <v>84165</v>
      </c>
      <c r="D37" s="5">
        <f>'ventana herrero'!I33</f>
        <v>106465</v>
      </c>
      <c r="E37" s="5">
        <f>'ventana herrero'!J33</f>
        <v>33880</v>
      </c>
      <c r="F37" s="6">
        <f>'ventana herrero'!K33</f>
        <v>109415</v>
      </c>
    </row>
    <row r="38" spans="2:6" ht="14.25">
      <c r="B38" s="31" t="s">
        <v>59</v>
      </c>
      <c r="C38" s="5">
        <f>'ventana herrero'!H34</f>
        <v>92100</v>
      </c>
      <c r="D38" s="5">
        <f>'ventana herrero'!I34</f>
        <v>114400</v>
      </c>
      <c r="E38" s="5">
        <f>'ventana herrero'!J34</f>
        <v>37225</v>
      </c>
      <c r="F38" s="6">
        <f>'ventana herrero'!K34</f>
        <v>119730</v>
      </c>
    </row>
    <row r="39" spans="2:6" ht="14.25">
      <c r="B39" s="31" t="s">
        <v>60</v>
      </c>
      <c r="C39" s="5">
        <f>'ventana herrero'!H35</f>
        <v>104730</v>
      </c>
      <c r="D39" s="5">
        <f>'ventana herrero'!I35</f>
        <v>127035</v>
      </c>
      <c r="E39" s="5">
        <f>'ventana herrero'!J35</f>
        <v>42245</v>
      </c>
      <c r="F39" s="6">
        <f>'ventana herrero'!K35</f>
        <v>136150</v>
      </c>
    </row>
    <row r="40" spans="2:6" ht="14.25">
      <c r="B40" s="31" t="s">
        <v>61</v>
      </c>
      <c r="C40" s="5">
        <f>'ventana herrero'!H36</f>
        <v>115990</v>
      </c>
      <c r="D40" s="5">
        <f>'ventana herrero'!I36</f>
        <v>138295</v>
      </c>
      <c r="E40" s="5">
        <f>'ventana herrero'!J36</f>
        <v>47260</v>
      </c>
      <c r="F40" s="6">
        <f>'ventana herrero'!K36</f>
        <v>150790</v>
      </c>
    </row>
    <row r="41" spans="2:6" ht="14.25">
      <c r="B41" s="31" t="s">
        <v>63</v>
      </c>
      <c r="C41" s="5">
        <f>'ventana herrero'!H37</f>
        <v>135980</v>
      </c>
      <c r="D41" s="5">
        <f>'ventana herrero'!I37</f>
        <v>158280</v>
      </c>
      <c r="E41" s="5">
        <f>'ventana herrero'!J37</f>
        <v>57300</v>
      </c>
      <c r="F41" s="6">
        <f>'ventana herrero'!K37</f>
        <v>176775</v>
      </c>
    </row>
    <row r="42" spans="2:6" ht="14.25">
      <c r="B42" s="31" t="s">
        <v>64</v>
      </c>
      <c r="C42" s="5">
        <f>'ventana herrero'!H38</f>
        <v>139820</v>
      </c>
      <c r="D42" s="5">
        <f>'ventana herrero'!I38</f>
        <v>162120</v>
      </c>
      <c r="E42" s="5">
        <f>'ventana herrero'!J38</f>
        <v>57300</v>
      </c>
      <c r="F42" s="6">
        <f>'ventana herrero'!K38</f>
        <v>181765</v>
      </c>
    </row>
    <row r="43" spans="2:6" ht="14.25">
      <c r="B43" s="31" t="s">
        <v>107</v>
      </c>
      <c r="C43" s="5">
        <f>'ventana herrero'!H39</f>
        <v>88795</v>
      </c>
      <c r="D43" s="5">
        <f>'ventana herrero'!I39</f>
        <v>113125</v>
      </c>
      <c r="E43" s="5">
        <f>'ventana herrero'!J39</f>
        <v>36250</v>
      </c>
      <c r="F43" s="6">
        <f>'ventana herrero'!K39</f>
        <v>115435</v>
      </c>
    </row>
    <row r="44" spans="2:6" ht="14.25">
      <c r="B44" s="31" t="s">
        <v>108</v>
      </c>
      <c r="C44" s="5">
        <f>'ventana herrero'!H40</f>
        <v>97115</v>
      </c>
      <c r="D44" s="5">
        <f>'ventana herrero'!I40</f>
        <v>121445</v>
      </c>
      <c r="E44" s="5">
        <f>'ventana herrero'!J40</f>
        <v>39760</v>
      </c>
      <c r="F44" s="6">
        <f>'ventana herrero'!K40</f>
        <v>126250</v>
      </c>
    </row>
    <row r="45" spans="2:6" ht="14.25">
      <c r="B45" s="31" t="s">
        <v>109</v>
      </c>
      <c r="C45" s="5">
        <f>'ventana herrero'!H41</f>
        <v>110260</v>
      </c>
      <c r="D45" s="5">
        <f>'ventana herrero'!I41</f>
        <v>134595</v>
      </c>
      <c r="E45" s="5">
        <f>'ventana herrero'!J41</f>
        <v>45020</v>
      </c>
      <c r="F45" s="6">
        <f>'ventana herrero'!K41</f>
        <v>143340</v>
      </c>
    </row>
    <row r="46" spans="2:6" ht="14.25">
      <c r="B46" s="31" t="s">
        <v>110</v>
      </c>
      <c r="C46" s="5">
        <f>'ventana herrero'!H42</f>
        <v>122090</v>
      </c>
      <c r="D46" s="5">
        <f>'ventana herrero'!I42</f>
        <v>146420</v>
      </c>
      <c r="E46" s="5">
        <f>'ventana herrero'!J42</f>
        <v>50280</v>
      </c>
      <c r="F46" s="6">
        <f>'ventana herrero'!K42</f>
        <v>158715</v>
      </c>
    </row>
    <row r="47" spans="2:6" ht="14.25">
      <c r="B47" s="31" t="s">
        <v>111</v>
      </c>
      <c r="C47" s="5">
        <f>'ventana herrero'!H43</f>
        <v>134300</v>
      </c>
      <c r="D47" s="5">
        <f>'ventana herrero'!I43</f>
        <v>158635</v>
      </c>
      <c r="E47" s="5">
        <f>'ventana herrero'!J43</f>
        <v>53790</v>
      </c>
      <c r="F47" s="6">
        <f>'ventana herrero'!K43</f>
        <v>174595</v>
      </c>
    </row>
    <row r="48" spans="2:6" ht="14.25">
      <c r="B48" s="31" t="s">
        <v>112</v>
      </c>
      <c r="C48" s="5">
        <f>'ventana herrero'!H44</f>
        <v>142685</v>
      </c>
      <c r="D48" s="5">
        <f>'ventana herrero'!I44</f>
        <v>167015</v>
      </c>
      <c r="E48" s="5">
        <f>'ventana herrero'!J44</f>
        <v>57300</v>
      </c>
      <c r="F48" s="6">
        <f>'ventana herrero'!K44</f>
        <v>185490</v>
      </c>
    </row>
    <row r="49" spans="2:6" ht="14.25">
      <c r="B49" s="31" t="s">
        <v>113</v>
      </c>
      <c r="C49" s="5">
        <f>'ventana herrero'!H45</f>
        <v>149365</v>
      </c>
      <c r="D49" s="5">
        <f>'ventana herrero'!I45</f>
        <v>173695</v>
      </c>
      <c r="E49" s="5">
        <f>'ventana herrero'!J45</f>
        <v>60805</v>
      </c>
      <c r="F49" s="6">
        <f>'ventana herrero'!K45</f>
        <v>194175</v>
      </c>
    </row>
    <row r="50" spans="2:6" ht="14.25">
      <c r="B50" s="31" t="s">
        <v>114</v>
      </c>
      <c r="C50" s="5">
        <f>'ventana herrero'!H46</f>
        <v>103750</v>
      </c>
      <c r="D50" s="5">
        <f>'ventana herrero'!I46</f>
        <v>134165</v>
      </c>
      <c r="E50" s="5">
        <f>'ventana herrero'!J46</f>
        <v>43365</v>
      </c>
      <c r="F50" s="6">
        <f>'ventana herrero'!K46</f>
        <v>134875</v>
      </c>
    </row>
    <row r="51" spans="2:6" ht="14.25">
      <c r="B51" s="31" t="s">
        <v>71</v>
      </c>
      <c r="C51" s="5">
        <f>'ventana herrero'!H47</f>
        <v>113230</v>
      </c>
      <c r="D51" s="5">
        <f>'ventana herrero'!I47</f>
        <v>143640</v>
      </c>
      <c r="E51" s="5">
        <f>'ventana herrero'!J47</f>
        <v>47360</v>
      </c>
      <c r="F51" s="6">
        <f>'ventana herrero'!K47</f>
        <v>147195</v>
      </c>
    </row>
    <row r="52" spans="2:6" ht="14.25">
      <c r="B52" s="31" t="s">
        <v>72</v>
      </c>
      <c r="C52" s="5">
        <f>'ventana herrero'!H48</f>
        <v>128095</v>
      </c>
      <c r="D52" s="5">
        <f>'ventana herrero'!I48</f>
        <v>158510</v>
      </c>
      <c r="E52" s="5">
        <f>'ventana herrero'!J48</f>
        <v>53350</v>
      </c>
      <c r="F52" s="6">
        <f>'ventana herrero'!K48</f>
        <v>166525</v>
      </c>
    </row>
    <row r="53" spans="2:6" ht="14.25">
      <c r="B53" s="31" t="s">
        <v>73</v>
      </c>
      <c r="C53" s="5">
        <f>'ventana herrero'!H49</f>
        <v>140345</v>
      </c>
      <c r="D53" s="5">
        <f>'ventana herrero'!I49</f>
        <v>170755</v>
      </c>
      <c r="E53" s="5">
        <f>'ventana herrero'!J49</f>
        <v>59345</v>
      </c>
      <c r="F53" s="6">
        <f>'ventana herrero'!K49</f>
        <v>182445</v>
      </c>
    </row>
    <row r="54" spans="2:6" ht="14.25">
      <c r="B54" s="31" t="s">
        <v>74</v>
      </c>
      <c r="C54" s="5">
        <f>'ventana herrero'!H50</f>
        <v>154675</v>
      </c>
      <c r="D54" s="5">
        <f>'ventana herrero'!I50</f>
        <v>185090</v>
      </c>
      <c r="E54" s="5">
        <f>'ventana herrero'!J50</f>
        <v>63340</v>
      </c>
      <c r="F54" s="6">
        <f>'ventana herrero'!K50</f>
        <v>201080</v>
      </c>
    </row>
    <row r="55" spans="2:6" ht="14.25">
      <c r="B55" s="31" t="s">
        <v>75</v>
      </c>
      <c r="C55" s="5">
        <f>'ventana herrero'!H51</f>
        <v>163235</v>
      </c>
      <c r="D55" s="5">
        <f>'ventana herrero'!I51</f>
        <v>193650</v>
      </c>
      <c r="E55" s="5">
        <f>'ventana herrero'!J51</f>
        <v>67335</v>
      </c>
      <c r="F55" s="6">
        <f>'ventana herrero'!K51</f>
        <v>212205</v>
      </c>
    </row>
    <row r="56" spans="2:6" ht="14.25">
      <c r="B56" s="31" t="s">
        <v>76</v>
      </c>
      <c r="C56" s="5">
        <f>'ventana herrero'!H52</f>
        <v>172720</v>
      </c>
      <c r="D56" s="5">
        <f>'ventana herrero'!I52</f>
        <v>203130</v>
      </c>
      <c r="E56" s="5">
        <f>'ventana herrero'!J52</f>
        <v>71330</v>
      </c>
      <c r="F56" s="6">
        <f>'ventana herrero'!K52</f>
        <v>224535</v>
      </c>
    </row>
    <row r="57" spans="2:6" ht="14.25">
      <c r="B57" s="31" t="s">
        <v>17</v>
      </c>
      <c r="C57" s="5">
        <f>'ventana herrero'!H53</f>
        <v>135175</v>
      </c>
      <c r="D57" s="5">
        <f>'ventana herrero'!I53</f>
        <v>175725</v>
      </c>
      <c r="E57" s="5">
        <f>'ventana herrero'!J53</f>
        <v>55220</v>
      </c>
      <c r="F57" s="6">
        <f>'ventana herrero'!K53</f>
        <v>175725</v>
      </c>
    </row>
    <row r="58" spans="2:6" ht="14.25">
      <c r="B58" s="31" t="s">
        <v>83</v>
      </c>
      <c r="C58" s="5">
        <f>'ventana herrero'!H54</f>
        <v>149710</v>
      </c>
      <c r="D58" s="5">
        <f>'ventana herrero'!I54</f>
        <v>190260</v>
      </c>
      <c r="E58" s="5">
        <f>'ventana herrero'!J54</f>
        <v>60025</v>
      </c>
      <c r="F58" s="6">
        <f>'ventana herrero'!K54</f>
        <v>194620</v>
      </c>
    </row>
    <row r="59" spans="2:6" ht="14.25">
      <c r="B59" s="31" t="s">
        <v>84</v>
      </c>
      <c r="C59" s="5">
        <f>'ventana herrero'!H55</f>
        <v>173825</v>
      </c>
      <c r="D59" s="5">
        <f>'ventana herrero'!I55</f>
        <v>214375</v>
      </c>
      <c r="E59" s="5">
        <f>'ventana herrero'!J55</f>
        <v>67240</v>
      </c>
      <c r="F59" s="6">
        <f>'ventana herrero'!K55</f>
        <v>225975</v>
      </c>
    </row>
    <row r="60" spans="2:6" ht="14.25">
      <c r="B60" s="31" t="s">
        <v>85</v>
      </c>
      <c r="C60" s="5">
        <f>'ventana herrero'!H56</f>
        <v>194060</v>
      </c>
      <c r="D60" s="5">
        <f>'ventana herrero'!I56</f>
        <v>234610</v>
      </c>
      <c r="E60" s="5">
        <f>'ventana herrero'!J56</f>
        <v>74450</v>
      </c>
      <c r="F60" s="6">
        <f>'ventana herrero'!K56</f>
        <v>252275</v>
      </c>
    </row>
    <row r="61" spans="2:6" ht="14.25">
      <c r="B61" s="31" t="s">
        <v>86</v>
      </c>
      <c r="C61" s="5">
        <f>'ventana herrero'!H57</f>
        <v>210060</v>
      </c>
      <c r="D61" s="5">
        <f>'ventana herrero'!I57</f>
        <v>250610</v>
      </c>
      <c r="E61" s="5">
        <f>'ventana herrero'!J57</f>
        <v>79255</v>
      </c>
      <c r="F61" s="6">
        <f>'ventana herrero'!K57</f>
        <v>273075</v>
      </c>
    </row>
    <row r="62" spans="2:6" ht="14.25">
      <c r="B62" s="31" t="s">
        <v>87</v>
      </c>
      <c r="C62" s="5">
        <f>'ventana herrero'!H58</f>
        <v>225975</v>
      </c>
      <c r="D62" s="5">
        <f>'ventana herrero'!I58</f>
        <v>266525</v>
      </c>
      <c r="E62" s="5">
        <f>'ventana herrero'!J58</f>
        <v>84065</v>
      </c>
      <c r="F62" s="6">
        <f>'ventana herrero'!K58</f>
        <v>293765</v>
      </c>
    </row>
    <row r="63" spans="2:6" ht="14.25">
      <c r="B63" s="31" t="s">
        <v>88</v>
      </c>
      <c r="C63" s="5">
        <f>'ventana herrero'!H59</f>
        <v>239310</v>
      </c>
      <c r="D63" s="5">
        <f>'ventana herrero'!I59</f>
        <v>279860</v>
      </c>
      <c r="E63" s="5">
        <f>'ventana herrero'!J59</f>
        <v>88870</v>
      </c>
      <c r="F63" s="6">
        <f>'ventana herrero'!K59</f>
        <v>311105</v>
      </c>
    </row>
    <row r="64" spans="2:6" ht="14.65" thickBot="1">
      <c r="B64" s="32" t="s">
        <v>115</v>
      </c>
      <c r="C64" s="10">
        <f>'ventana herrero'!H60</f>
        <v>251275</v>
      </c>
      <c r="D64" s="10">
        <f>'ventana herrero'!I60</f>
        <v>293855</v>
      </c>
      <c r="E64" s="10">
        <f>'ventana herrero'!J60</f>
        <v>93315</v>
      </c>
      <c r="F64" s="11">
        <f>'ventana herrero'!K60</f>
        <v>326660</v>
      </c>
    </row>
  </sheetData>
  <mergeCells count="3">
    <mergeCell ref="B6:F6"/>
    <mergeCell ref="B7:F7"/>
    <mergeCell ref="B9:F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7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C68BC645-687F-4F37-8E90-C81DD0551E1C}">
            <xm:f>'ventana herrero'!$C$2="VERDE"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9" id="{57FBA112-FE94-402F-B81E-CD42F62ED17A}">
            <xm:f>'ventana herrero'!$C$2="AMARILLA"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A1E91C1C-FE2A-40D0-8138-E1FA438582BB}">
            <xm:f>'ventana herrero'!$C$2="AZUL"</xm:f>
            <x14:dxf>
              <fill>
                <patternFill>
                  <bgColor theme="8"/>
                </patternFill>
              </fill>
            </x14:dxf>
          </x14:cfRule>
          <xm:sqref>B9:F10 B11:B64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62EC-2B5A-4EFA-9C95-C9C454CE9CA9}">
  <sheetPr codeName="Hoja19">
    <tabColor rgb="FF00B050"/>
    <pageSetUpPr fitToPage="1"/>
  </sheetPr>
  <dimension ref="B6:F64"/>
  <sheetViews>
    <sheetView topLeftCell="A43" zoomScale="55" zoomScaleNormal="55" workbookViewId="0">
      <selection activeCell="H87" sqref="H87"/>
    </sheetView>
  </sheetViews>
  <sheetFormatPr baseColWidth="10" defaultRowHeight="12.75"/>
  <cols>
    <col min="1" max="3" width="10.6640625" style="1"/>
    <col min="4" max="4" width="17.73046875" style="1" customWidth="1"/>
    <col min="5" max="16384" width="10.6640625" style="1"/>
  </cols>
  <sheetData>
    <row r="6" spans="2:6" ht="13.15">
      <c r="B6" s="337" t="s">
        <v>21</v>
      </c>
      <c r="C6" s="337"/>
      <c r="D6" s="337"/>
      <c r="E6" s="337"/>
      <c r="F6" s="40"/>
    </row>
    <row r="7" spans="2:6" ht="13.15">
      <c r="B7" s="337" t="s">
        <v>22</v>
      </c>
      <c r="C7" s="337"/>
      <c r="D7" s="337"/>
      <c r="E7" s="337"/>
      <c r="F7" s="40"/>
    </row>
    <row r="8" spans="2:6" ht="13.15" thickBot="1"/>
    <row r="9" spans="2:6" ht="13.15" thickBot="1">
      <c r="C9" s="335" t="s">
        <v>95</v>
      </c>
      <c r="D9" s="336"/>
    </row>
    <row r="10" spans="2:6" ht="17.25" thickBot="1">
      <c r="C10" s="27" t="s">
        <v>24</v>
      </c>
      <c r="D10" s="29" t="s">
        <v>35</v>
      </c>
    </row>
    <row r="11" spans="2:6" ht="14.25">
      <c r="C11" s="30" t="s">
        <v>36</v>
      </c>
      <c r="D11" s="6">
        <f>mosquiteros!E7</f>
        <v>22046</v>
      </c>
    </row>
    <row r="12" spans="2:6" ht="14.25">
      <c r="C12" s="31" t="s">
        <v>37</v>
      </c>
      <c r="D12" s="6">
        <f>mosquiteros!E8</f>
        <v>25496</v>
      </c>
    </row>
    <row r="13" spans="2:6" ht="14.25">
      <c r="C13" s="31" t="s">
        <v>38</v>
      </c>
      <c r="D13" s="6">
        <f>mosquiteros!E9</f>
        <v>28944</v>
      </c>
    </row>
    <row r="14" spans="2:6" ht="14.25">
      <c r="C14" s="31" t="s">
        <v>39</v>
      </c>
      <c r="D14" s="6">
        <f>mosquiteros!E10</f>
        <v>32391</v>
      </c>
    </row>
    <row r="15" spans="2:6" ht="14.25">
      <c r="C15" s="31" t="s">
        <v>40</v>
      </c>
      <c r="D15" s="6">
        <f>mosquiteros!E11</f>
        <v>37568</v>
      </c>
    </row>
    <row r="16" spans="2:6" ht="14.25">
      <c r="C16" s="31" t="s">
        <v>41</v>
      </c>
      <c r="D16" s="6">
        <f>mosquiteros!E12</f>
        <v>42741</v>
      </c>
    </row>
    <row r="17" spans="3:4" ht="14.25">
      <c r="C17" s="31" t="s">
        <v>42</v>
      </c>
      <c r="D17" s="6">
        <f>mosquiteros!E13</f>
        <v>46190</v>
      </c>
    </row>
    <row r="18" spans="3:4" ht="14.25">
      <c r="C18" s="31" t="s">
        <v>43</v>
      </c>
      <c r="D18" s="6">
        <f>mosquiteros!E14</f>
        <v>34935</v>
      </c>
    </row>
    <row r="19" spans="3:4" ht="14.25">
      <c r="C19" s="31" t="s">
        <v>44</v>
      </c>
      <c r="D19" s="6">
        <f>mosquiteros!E15</f>
        <v>39291</v>
      </c>
    </row>
    <row r="20" spans="3:4" ht="14.25">
      <c r="C20" s="31" t="s">
        <v>45</v>
      </c>
      <c r="D20" s="6">
        <f>mosquiteros!E16</f>
        <v>43649</v>
      </c>
    </row>
    <row r="21" spans="3:4" ht="14.25">
      <c r="C21" s="31" t="s">
        <v>46</v>
      </c>
      <c r="D21" s="6">
        <f>mosquiteros!E17</f>
        <v>50185</v>
      </c>
    </row>
    <row r="22" spans="3:4" ht="14.25">
      <c r="C22" s="31" t="s">
        <v>47</v>
      </c>
      <c r="D22" s="6">
        <f>mosquiteros!E18</f>
        <v>56719</v>
      </c>
    </row>
    <row r="23" spans="3:4" ht="14.25">
      <c r="C23" s="31" t="s">
        <v>48</v>
      </c>
      <c r="D23" s="6">
        <f>mosquiteros!E19</f>
        <v>61079</v>
      </c>
    </row>
    <row r="24" spans="3:4" ht="14.25">
      <c r="C24" s="31" t="s">
        <v>49</v>
      </c>
      <c r="D24" s="6">
        <f>mosquiteros!E20</f>
        <v>65433</v>
      </c>
    </row>
    <row r="25" spans="3:4" ht="14.25">
      <c r="C25" s="31" t="s">
        <v>50</v>
      </c>
      <c r="D25" s="6">
        <f>mosquiteros!E21</f>
        <v>69790</v>
      </c>
    </row>
    <row r="26" spans="3:4" ht="14.25">
      <c r="C26" s="31" t="s">
        <v>51</v>
      </c>
      <c r="D26" s="6">
        <f>mosquiteros!E22</f>
        <v>42741</v>
      </c>
    </row>
    <row r="27" spans="3:4" ht="14.25">
      <c r="C27" s="31" t="s">
        <v>52</v>
      </c>
      <c r="D27" s="6">
        <f>mosquiteros!E23</f>
        <v>47401</v>
      </c>
    </row>
    <row r="28" spans="3:4" ht="14.25">
      <c r="C28" s="31" t="s">
        <v>53</v>
      </c>
      <c r="D28" s="6">
        <f>mosquiteros!E24</f>
        <v>54392</v>
      </c>
    </row>
    <row r="29" spans="3:4" ht="14.25">
      <c r="C29" s="31" t="s">
        <v>54</v>
      </c>
      <c r="D29" s="6">
        <f>mosquiteros!E25</f>
        <v>61379</v>
      </c>
    </row>
    <row r="30" spans="3:4" ht="14.25">
      <c r="C30" s="31" t="s">
        <v>55</v>
      </c>
      <c r="D30" s="6">
        <f>mosquiteros!E26</f>
        <v>66039</v>
      </c>
    </row>
    <row r="31" spans="3:4" ht="14.25">
      <c r="C31" s="31" t="s">
        <v>56</v>
      </c>
      <c r="D31" s="6">
        <f>mosquiteros!E27</f>
        <v>70701</v>
      </c>
    </row>
    <row r="32" spans="3:4" ht="14.25">
      <c r="C32" s="31" t="s">
        <v>57</v>
      </c>
      <c r="D32" s="6">
        <f>mosquiteros!E28</f>
        <v>75361</v>
      </c>
    </row>
    <row r="33" spans="3:4" ht="14.25">
      <c r="C33" s="31" t="s">
        <v>58</v>
      </c>
      <c r="D33" s="6">
        <f>mosquiteros!E29</f>
        <v>49640</v>
      </c>
    </row>
    <row r="34" spans="3:4" ht="14.25">
      <c r="C34" s="31" t="s">
        <v>59</v>
      </c>
      <c r="D34" s="6">
        <f>mosquiteros!E30</f>
        <v>54906</v>
      </c>
    </row>
    <row r="35" spans="3:4" ht="14.25">
      <c r="C35" s="31" t="s">
        <v>60</v>
      </c>
      <c r="D35" s="6">
        <f>mosquiteros!E31</f>
        <v>62801</v>
      </c>
    </row>
    <row r="36" spans="3:4" ht="14.25">
      <c r="C36" s="31" t="s">
        <v>61</v>
      </c>
      <c r="D36" s="6">
        <f>mosquiteros!E32</f>
        <v>70701</v>
      </c>
    </row>
    <row r="37" spans="3:4" ht="14.25">
      <c r="C37" s="31" t="s">
        <v>62</v>
      </c>
      <c r="D37" s="6">
        <f>mosquiteros!E33</f>
        <v>75965</v>
      </c>
    </row>
    <row r="38" spans="3:4" ht="14.25">
      <c r="C38" s="31" t="s">
        <v>63</v>
      </c>
      <c r="D38" s="6">
        <f>mosquiteros!E34</f>
        <v>81231</v>
      </c>
    </row>
    <row r="39" spans="3:4" ht="14.25">
      <c r="C39" s="31" t="s">
        <v>64</v>
      </c>
      <c r="D39" s="6">
        <f>mosquiteros!E35</f>
        <v>86495</v>
      </c>
    </row>
    <row r="40" spans="3:4" ht="14.25">
      <c r="C40" s="31" t="s">
        <v>65</v>
      </c>
      <c r="D40" s="6">
        <f>mosquiteros!E36</f>
        <v>62408</v>
      </c>
    </row>
    <row r="41" spans="3:4" ht="14.25">
      <c r="C41" s="31" t="s">
        <v>66</v>
      </c>
      <c r="D41" s="6">
        <f>mosquiteros!E37</f>
        <v>71213</v>
      </c>
    </row>
    <row r="42" spans="3:4" ht="14.25">
      <c r="C42" s="31" t="s">
        <v>67</v>
      </c>
      <c r="D42" s="6">
        <f>mosquiteros!E38</f>
        <v>80021</v>
      </c>
    </row>
    <row r="43" spans="3:4" ht="14.25">
      <c r="C43" s="31" t="s">
        <v>68</v>
      </c>
      <c r="D43" s="6">
        <f>mosquiteros!E39</f>
        <v>85889</v>
      </c>
    </row>
    <row r="44" spans="3:4" ht="14.25">
      <c r="C44" s="31" t="s">
        <v>69</v>
      </c>
      <c r="D44" s="6">
        <f>mosquiteros!E40</f>
        <v>91761</v>
      </c>
    </row>
    <row r="45" spans="3:4" ht="14.25">
      <c r="C45" s="31" t="s">
        <v>70</v>
      </c>
      <c r="D45" s="6">
        <f>mosquiteros!E41</f>
        <v>97631</v>
      </c>
    </row>
    <row r="46" spans="3:4" ht="14.25">
      <c r="C46" s="31" t="s">
        <v>71</v>
      </c>
      <c r="D46" s="6">
        <f>mosquiteros!E42</f>
        <v>65542</v>
      </c>
    </row>
    <row r="47" spans="3:4" ht="14.25">
      <c r="C47" s="31" t="s">
        <v>72</v>
      </c>
      <c r="D47" s="6">
        <f>mosquiteros!E43</f>
        <v>74649</v>
      </c>
    </row>
    <row r="48" spans="3:4" ht="14.25">
      <c r="C48" s="31" t="s">
        <v>73</v>
      </c>
      <c r="D48" s="6">
        <f>mosquiteros!E44</f>
        <v>83757</v>
      </c>
    </row>
    <row r="49" spans="3:4" ht="14.25">
      <c r="C49" s="31" t="s">
        <v>74</v>
      </c>
      <c r="D49" s="6">
        <f>mosquiteros!E45</f>
        <v>89827</v>
      </c>
    </row>
    <row r="50" spans="3:4" ht="14.25">
      <c r="C50" s="31" t="s">
        <v>75</v>
      </c>
      <c r="D50" s="6">
        <f>mosquiteros!E46</f>
        <v>95896</v>
      </c>
    </row>
    <row r="51" spans="3:4" ht="14.25">
      <c r="C51" s="31" t="s">
        <v>76</v>
      </c>
      <c r="D51" s="6">
        <f>mosquiteros!E47</f>
        <v>101969</v>
      </c>
    </row>
    <row r="52" spans="3:4" ht="14.25">
      <c r="C52" s="31" t="s">
        <v>77</v>
      </c>
      <c r="D52" s="6">
        <f>mosquiteros!E48</f>
        <v>76094</v>
      </c>
    </row>
    <row r="53" spans="3:4" ht="14.25">
      <c r="C53" s="31" t="s">
        <v>78</v>
      </c>
      <c r="D53" s="6">
        <f>mosquiteros!E49</f>
        <v>86479</v>
      </c>
    </row>
    <row r="54" spans="3:4" ht="14.25">
      <c r="C54" s="31" t="s">
        <v>79</v>
      </c>
      <c r="D54" s="6">
        <f>mosquiteros!E50</f>
        <v>96862</v>
      </c>
    </row>
    <row r="55" spans="3:4" ht="14.25">
      <c r="C55" s="31" t="s">
        <v>80</v>
      </c>
      <c r="D55" s="6">
        <f>mosquiteros!E51</f>
        <v>103784</v>
      </c>
    </row>
    <row r="56" spans="3:4" ht="14.25">
      <c r="C56" s="31" t="s">
        <v>81</v>
      </c>
      <c r="D56" s="6">
        <f>mosquiteros!E52</f>
        <v>110705</v>
      </c>
    </row>
    <row r="57" spans="3:4" ht="14.25">
      <c r="C57" s="31" t="s">
        <v>82</v>
      </c>
      <c r="D57" s="6">
        <f>mosquiteros!E53</f>
        <v>117628</v>
      </c>
    </row>
    <row r="58" spans="3:4" ht="14.25">
      <c r="C58" s="31" t="s">
        <v>83</v>
      </c>
      <c r="D58" s="6">
        <f>mosquiteros!E54</f>
        <v>83129</v>
      </c>
    </row>
    <row r="59" spans="3:4" ht="14.25">
      <c r="C59" s="31" t="s">
        <v>84</v>
      </c>
      <c r="D59" s="6">
        <f>mosquiteros!E55</f>
        <v>94364</v>
      </c>
    </row>
    <row r="60" spans="3:4" ht="14.25">
      <c r="C60" s="31" t="s">
        <v>85</v>
      </c>
      <c r="D60" s="6">
        <f>mosquiteros!E56</f>
        <v>105598</v>
      </c>
    </row>
    <row r="61" spans="3:4" ht="14.25">
      <c r="C61" s="31" t="s">
        <v>86</v>
      </c>
      <c r="D61" s="6">
        <f>mosquiteros!E57</f>
        <v>113088</v>
      </c>
    </row>
    <row r="62" spans="3:4" ht="14.25">
      <c r="C62" s="31" t="s">
        <v>87</v>
      </c>
      <c r="D62" s="6">
        <f>mosquiteros!E58</f>
        <v>120577</v>
      </c>
    </row>
    <row r="63" spans="3:4" ht="14.25">
      <c r="C63" s="31" t="s">
        <v>88</v>
      </c>
      <c r="D63" s="6">
        <f>mosquiteros!E59</f>
        <v>128067</v>
      </c>
    </row>
    <row r="64" spans="3:4" ht="14.65" thickBot="1">
      <c r="C64" s="32" t="s">
        <v>115</v>
      </c>
      <c r="D64" s="11">
        <f>mosquiteros!E60</f>
        <v>147053</v>
      </c>
    </row>
  </sheetData>
  <mergeCells count="3">
    <mergeCell ref="C9:D9"/>
    <mergeCell ref="B6:E6"/>
    <mergeCell ref="B7:E7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id="{432888A1-87BE-4DDC-8D96-86285F7BE95A}">
            <xm:f>mosquiteros!$E$2="VERDE"</xm:f>
            <x14:dxf>
              <fill>
                <patternFill>
                  <bgColor theme="9"/>
                </patternFill>
              </fill>
            </x14:dxf>
          </x14:cfRule>
          <x14:cfRule type="expression" priority="61" id="{F9F56AA9-0108-40F6-801B-B0526F4D29BE}">
            <xm:f>mosquiteros!$E$2="AZUL"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62" id="{93A9AF21-B562-4AB1-A279-F50506A79CF2}">
            <xm:f>mosquiteros!$E$2="AMARILLA"</xm:f>
            <x14:dxf>
              <fill>
                <patternFill>
                  <bgColor rgb="FFFFFF00"/>
                </patternFill>
              </fill>
            </x14:dxf>
          </x14:cfRule>
          <xm:sqref>C9:D10 C11:C64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2BBF-9689-423D-88ED-3CBE6707456F}">
  <sheetPr codeName="Hoja20">
    <tabColor rgb="FF00B050"/>
    <pageSetUpPr fitToPage="1"/>
  </sheetPr>
  <dimension ref="B8:H82"/>
  <sheetViews>
    <sheetView topLeftCell="A59" zoomScale="55" zoomScaleNormal="55" workbookViewId="0">
      <selection activeCell="H87" sqref="H87"/>
    </sheetView>
  </sheetViews>
  <sheetFormatPr baseColWidth="10" defaultColWidth="11.3984375" defaultRowHeight="12.75"/>
  <cols>
    <col min="1" max="4" width="11.3984375" style="25"/>
    <col min="5" max="5" width="13.265625" style="25" customWidth="1"/>
    <col min="6" max="16384" width="11.3984375" style="25"/>
  </cols>
  <sheetData>
    <row r="8" spans="2:8" ht="13.15">
      <c r="B8" s="40"/>
      <c r="C8" s="337" t="s">
        <v>21</v>
      </c>
      <c r="D8" s="337"/>
      <c r="E8" s="337"/>
      <c r="F8" s="337"/>
      <c r="G8" s="337"/>
    </row>
    <row r="9" spans="2:8" ht="13.15">
      <c r="B9" s="40"/>
      <c r="C9" s="337" t="s">
        <v>22</v>
      </c>
      <c r="D9" s="337"/>
      <c r="E9" s="337"/>
      <c r="F9" s="337"/>
      <c r="G9" s="337"/>
    </row>
    <row r="10" spans="2:8" ht="13.15" thickBot="1"/>
    <row r="11" spans="2:8" ht="18.399999999999999" thickBot="1">
      <c r="B11" s="338" t="s">
        <v>154</v>
      </c>
      <c r="C11" s="339"/>
      <c r="D11" s="339"/>
      <c r="E11" s="339"/>
      <c r="F11" s="339"/>
      <c r="G11" s="339"/>
      <c r="H11" s="340"/>
    </row>
    <row r="12" spans="2:8" ht="13.5" thickBot="1">
      <c r="B12" s="49" t="s">
        <v>24</v>
      </c>
      <c r="C12" s="50" t="s">
        <v>122</v>
      </c>
      <c r="D12" s="50" t="s">
        <v>123</v>
      </c>
      <c r="E12" s="50" t="s">
        <v>124</v>
      </c>
      <c r="F12" s="50" t="s">
        <v>125</v>
      </c>
      <c r="G12" s="50" t="s">
        <v>126</v>
      </c>
      <c r="H12" s="51" t="s">
        <v>127</v>
      </c>
    </row>
    <row r="13" spans="2:8" ht="13.15">
      <c r="B13" s="54" t="s">
        <v>128</v>
      </c>
      <c r="C13" s="57">
        <f>'rajas herrero'!L7</f>
        <v>40580</v>
      </c>
      <c r="D13" s="58">
        <f>'rajas herrero'!M7</f>
        <v>41185</v>
      </c>
      <c r="E13" s="58">
        <f>'rajas herrero'!N7</f>
        <v>42285</v>
      </c>
      <c r="F13" s="58">
        <f>'rajas herrero'!O7</f>
        <v>47605</v>
      </c>
      <c r="G13" s="58">
        <f>'rajas herrero'!P7</f>
        <v>41530</v>
      </c>
      <c r="H13" s="59">
        <f>'rajas herrero'!Q7</f>
        <v>52505</v>
      </c>
    </row>
    <row r="14" spans="2:8" ht="13.15">
      <c r="B14" s="55" t="s">
        <v>129</v>
      </c>
      <c r="C14" s="60">
        <f>'rajas herrero'!L8</f>
        <v>44130</v>
      </c>
      <c r="D14" s="52">
        <f>'rajas herrero'!M8</f>
        <v>44935</v>
      </c>
      <c r="E14" s="52">
        <f>'rajas herrero'!N8</f>
        <v>46405</v>
      </c>
      <c r="F14" s="52">
        <f>'rajas herrero'!O8</f>
        <v>53500</v>
      </c>
      <c r="G14" s="52">
        <f>'rajas herrero'!P8</f>
        <v>45410</v>
      </c>
      <c r="H14" s="53">
        <f>'rajas herrero'!Q8</f>
        <v>60045</v>
      </c>
    </row>
    <row r="15" spans="2:8" ht="13.15">
      <c r="B15" s="55" t="s">
        <v>130</v>
      </c>
      <c r="C15" s="60">
        <f>'rajas herrero'!L9</f>
        <v>47685</v>
      </c>
      <c r="D15" s="52">
        <f>'rajas herrero'!M9</f>
        <v>48700</v>
      </c>
      <c r="E15" s="52">
        <f>'rajas herrero'!N9</f>
        <v>50540</v>
      </c>
      <c r="F15" s="52">
        <f>'rajas herrero'!O9</f>
        <v>59405</v>
      </c>
      <c r="G15" s="52">
        <f>'rajas herrero'!P9</f>
        <v>49290</v>
      </c>
      <c r="H15" s="53">
        <f>'rajas herrero'!Q9</f>
        <v>67590</v>
      </c>
    </row>
    <row r="16" spans="2:8" ht="13.15">
      <c r="B16" s="55" t="s">
        <v>131</v>
      </c>
      <c r="C16" s="60">
        <f>'rajas herrero'!L10</f>
        <v>51240</v>
      </c>
      <c r="D16" s="52">
        <f>'rajas herrero'!M10</f>
        <v>52450</v>
      </c>
      <c r="E16" s="52">
        <f>'rajas herrero'!N10</f>
        <v>54665</v>
      </c>
      <c r="F16" s="52">
        <f>'rajas herrero'!O10</f>
        <v>65305</v>
      </c>
      <c r="G16" s="52">
        <f>'rajas herrero'!P10</f>
        <v>53170</v>
      </c>
      <c r="H16" s="53">
        <f>'rajas herrero'!Q10</f>
        <v>75135</v>
      </c>
    </row>
    <row r="17" spans="2:8" ht="13.15">
      <c r="B17" s="55" t="s">
        <v>132</v>
      </c>
      <c r="C17" s="60">
        <f>'rajas herrero'!L11</f>
        <v>54790</v>
      </c>
      <c r="D17" s="52">
        <f>'rajas herrero'!M11</f>
        <v>56205</v>
      </c>
      <c r="E17" s="52">
        <f>'rajas herrero'!N11</f>
        <v>58785</v>
      </c>
      <c r="F17" s="52">
        <f>'rajas herrero'!O11</f>
        <v>71200</v>
      </c>
      <c r="G17" s="52">
        <f>'rajas herrero'!P11</f>
        <v>57045</v>
      </c>
      <c r="H17" s="53">
        <f>'rajas herrero'!Q11</f>
        <v>82675</v>
      </c>
    </row>
    <row r="18" spans="2:8" ht="13.15">
      <c r="B18" s="55" t="s">
        <v>133</v>
      </c>
      <c r="C18" s="60">
        <f>'rajas herrero'!L12</f>
        <v>58340</v>
      </c>
      <c r="D18" s="52">
        <f>'rajas herrero'!M12</f>
        <v>59955</v>
      </c>
      <c r="E18" s="52">
        <f>'rajas herrero'!N12</f>
        <v>62910</v>
      </c>
      <c r="F18" s="52">
        <f>'rajas herrero'!O12</f>
        <v>77095</v>
      </c>
      <c r="G18" s="52">
        <f>'rajas herrero'!P12</f>
        <v>60925</v>
      </c>
      <c r="H18" s="53">
        <f>'rajas herrero'!Q12</f>
        <v>90210</v>
      </c>
    </row>
    <row r="19" spans="2:8" ht="13.15">
      <c r="B19" s="55" t="s">
        <v>134</v>
      </c>
      <c r="C19" s="60">
        <f>'rajas herrero'!L13</f>
        <v>61895</v>
      </c>
      <c r="D19" s="52">
        <f>'rajas herrero'!M13</f>
        <v>63710</v>
      </c>
      <c r="E19" s="52">
        <f>'rajas herrero'!N13</f>
        <v>67035</v>
      </c>
      <c r="F19" s="52">
        <f>'rajas herrero'!O13</f>
        <v>82995</v>
      </c>
      <c r="G19" s="52">
        <f>'rajas herrero'!P13</f>
        <v>64800</v>
      </c>
      <c r="H19" s="53">
        <f>'rajas herrero'!Q13</f>
        <v>97755</v>
      </c>
    </row>
    <row r="20" spans="2:8" ht="13.15">
      <c r="B20" s="55" t="s">
        <v>135</v>
      </c>
      <c r="C20" s="60">
        <f>'rajas herrero'!L14</f>
        <v>44130</v>
      </c>
      <c r="D20" s="52">
        <f>'rajas herrero'!M14</f>
        <v>44935</v>
      </c>
      <c r="E20" s="52">
        <f>'rajas herrero'!N14</f>
        <v>46405</v>
      </c>
      <c r="F20" s="52">
        <f>'rajas herrero'!O14</f>
        <v>53500</v>
      </c>
      <c r="G20" s="52">
        <f>'rajas herrero'!P14</f>
        <v>45410</v>
      </c>
      <c r="H20" s="53">
        <f>'rajas herrero'!Q14</f>
        <v>60045</v>
      </c>
    </row>
    <row r="21" spans="2:8" ht="13.15">
      <c r="B21" s="55" t="s">
        <v>136</v>
      </c>
      <c r="C21" s="60">
        <f>'rajas herrero'!L15</f>
        <v>48015</v>
      </c>
      <c r="D21" s="52">
        <f>'rajas herrero'!M15</f>
        <v>49080</v>
      </c>
      <c r="E21" s="52">
        <f>'rajas herrero'!N15</f>
        <v>51055</v>
      </c>
      <c r="F21" s="52">
        <f>'rajas herrero'!O15</f>
        <v>60495</v>
      </c>
      <c r="G21" s="52">
        <f>'rajas herrero'!P15</f>
        <v>49705</v>
      </c>
      <c r="H21" s="53">
        <f>'rajas herrero'!Q15</f>
        <v>69220</v>
      </c>
    </row>
    <row r="22" spans="2:8" ht="13.15">
      <c r="B22" s="55" t="s">
        <v>137</v>
      </c>
      <c r="C22" s="60">
        <f>'rajas herrero'!L16</f>
        <v>51880</v>
      </c>
      <c r="D22" s="52">
        <f>'rajas herrero'!M16</f>
        <v>53215</v>
      </c>
      <c r="E22" s="52">
        <f>'rajas herrero'!N16</f>
        <v>55695</v>
      </c>
      <c r="F22" s="52">
        <f>'rajas herrero'!O16</f>
        <v>67480</v>
      </c>
      <c r="G22" s="52">
        <f>'rajas herrero'!P16</f>
        <v>54000</v>
      </c>
      <c r="H22" s="53">
        <f>'rajas herrero'!Q16</f>
        <v>78390</v>
      </c>
    </row>
    <row r="23" spans="2:8" ht="13.15">
      <c r="B23" s="55" t="s">
        <v>138</v>
      </c>
      <c r="C23" s="60">
        <f>'rajas herrero'!L17</f>
        <v>55745</v>
      </c>
      <c r="D23" s="52">
        <f>'rajas herrero'!M17</f>
        <v>57350</v>
      </c>
      <c r="E23" s="52">
        <f>'rajas herrero'!N17</f>
        <v>60335</v>
      </c>
      <c r="F23" s="52">
        <f>'rajas herrero'!O17</f>
        <v>74465</v>
      </c>
      <c r="G23" s="52">
        <f>'rajas herrero'!P17</f>
        <v>58290</v>
      </c>
      <c r="H23" s="53">
        <f>'rajas herrero'!Q17</f>
        <v>87560</v>
      </c>
    </row>
    <row r="24" spans="2:8" ht="13.15">
      <c r="B24" s="55" t="s">
        <v>139</v>
      </c>
      <c r="C24" s="60">
        <f>'rajas herrero'!L18</f>
        <v>59620</v>
      </c>
      <c r="D24" s="52">
        <f>'rajas herrero'!M18</f>
        <v>61485</v>
      </c>
      <c r="E24" s="52">
        <f>'rajas herrero'!N18</f>
        <v>64975</v>
      </c>
      <c r="F24" s="52">
        <f>'rajas herrero'!O18</f>
        <v>81450</v>
      </c>
      <c r="G24" s="52">
        <f>'rajas herrero'!P18</f>
        <v>62585</v>
      </c>
      <c r="H24" s="53">
        <f>'rajas herrero'!Q18</f>
        <v>96730</v>
      </c>
    </row>
    <row r="25" spans="2:8" ht="13.15">
      <c r="B25" s="55" t="s">
        <v>140</v>
      </c>
      <c r="C25" s="60">
        <f>'rajas herrero'!L19</f>
        <v>63485</v>
      </c>
      <c r="D25" s="52">
        <f>'rajas herrero'!M19</f>
        <v>65620</v>
      </c>
      <c r="E25" s="52">
        <f>'rajas herrero'!N19</f>
        <v>69615</v>
      </c>
      <c r="F25" s="52">
        <f>'rajas herrero'!O19</f>
        <v>88440</v>
      </c>
      <c r="G25" s="52">
        <f>'rajas herrero'!P19</f>
        <v>66875</v>
      </c>
      <c r="H25" s="53">
        <f>'rajas herrero'!Q19</f>
        <v>105900</v>
      </c>
    </row>
    <row r="26" spans="2:8" ht="13.15">
      <c r="B26" s="55" t="s">
        <v>141</v>
      </c>
      <c r="C26" s="60">
        <f>'rajas herrero'!L20</f>
        <v>67355</v>
      </c>
      <c r="D26" s="52">
        <f>'rajas herrero'!M20</f>
        <v>69755</v>
      </c>
      <c r="E26" s="52">
        <f>'rajas herrero'!N20</f>
        <v>74255</v>
      </c>
      <c r="F26" s="52">
        <f>'rajas herrero'!O20</f>
        <v>95425</v>
      </c>
      <c r="G26" s="52">
        <f>'rajas herrero'!P20</f>
        <v>71170</v>
      </c>
      <c r="H26" s="53">
        <f>'rajas herrero'!Q20</f>
        <v>115070</v>
      </c>
    </row>
    <row r="27" spans="2:8" ht="13.15">
      <c r="B27" s="55" t="s">
        <v>156</v>
      </c>
      <c r="C27" s="60">
        <f>'rajas herrero'!L21</f>
        <v>47685</v>
      </c>
      <c r="D27" s="52">
        <f>'rajas herrero'!M21</f>
        <v>48700</v>
      </c>
      <c r="E27" s="52">
        <f>'rajas herrero'!N21</f>
        <v>50540</v>
      </c>
      <c r="F27" s="52">
        <f>'rajas herrero'!O21</f>
        <v>59405</v>
      </c>
      <c r="G27" s="52">
        <f>'rajas herrero'!P21</f>
        <v>49290</v>
      </c>
      <c r="H27" s="53">
        <f>'rajas herrero'!Q21</f>
        <v>67590</v>
      </c>
    </row>
    <row r="28" spans="2:8" ht="13.15">
      <c r="B28" s="55" t="s">
        <v>157</v>
      </c>
      <c r="C28" s="60">
        <f>'rajas herrero'!L22</f>
        <v>51880</v>
      </c>
      <c r="D28" s="52">
        <f>'rajas herrero'!M22</f>
        <v>53215</v>
      </c>
      <c r="E28" s="52">
        <f>'rajas herrero'!N22</f>
        <v>55695</v>
      </c>
      <c r="F28" s="52">
        <f>'rajas herrero'!O22</f>
        <v>67480</v>
      </c>
      <c r="G28" s="52">
        <f>'rajas herrero'!P22</f>
        <v>54000</v>
      </c>
      <c r="H28" s="53">
        <f>'rajas herrero'!Q22</f>
        <v>78390</v>
      </c>
    </row>
    <row r="29" spans="2:8" ht="13.15">
      <c r="B29" s="55" t="s">
        <v>158</v>
      </c>
      <c r="C29" s="60">
        <f>'rajas herrero'!L23</f>
        <v>56060</v>
      </c>
      <c r="D29" s="52">
        <f>'rajas herrero'!M23</f>
        <v>57730</v>
      </c>
      <c r="E29" s="52">
        <f>'rajas herrero'!N23</f>
        <v>60850</v>
      </c>
      <c r="F29" s="52">
        <f>'rajas herrero'!O23</f>
        <v>75555</v>
      </c>
      <c r="G29" s="52">
        <f>'rajas herrero'!P23</f>
        <v>58705</v>
      </c>
      <c r="H29" s="53">
        <f>'rajas herrero'!Q23</f>
        <v>89190</v>
      </c>
    </row>
    <row r="30" spans="2:8" ht="13.15">
      <c r="B30" s="55" t="s">
        <v>159</v>
      </c>
      <c r="C30" s="60">
        <f>'rajas herrero'!L24</f>
        <v>60250</v>
      </c>
      <c r="D30" s="52">
        <f>'rajas herrero'!M24</f>
        <v>62245</v>
      </c>
      <c r="E30" s="52">
        <f>'rajas herrero'!N24</f>
        <v>66005</v>
      </c>
      <c r="F30" s="52">
        <f>'rajas herrero'!O24</f>
        <v>83740</v>
      </c>
      <c r="G30" s="52">
        <f>'rajas herrero'!P24</f>
        <v>63415</v>
      </c>
      <c r="H30" s="53">
        <f>'rajas herrero'!Q24</f>
        <v>99990</v>
      </c>
    </row>
    <row r="31" spans="2:8" ht="13.15">
      <c r="B31" s="55" t="s">
        <v>160</v>
      </c>
      <c r="C31" s="60">
        <f>'rajas herrero'!L25</f>
        <v>64440</v>
      </c>
      <c r="D31" s="52">
        <f>'rajas herrero'!M25</f>
        <v>66765</v>
      </c>
      <c r="E31" s="52">
        <f>'rajas herrero'!N25</f>
        <v>71165</v>
      </c>
      <c r="F31" s="52">
        <f>'rajas herrero'!O25</f>
        <v>91930</v>
      </c>
      <c r="G31" s="52">
        <f>'rajas herrero'!P25</f>
        <v>68125</v>
      </c>
      <c r="H31" s="53">
        <f>'rajas herrero'!Q25</f>
        <v>110790</v>
      </c>
    </row>
    <row r="32" spans="2:8" ht="13.15">
      <c r="B32" s="55" t="s">
        <v>161</v>
      </c>
      <c r="C32" s="60">
        <f>'rajas herrero'!L26</f>
        <v>68635</v>
      </c>
      <c r="D32" s="52">
        <f>'rajas herrero'!M26</f>
        <v>71280</v>
      </c>
      <c r="E32" s="52">
        <f>'rajas herrero'!N26</f>
        <v>76320</v>
      </c>
      <c r="F32" s="52">
        <f>'rajas herrero'!O26</f>
        <v>100115</v>
      </c>
      <c r="G32" s="52">
        <f>'rajas herrero'!P26</f>
        <v>72830</v>
      </c>
      <c r="H32" s="53">
        <f>'rajas herrero'!Q26</f>
        <v>121590</v>
      </c>
    </row>
    <row r="33" spans="2:8" ht="13.15">
      <c r="B33" s="55" t="s">
        <v>162</v>
      </c>
      <c r="C33" s="60">
        <f>'rajas herrero'!L27</f>
        <v>72825</v>
      </c>
      <c r="D33" s="52">
        <f>'rajas herrero'!M27</f>
        <v>75800</v>
      </c>
      <c r="E33" s="52">
        <f>'rajas herrero'!N27</f>
        <v>81475</v>
      </c>
      <c r="F33" s="52">
        <f>'rajas herrero'!O27</f>
        <v>108305</v>
      </c>
      <c r="G33" s="52">
        <f>'rajas herrero'!P27</f>
        <v>77540</v>
      </c>
      <c r="H33" s="53">
        <f>'rajas herrero'!Q27</f>
        <v>132390</v>
      </c>
    </row>
    <row r="34" spans="2:8" ht="13.15">
      <c r="B34" s="55" t="s">
        <v>163</v>
      </c>
      <c r="C34" s="60">
        <f>'rajas herrero'!L28</f>
        <v>51240</v>
      </c>
      <c r="D34" s="52">
        <f>'rajas herrero'!M28</f>
        <v>52450</v>
      </c>
      <c r="E34" s="52">
        <f>'rajas herrero'!N28</f>
        <v>54665</v>
      </c>
      <c r="F34" s="52">
        <f>'rajas herrero'!O28</f>
        <v>65305</v>
      </c>
      <c r="G34" s="52">
        <f>'rajas herrero'!P28</f>
        <v>53170</v>
      </c>
      <c r="H34" s="53">
        <f>'rajas herrero'!Q28</f>
        <v>75135</v>
      </c>
    </row>
    <row r="35" spans="2:8" ht="13.15">
      <c r="B35" s="55" t="s">
        <v>164</v>
      </c>
      <c r="C35" s="60">
        <f>'rajas herrero'!L29</f>
        <v>55745</v>
      </c>
      <c r="D35" s="52">
        <f>'rajas herrero'!M29</f>
        <v>57350</v>
      </c>
      <c r="E35" s="52">
        <f>'rajas herrero'!N29</f>
        <v>60335</v>
      </c>
      <c r="F35" s="52">
        <f>'rajas herrero'!O29</f>
        <v>74465</v>
      </c>
      <c r="G35" s="52">
        <f>'rajas herrero'!P29</f>
        <v>58290</v>
      </c>
      <c r="H35" s="53">
        <f>'rajas herrero'!Q29</f>
        <v>87560</v>
      </c>
    </row>
    <row r="36" spans="2:8" ht="13.15">
      <c r="B36" s="55" t="s">
        <v>165</v>
      </c>
      <c r="C36" s="60">
        <f>'rajas herrero'!L30</f>
        <v>60250</v>
      </c>
      <c r="D36" s="52">
        <f>'rajas herrero'!M30</f>
        <v>62245</v>
      </c>
      <c r="E36" s="52">
        <f>'rajas herrero'!N30</f>
        <v>66005</v>
      </c>
      <c r="F36" s="52">
        <f>'rajas herrero'!O30</f>
        <v>83740</v>
      </c>
      <c r="G36" s="52">
        <f>'rajas herrero'!P30</f>
        <v>63415</v>
      </c>
      <c r="H36" s="53">
        <f>'rajas herrero'!Q30</f>
        <v>99990</v>
      </c>
    </row>
    <row r="37" spans="2:8" ht="13.15">
      <c r="B37" s="55" t="s">
        <v>166</v>
      </c>
      <c r="C37" s="60">
        <f>'rajas herrero'!L31</f>
        <v>64765</v>
      </c>
      <c r="D37" s="52">
        <f>'rajas herrero'!M31</f>
        <v>67145</v>
      </c>
      <c r="E37" s="52">
        <f>'rajas herrero'!N31</f>
        <v>71680</v>
      </c>
      <c r="F37" s="52">
        <f>'rajas herrero'!O31</f>
        <v>93015</v>
      </c>
      <c r="G37" s="52">
        <f>'rajas herrero'!P31</f>
        <v>68540</v>
      </c>
      <c r="H37" s="53">
        <f>'rajas herrero'!Q31</f>
        <v>112420</v>
      </c>
    </row>
    <row r="38" spans="2:8" ht="13.15">
      <c r="B38" s="55" t="s">
        <v>167</v>
      </c>
      <c r="C38" s="60">
        <f>'rajas herrero'!L32</f>
        <v>69275</v>
      </c>
      <c r="D38" s="52">
        <f>'rajas herrero'!M32</f>
        <v>72045</v>
      </c>
      <c r="E38" s="52">
        <f>'rajas herrero'!N32</f>
        <v>77355</v>
      </c>
      <c r="F38" s="52">
        <f>'rajas herrero'!O32</f>
        <v>102295</v>
      </c>
      <c r="G38" s="52">
        <f>'rajas herrero'!P32</f>
        <v>73660</v>
      </c>
      <c r="H38" s="53">
        <f>'rajas herrero'!Q32</f>
        <v>124850</v>
      </c>
    </row>
    <row r="39" spans="2:8" ht="13.15">
      <c r="B39" s="55" t="s">
        <v>168</v>
      </c>
      <c r="C39" s="60">
        <f>'rajas herrero'!L33</f>
        <v>73780</v>
      </c>
      <c r="D39" s="52">
        <f>'rajas herrero'!M33</f>
        <v>76945</v>
      </c>
      <c r="E39" s="52">
        <f>'rajas herrero'!N33</f>
        <v>83025</v>
      </c>
      <c r="F39" s="52">
        <f>'rajas herrero'!O33</f>
        <v>111570</v>
      </c>
      <c r="G39" s="52">
        <f>'rajas herrero'!P33</f>
        <v>78785</v>
      </c>
      <c r="H39" s="53">
        <f>'rajas herrero'!Q33</f>
        <v>137280</v>
      </c>
    </row>
    <row r="40" spans="2:8" ht="13.15">
      <c r="B40" s="55" t="s">
        <v>169</v>
      </c>
      <c r="C40" s="60">
        <f>'rajas herrero'!L34</f>
        <v>78285</v>
      </c>
      <c r="D40" s="52">
        <f>'rajas herrero'!M34</f>
        <v>81840</v>
      </c>
      <c r="E40" s="52">
        <f>'rajas herrero'!N34</f>
        <v>88700</v>
      </c>
      <c r="F40" s="52">
        <f>'rajas herrero'!O34</f>
        <v>120845</v>
      </c>
      <c r="G40" s="52">
        <f>'rajas herrero'!P34</f>
        <v>83905</v>
      </c>
      <c r="H40" s="53">
        <f>'rajas herrero'!Q34</f>
        <v>149710</v>
      </c>
    </row>
    <row r="41" spans="2:8" ht="13.15">
      <c r="B41" s="55" t="s">
        <v>170</v>
      </c>
      <c r="C41" s="60">
        <f>'rajas herrero'!L35</f>
        <v>54790</v>
      </c>
      <c r="D41" s="52">
        <f>'rajas herrero'!M35</f>
        <v>56205</v>
      </c>
      <c r="E41" s="52">
        <f>'rajas herrero'!N35</f>
        <v>58785</v>
      </c>
      <c r="F41" s="52">
        <f>'rajas herrero'!O35</f>
        <v>71200</v>
      </c>
      <c r="G41" s="52">
        <f>'rajas herrero'!P35</f>
        <v>57045</v>
      </c>
      <c r="H41" s="53">
        <f>'rajas herrero'!Q35</f>
        <v>82675</v>
      </c>
    </row>
    <row r="42" spans="2:8" ht="13.15">
      <c r="B42" s="55" t="s">
        <v>171</v>
      </c>
      <c r="C42" s="60">
        <f>'rajas herrero'!L36</f>
        <v>59620</v>
      </c>
      <c r="D42" s="52">
        <f>'rajas herrero'!M36</f>
        <v>61485</v>
      </c>
      <c r="E42" s="52">
        <f>'rajas herrero'!N36</f>
        <v>64975</v>
      </c>
      <c r="F42" s="52">
        <f>'rajas herrero'!O36</f>
        <v>81450</v>
      </c>
      <c r="G42" s="52">
        <f>'rajas herrero'!P36</f>
        <v>62585</v>
      </c>
      <c r="H42" s="53">
        <f>'rajas herrero'!Q36</f>
        <v>96730</v>
      </c>
    </row>
    <row r="43" spans="2:8" ht="13.15">
      <c r="B43" s="55" t="s">
        <v>172</v>
      </c>
      <c r="C43" s="60">
        <f>'rajas herrero'!L37</f>
        <v>69275</v>
      </c>
      <c r="D43" s="52">
        <f>'rajas herrero'!M37</f>
        <v>72045</v>
      </c>
      <c r="E43" s="52">
        <f>'rajas herrero'!N37</f>
        <v>77355</v>
      </c>
      <c r="F43" s="52">
        <f>'rajas herrero'!O37</f>
        <v>102295</v>
      </c>
      <c r="G43" s="52">
        <f>'rajas herrero'!P37</f>
        <v>73660</v>
      </c>
      <c r="H43" s="53">
        <f>'rajas herrero'!Q37</f>
        <v>124850</v>
      </c>
    </row>
    <row r="44" spans="2:8" ht="13.15">
      <c r="B44" s="55" t="s">
        <v>173</v>
      </c>
      <c r="C44" s="60">
        <f>'rajas herrero'!L38</f>
        <v>74090</v>
      </c>
      <c r="D44" s="52">
        <f>'rajas herrero'!M38</f>
        <v>77325</v>
      </c>
      <c r="E44" s="52">
        <f>'rajas herrero'!N38</f>
        <v>83545</v>
      </c>
      <c r="F44" s="52">
        <f>'rajas herrero'!O38</f>
        <v>112655</v>
      </c>
      <c r="G44" s="52">
        <f>'rajas herrero'!P38</f>
        <v>79200</v>
      </c>
      <c r="H44" s="53">
        <f>'rajas herrero'!Q38</f>
        <v>138910</v>
      </c>
    </row>
    <row r="45" spans="2:8" ht="13.15">
      <c r="B45" s="55" t="s">
        <v>174</v>
      </c>
      <c r="C45" s="60">
        <f>'rajas herrero'!L39</f>
        <v>78910</v>
      </c>
      <c r="D45" s="52">
        <f>'rajas herrero'!M39</f>
        <v>82605</v>
      </c>
      <c r="E45" s="52">
        <f>'rajas herrero'!N39</f>
        <v>89730</v>
      </c>
      <c r="F45" s="52">
        <f>'rajas herrero'!O39</f>
        <v>123020</v>
      </c>
      <c r="G45" s="52">
        <f>'rajas herrero'!P39</f>
        <v>84735</v>
      </c>
      <c r="H45" s="53">
        <f>'rajas herrero'!Q39</f>
        <v>152970</v>
      </c>
    </row>
    <row r="46" spans="2:8" ht="13.15">
      <c r="B46" s="55" t="s">
        <v>175</v>
      </c>
      <c r="C46" s="60">
        <f>'rajas herrero'!L40</f>
        <v>83730</v>
      </c>
      <c r="D46" s="52">
        <f>'rajas herrero'!M40</f>
        <v>87885</v>
      </c>
      <c r="E46" s="52">
        <f>'rajas herrero'!N40</f>
        <v>95920</v>
      </c>
      <c r="F46" s="52">
        <f>'rajas herrero'!O40</f>
        <v>133385</v>
      </c>
      <c r="G46" s="52">
        <f>'rajas herrero'!P40</f>
        <v>90275</v>
      </c>
      <c r="H46" s="53">
        <f>'rajas herrero'!Q40</f>
        <v>167030</v>
      </c>
    </row>
    <row r="47" spans="2:8" ht="13.15">
      <c r="B47" s="55" t="s">
        <v>176</v>
      </c>
      <c r="C47" s="60">
        <f>'rajas herrero'!L41</f>
        <v>58340</v>
      </c>
      <c r="D47" s="52">
        <f>'rajas herrero'!M41</f>
        <v>59955</v>
      </c>
      <c r="E47" s="52">
        <f>'rajas herrero'!N41</f>
        <v>62910</v>
      </c>
      <c r="F47" s="52">
        <f>'rajas herrero'!O41</f>
        <v>77095</v>
      </c>
      <c r="G47" s="52">
        <f>'rajas herrero'!P41</f>
        <v>60925</v>
      </c>
      <c r="H47" s="53">
        <f>'rajas herrero'!Q41</f>
        <v>90210</v>
      </c>
    </row>
    <row r="48" spans="2:8" ht="13.15">
      <c r="B48" s="55" t="s">
        <v>177</v>
      </c>
      <c r="C48" s="60">
        <f>'rajas herrero'!L42</f>
        <v>63485</v>
      </c>
      <c r="D48" s="52">
        <f>'rajas herrero'!M42</f>
        <v>65620</v>
      </c>
      <c r="E48" s="52">
        <f>'rajas herrero'!N42</f>
        <v>69615</v>
      </c>
      <c r="F48" s="52">
        <f>'rajas herrero'!O42</f>
        <v>88440</v>
      </c>
      <c r="G48" s="52">
        <f>'rajas herrero'!P42</f>
        <v>66875</v>
      </c>
      <c r="H48" s="53">
        <f>'rajas herrero'!Q42</f>
        <v>105900</v>
      </c>
    </row>
    <row r="49" spans="2:8" ht="13.15">
      <c r="B49" s="55" t="s">
        <v>178</v>
      </c>
      <c r="C49" s="60">
        <f>'rajas herrero'!L43</f>
        <v>68635</v>
      </c>
      <c r="D49" s="52">
        <f>'rajas herrero'!M43</f>
        <v>71280</v>
      </c>
      <c r="E49" s="52">
        <f>'rajas herrero'!N43</f>
        <v>76320</v>
      </c>
      <c r="F49" s="52">
        <f>'rajas herrero'!O43</f>
        <v>100115</v>
      </c>
      <c r="G49" s="52">
        <f>'rajas herrero'!P43</f>
        <v>72830</v>
      </c>
      <c r="H49" s="53">
        <f>'rajas herrero'!Q43</f>
        <v>121590</v>
      </c>
    </row>
    <row r="50" spans="2:8" ht="13.15">
      <c r="B50" s="55" t="s">
        <v>179</v>
      </c>
      <c r="C50" s="60">
        <f>'rajas herrero'!L44</f>
        <v>73780</v>
      </c>
      <c r="D50" s="52">
        <f>'rajas herrero'!M44</f>
        <v>76945</v>
      </c>
      <c r="E50" s="52">
        <f>'rajas herrero'!N44</f>
        <v>83025</v>
      </c>
      <c r="F50" s="52">
        <f>'rajas herrero'!O44</f>
        <v>111570</v>
      </c>
      <c r="G50" s="52">
        <f>'rajas herrero'!P44</f>
        <v>78785</v>
      </c>
      <c r="H50" s="53">
        <f>'rajas herrero'!Q44</f>
        <v>137280</v>
      </c>
    </row>
    <row r="51" spans="2:8" ht="13.15">
      <c r="B51" s="55" t="s">
        <v>180</v>
      </c>
      <c r="C51" s="60">
        <f>'rajas herrero'!L45</f>
        <v>78910</v>
      </c>
      <c r="D51" s="52">
        <f>'rajas herrero'!M45</f>
        <v>82605</v>
      </c>
      <c r="E51" s="52">
        <f>'rajas herrero'!N45</f>
        <v>89730</v>
      </c>
      <c r="F51" s="52">
        <f>'rajas herrero'!O45</f>
        <v>123020</v>
      </c>
      <c r="G51" s="52">
        <f>'rajas herrero'!P45</f>
        <v>84735</v>
      </c>
      <c r="H51" s="53">
        <f>'rajas herrero'!Q45</f>
        <v>152970</v>
      </c>
    </row>
    <row r="52" spans="2:8" ht="13.15">
      <c r="B52" s="55" t="s">
        <v>181</v>
      </c>
      <c r="C52" s="60">
        <f>'rajas herrero'!L46</f>
        <v>84055</v>
      </c>
      <c r="D52" s="52">
        <f>'rajas herrero'!M46</f>
        <v>88265</v>
      </c>
      <c r="E52" s="52">
        <f>'rajas herrero'!N46</f>
        <v>96435</v>
      </c>
      <c r="F52" s="52">
        <f>'rajas herrero'!O46</f>
        <v>134475</v>
      </c>
      <c r="G52" s="52">
        <f>'rajas herrero'!P46</f>
        <v>90690</v>
      </c>
      <c r="H52" s="53">
        <f>'rajas herrero'!Q46</f>
        <v>168655</v>
      </c>
    </row>
    <row r="53" spans="2:8" ht="13.15">
      <c r="B53" s="55" t="s">
        <v>182</v>
      </c>
      <c r="C53" s="60">
        <f>'rajas herrero'!L47</f>
        <v>89210</v>
      </c>
      <c r="D53" s="52">
        <f>'rajas herrero'!M47</f>
        <v>93935</v>
      </c>
      <c r="E53" s="52">
        <f>'rajas herrero'!N47</f>
        <v>103140</v>
      </c>
      <c r="F53" s="52">
        <f>'rajas herrero'!O47</f>
        <v>145935</v>
      </c>
      <c r="G53" s="52">
        <f>'rajas herrero'!P47</f>
        <v>96650</v>
      </c>
      <c r="H53" s="53">
        <f>'rajas herrero'!Q47</f>
        <v>184355</v>
      </c>
    </row>
    <row r="54" spans="2:8" ht="13.15">
      <c r="B54" s="55" t="s">
        <v>183</v>
      </c>
      <c r="C54" s="60">
        <f>'rajas herrero'!L48</f>
        <v>61895</v>
      </c>
      <c r="D54" s="52">
        <f>'rajas herrero'!M48</f>
        <v>63710</v>
      </c>
      <c r="E54" s="52">
        <f>'rajas herrero'!N48</f>
        <v>67035</v>
      </c>
      <c r="F54" s="52">
        <f>'rajas herrero'!O48</f>
        <v>82995</v>
      </c>
      <c r="G54" s="52">
        <f>'rajas herrero'!P48</f>
        <v>64800</v>
      </c>
      <c r="H54" s="53">
        <f>'rajas herrero'!Q48</f>
        <v>97755</v>
      </c>
    </row>
    <row r="55" spans="2:8" ht="13.15">
      <c r="B55" s="55" t="s">
        <v>184</v>
      </c>
      <c r="C55" s="60">
        <f>'rajas herrero'!L49</f>
        <v>67355</v>
      </c>
      <c r="D55" s="52">
        <f>'rajas herrero'!M49</f>
        <v>69755</v>
      </c>
      <c r="E55" s="52">
        <f>'rajas herrero'!N49</f>
        <v>74255</v>
      </c>
      <c r="F55" s="52">
        <f>'rajas herrero'!O49</f>
        <v>95425</v>
      </c>
      <c r="G55" s="52">
        <f>'rajas herrero'!P49</f>
        <v>71170</v>
      </c>
      <c r="H55" s="53">
        <f>'rajas herrero'!Q49</f>
        <v>115070</v>
      </c>
    </row>
    <row r="56" spans="2:8" ht="13.15">
      <c r="B56" s="55" t="s">
        <v>185</v>
      </c>
      <c r="C56" s="60">
        <f>'rajas herrero'!L50</f>
        <v>72825</v>
      </c>
      <c r="D56" s="52">
        <f>'rajas herrero'!M50</f>
        <v>75800</v>
      </c>
      <c r="E56" s="52">
        <f>'rajas herrero'!N50</f>
        <v>81475</v>
      </c>
      <c r="F56" s="52">
        <f>'rajas herrero'!O50</f>
        <v>108305</v>
      </c>
      <c r="G56" s="52">
        <f>'rajas herrero'!P50</f>
        <v>77540</v>
      </c>
      <c r="H56" s="53">
        <f>'rajas herrero'!Q50</f>
        <v>132390</v>
      </c>
    </row>
    <row r="57" spans="2:8" ht="13.15">
      <c r="B57" s="55" t="s">
        <v>186</v>
      </c>
      <c r="C57" s="60">
        <f>'rajas herrero'!L51</f>
        <v>78285</v>
      </c>
      <c r="D57" s="52">
        <f>'rajas herrero'!M51</f>
        <v>81840</v>
      </c>
      <c r="E57" s="52">
        <f>'rajas herrero'!N51</f>
        <v>88700</v>
      </c>
      <c r="F57" s="52">
        <f>'rajas herrero'!O51</f>
        <v>120845</v>
      </c>
      <c r="G57" s="52">
        <f>'rajas herrero'!P51</f>
        <v>83905</v>
      </c>
      <c r="H57" s="53">
        <f>'rajas herrero'!Q51</f>
        <v>149710</v>
      </c>
    </row>
    <row r="58" spans="2:8" ht="13.15">
      <c r="B58" s="55" t="s">
        <v>187</v>
      </c>
      <c r="C58" s="60">
        <f>'rajas herrero'!L52</f>
        <v>83730</v>
      </c>
      <c r="D58" s="52">
        <f>'rajas herrero'!M52</f>
        <v>87885</v>
      </c>
      <c r="E58" s="52">
        <f>'rajas herrero'!N52</f>
        <v>95920</v>
      </c>
      <c r="F58" s="52">
        <f>'rajas herrero'!O52</f>
        <v>133385</v>
      </c>
      <c r="G58" s="52">
        <f>'rajas herrero'!P52</f>
        <v>90275</v>
      </c>
      <c r="H58" s="53">
        <f>'rajas herrero'!Q52</f>
        <v>167030</v>
      </c>
    </row>
    <row r="59" spans="2:8" ht="13.15">
      <c r="B59" s="55" t="s">
        <v>188</v>
      </c>
      <c r="C59" s="60">
        <f>'rajas herrero'!L53</f>
        <v>89210</v>
      </c>
      <c r="D59" s="52">
        <f>'rajas herrero'!M53</f>
        <v>93935</v>
      </c>
      <c r="E59" s="52">
        <f>'rajas herrero'!N53</f>
        <v>103140</v>
      </c>
      <c r="F59" s="52">
        <f>'rajas herrero'!O53</f>
        <v>145935</v>
      </c>
      <c r="G59" s="52">
        <f>'rajas herrero'!P53</f>
        <v>96650</v>
      </c>
      <c r="H59" s="53">
        <f>'rajas herrero'!Q53</f>
        <v>184355</v>
      </c>
    </row>
    <row r="60" spans="2:8" ht="13.15">
      <c r="B60" s="55" t="s">
        <v>15</v>
      </c>
      <c r="C60" s="60">
        <f>'rajas herrero'!L54</f>
        <v>94680</v>
      </c>
      <c r="D60" s="52">
        <f>'rajas herrero'!M54</f>
        <v>99395</v>
      </c>
      <c r="E60" s="52">
        <f>'rajas herrero'!N54</f>
        <v>110350</v>
      </c>
      <c r="F60" s="52">
        <f>'rajas herrero'!O54</f>
        <v>157880</v>
      </c>
      <c r="G60" s="52">
        <f>'rajas herrero'!P54</f>
        <v>103020</v>
      </c>
      <c r="H60" s="53">
        <f>'rajas herrero'!Q54</f>
        <v>201675</v>
      </c>
    </row>
    <row r="61" spans="2:8" ht="13.15">
      <c r="B61" s="55" t="s">
        <v>189</v>
      </c>
      <c r="C61" s="60">
        <f>'rajas herrero'!L55</f>
        <v>65445</v>
      </c>
      <c r="D61" s="52">
        <f>'rajas herrero'!M55</f>
        <v>67465</v>
      </c>
      <c r="E61" s="52">
        <f>'rajas herrero'!N55</f>
        <v>71170</v>
      </c>
      <c r="F61" s="52">
        <f>'rajas herrero'!O55</f>
        <v>88860</v>
      </c>
      <c r="G61" s="52">
        <f>'rajas herrero'!P55</f>
        <v>68635</v>
      </c>
      <c r="H61" s="53">
        <f>'rajas herrero'!Q55</f>
        <v>105210</v>
      </c>
    </row>
    <row r="62" spans="2:8" ht="13.15">
      <c r="B62" s="55" t="s">
        <v>190</v>
      </c>
      <c r="C62" s="60">
        <f>'rajas herrero'!L56</f>
        <v>71230</v>
      </c>
      <c r="D62" s="52">
        <f>'rajas herrero'!M56</f>
        <v>73915</v>
      </c>
      <c r="E62" s="52">
        <f>'rajas herrero'!N56</f>
        <v>78850</v>
      </c>
      <c r="F62" s="52">
        <f>'rajas herrero'!O56</f>
        <v>102445</v>
      </c>
      <c r="G62" s="52">
        <f>'rajas herrero'!P56</f>
        <v>75475</v>
      </c>
      <c r="H62" s="53">
        <f>'rajas herrero'!Q56</f>
        <v>124255</v>
      </c>
    </row>
    <row r="63" spans="2:8" ht="13.15">
      <c r="B63" s="55" t="s">
        <v>191</v>
      </c>
      <c r="C63" s="60">
        <f>'rajas herrero'!L57</f>
        <v>77015</v>
      </c>
      <c r="D63" s="52">
        <f>'rajas herrero'!M57</f>
        <v>80370</v>
      </c>
      <c r="E63" s="52">
        <f>'rajas herrero'!N57</f>
        <v>86530</v>
      </c>
      <c r="F63" s="52">
        <f>'rajas herrero'!O57</f>
        <v>116030</v>
      </c>
      <c r="G63" s="52">
        <f>'rajas herrero'!P57</f>
        <v>82315</v>
      </c>
      <c r="H63" s="53">
        <f>'rajas herrero'!Q57</f>
        <v>143300</v>
      </c>
    </row>
    <row r="64" spans="2:8" ht="13.15">
      <c r="B64" s="55" t="s">
        <v>192</v>
      </c>
      <c r="C64" s="60">
        <f>'rajas herrero'!L58</f>
        <v>82800</v>
      </c>
      <c r="D64" s="52">
        <f>'rajas herrero'!M58</f>
        <v>86820</v>
      </c>
      <c r="E64" s="52">
        <f>'rajas herrero'!N58</f>
        <v>94215</v>
      </c>
      <c r="F64" s="52">
        <f>'rajas herrero'!O58</f>
        <v>129615</v>
      </c>
      <c r="G64" s="52">
        <f>'rajas herrero'!P58</f>
        <v>89150</v>
      </c>
      <c r="H64" s="53">
        <f>'rajas herrero'!Q58</f>
        <v>162340</v>
      </c>
    </row>
    <row r="65" spans="2:8" ht="13.15">
      <c r="B65" s="55" t="s">
        <v>193</v>
      </c>
      <c r="C65" s="60">
        <f>'rajas herrero'!L59</f>
        <v>88590</v>
      </c>
      <c r="D65" s="52">
        <f>'rajas herrero'!M59</f>
        <v>93270</v>
      </c>
      <c r="E65" s="52">
        <f>'rajas herrero'!N59</f>
        <v>101905</v>
      </c>
      <c r="F65" s="52">
        <f>'rajas herrero'!O59</f>
        <v>143205</v>
      </c>
      <c r="G65" s="52">
        <f>'rajas herrero'!P59</f>
        <v>96000</v>
      </c>
      <c r="H65" s="53">
        <f>'rajas herrero'!Q59</f>
        <v>181390</v>
      </c>
    </row>
    <row r="66" spans="2:8" ht="13.15">
      <c r="B66" s="55" t="s">
        <v>194</v>
      </c>
      <c r="C66" s="60">
        <f>'rajas herrero'!L60</f>
        <v>94380</v>
      </c>
      <c r="D66" s="52">
        <f>'rajas herrero'!M60</f>
        <v>99720</v>
      </c>
      <c r="E66" s="52">
        <f>'rajas herrero'!N60</f>
        <v>109585</v>
      </c>
      <c r="F66" s="52">
        <f>'rajas herrero'!O60</f>
        <v>156795</v>
      </c>
      <c r="G66" s="52">
        <f>'rajas herrero'!P60</f>
        <v>102840</v>
      </c>
      <c r="H66" s="53">
        <f>'rajas herrero'!Q60</f>
        <v>200435</v>
      </c>
    </row>
    <row r="67" spans="2:8" ht="13.15">
      <c r="B67" s="55" t="s">
        <v>58</v>
      </c>
      <c r="C67" s="60">
        <f>'rajas herrero'!L61</f>
        <v>100160</v>
      </c>
      <c r="D67" s="52">
        <f>'rajas herrero'!M61</f>
        <v>106165</v>
      </c>
      <c r="E67" s="52">
        <f>'rajas herrero'!N61</f>
        <v>117265</v>
      </c>
      <c r="F67" s="52">
        <f>'rajas herrero'!O61</f>
        <v>170380</v>
      </c>
      <c r="G67" s="52">
        <f>'rajas herrero'!P61</f>
        <v>109680</v>
      </c>
      <c r="H67" s="53">
        <f>'rajas herrero'!Q61</f>
        <v>219475</v>
      </c>
    </row>
    <row r="68" spans="2:8" ht="13.15">
      <c r="B68" s="55" t="s">
        <v>142</v>
      </c>
      <c r="C68" s="60">
        <f>'rajas herrero'!L62</f>
        <v>69010</v>
      </c>
      <c r="D68" s="52">
        <f>'rajas herrero'!M62</f>
        <v>71220</v>
      </c>
      <c r="E68" s="52">
        <f>'rajas herrero'!N62</f>
        <v>75295</v>
      </c>
      <c r="F68" s="52">
        <f>'rajas herrero'!O62</f>
        <v>94755</v>
      </c>
      <c r="G68" s="52">
        <f>'rajas herrero'!P62</f>
        <v>72500</v>
      </c>
      <c r="H68" s="53">
        <f>'rajas herrero'!Q62</f>
        <v>112740</v>
      </c>
    </row>
    <row r="69" spans="2:8" ht="13.15">
      <c r="B69" s="55" t="s">
        <v>143</v>
      </c>
      <c r="C69" s="60">
        <f>'rajas herrero'!L63</f>
        <v>75105</v>
      </c>
      <c r="D69" s="52">
        <f>'rajas herrero'!M63</f>
        <v>78060</v>
      </c>
      <c r="E69" s="52">
        <f>'rajas herrero'!N63</f>
        <v>83490</v>
      </c>
      <c r="F69" s="52">
        <f>'rajas herrero'!O63</f>
        <v>109440</v>
      </c>
      <c r="G69" s="52">
        <f>'rajas herrero'!P63</f>
        <v>79765</v>
      </c>
      <c r="H69" s="53">
        <f>'rajas herrero'!Q63</f>
        <v>133425</v>
      </c>
    </row>
    <row r="70" spans="2:8" ht="13.15">
      <c r="B70" s="55" t="s">
        <v>144</v>
      </c>
      <c r="C70" s="60">
        <f>'rajas herrero'!L64</f>
        <v>81205</v>
      </c>
      <c r="D70" s="52">
        <f>'rajas herrero'!M64</f>
        <v>84900</v>
      </c>
      <c r="E70" s="52">
        <f>'rajas herrero'!N64</f>
        <v>91690</v>
      </c>
      <c r="F70" s="52">
        <f>'rajas herrero'!O64</f>
        <v>124125</v>
      </c>
      <c r="G70" s="52">
        <f>'rajas herrero'!P64</f>
        <v>87030</v>
      </c>
      <c r="H70" s="53">
        <f>'rajas herrero'!Q64</f>
        <v>154110</v>
      </c>
    </row>
    <row r="71" spans="2:8" ht="13.15">
      <c r="B71" s="55" t="s">
        <v>145</v>
      </c>
      <c r="C71" s="60">
        <f>'rajas herrero'!L65</f>
        <v>87315</v>
      </c>
      <c r="D71" s="52">
        <f>'rajas herrero'!M65</f>
        <v>91745</v>
      </c>
      <c r="E71" s="52">
        <f>'rajas herrero'!N65</f>
        <v>99895</v>
      </c>
      <c r="F71" s="52">
        <f>'rajas herrero'!O65</f>
        <v>138820</v>
      </c>
      <c r="G71" s="52">
        <f>'rajas herrero'!P65</f>
        <v>94305</v>
      </c>
      <c r="H71" s="53">
        <f>'rajas herrero'!Q65</f>
        <v>174805</v>
      </c>
    </row>
    <row r="72" spans="2:8" ht="13.15">
      <c r="B72" s="55" t="s">
        <v>146</v>
      </c>
      <c r="C72" s="60">
        <f>'rajas herrero'!L66</f>
        <v>93410</v>
      </c>
      <c r="D72" s="52">
        <f>'rajas herrero'!M66</f>
        <v>98585</v>
      </c>
      <c r="E72" s="52">
        <f>'rajas herrero'!N66</f>
        <v>108095</v>
      </c>
      <c r="F72" s="52">
        <f>'rajas herrero'!O66</f>
        <v>153505</v>
      </c>
      <c r="G72" s="52">
        <f>'rajas herrero'!P66</f>
        <v>101570</v>
      </c>
      <c r="H72" s="53">
        <f>'rajas herrero'!Q66</f>
        <v>195490</v>
      </c>
    </row>
    <row r="73" spans="2:8" ht="13.15">
      <c r="B73" s="55" t="s">
        <v>147</v>
      </c>
      <c r="C73" s="60">
        <f>'rajas herrero'!L67</f>
        <v>99510</v>
      </c>
      <c r="D73" s="52">
        <f>'rajas herrero'!M67</f>
        <v>105425</v>
      </c>
      <c r="E73" s="52">
        <f>'rajas herrero'!N67</f>
        <v>116290</v>
      </c>
      <c r="F73" s="52">
        <f>'rajas herrero'!O67</f>
        <v>168190</v>
      </c>
      <c r="G73" s="52">
        <f>'rajas herrero'!P67</f>
        <v>108835</v>
      </c>
      <c r="H73" s="53">
        <f>'rajas herrero'!Q67</f>
        <v>216175</v>
      </c>
    </row>
    <row r="74" spans="2:8" ht="13.15">
      <c r="B74" s="55" t="s">
        <v>107</v>
      </c>
      <c r="C74" s="60">
        <f>'rajas herrero'!L68</f>
        <v>105610</v>
      </c>
      <c r="D74" s="52">
        <f>'rajas herrero'!M68</f>
        <v>112265</v>
      </c>
      <c r="E74" s="52">
        <f>'rajas herrero'!N68</f>
        <v>124490</v>
      </c>
      <c r="F74" s="52">
        <f>'rajas herrero'!O68</f>
        <v>182875</v>
      </c>
      <c r="G74" s="52">
        <f>'rajas herrero'!P68</f>
        <v>116105</v>
      </c>
      <c r="H74" s="53">
        <f>'rajas herrero'!Q68</f>
        <v>236860</v>
      </c>
    </row>
    <row r="75" spans="2:8" ht="13.15">
      <c r="B75" s="55" t="s">
        <v>148</v>
      </c>
      <c r="C75" s="60">
        <f>'rajas herrero'!L69</f>
        <v>79670</v>
      </c>
      <c r="D75" s="52">
        <f>'rajas herrero'!M69</f>
        <v>82485</v>
      </c>
      <c r="E75" s="52">
        <f>'rajas herrero'!N69</f>
        <v>87670</v>
      </c>
      <c r="F75" s="52">
        <f>'rajas herrero'!O69</f>
        <v>112445</v>
      </c>
      <c r="G75" s="52">
        <f>'rajas herrero'!P69</f>
        <v>84125</v>
      </c>
      <c r="H75" s="53">
        <f>'rajas herrero'!Q69</f>
        <v>135340</v>
      </c>
    </row>
    <row r="76" spans="2:8" ht="13.15">
      <c r="B76" s="55" t="s">
        <v>149</v>
      </c>
      <c r="C76" s="60">
        <f>'rajas herrero'!L70</f>
        <v>86720</v>
      </c>
      <c r="D76" s="52">
        <f>'rajas herrero'!M70</f>
        <v>90485</v>
      </c>
      <c r="E76" s="52">
        <f>'rajas herrero'!N70</f>
        <v>97395</v>
      </c>
      <c r="F76" s="52">
        <f>'rajas herrero'!O70</f>
        <v>130415</v>
      </c>
      <c r="G76" s="52">
        <f>'rajas herrero'!P70</f>
        <v>92660</v>
      </c>
      <c r="H76" s="53">
        <f>'rajas herrero'!Q70</f>
        <v>160945</v>
      </c>
    </row>
    <row r="77" spans="2:8" ht="13.15">
      <c r="B77" s="55" t="s">
        <v>150</v>
      </c>
      <c r="C77" s="60">
        <f>'rajas herrero'!L71</f>
        <v>93775</v>
      </c>
      <c r="D77" s="52">
        <f>'rajas herrero'!M71</f>
        <v>98480</v>
      </c>
      <c r="E77" s="52">
        <f>'rajas herrero'!N71</f>
        <v>107120</v>
      </c>
      <c r="F77" s="52">
        <f>'rajas herrero'!O71</f>
        <v>148390</v>
      </c>
      <c r="G77" s="52">
        <f>'rajas herrero'!P71</f>
        <v>101195</v>
      </c>
      <c r="H77" s="53">
        <f>'rajas herrero'!Q71</f>
        <v>186545</v>
      </c>
    </row>
    <row r="78" spans="2:8" ht="13.15">
      <c r="B78" s="55" t="s">
        <v>151</v>
      </c>
      <c r="C78" s="60">
        <f>'rajas herrero'!L72</f>
        <v>100830</v>
      </c>
      <c r="D78" s="52">
        <f>'rajas herrero'!M72</f>
        <v>106475</v>
      </c>
      <c r="E78" s="52">
        <f>'rajas herrero'!N72</f>
        <v>116845</v>
      </c>
      <c r="F78" s="52">
        <f>'rajas herrero'!O72</f>
        <v>166365</v>
      </c>
      <c r="G78" s="52">
        <f>'rajas herrero'!P72</f>
        <v>109730</v>
      </c>
      <c r="H78" s="53">
        <f>'rajas herrero'!Q72</f>
        <v>212145</v>
      </c>
    </row>
    <row r="79" spans="2:8" ht="13.15">
      <c r="B79" s="55" t="s">
        <v>152</v>
      </c>
      <c r="C79" s="60">
        <f>'rajas herrero'!L73</f>
        <v>107885</v>
      </c>
      <c r="D79" s="52">
        <f>'rajas herrero'!M73</f>
        <v>114470</v>
      </c>
      <c r="E79" s="52">
        <f>'rajas herrero'!N73</f>
        <v>126570</v>
      </c>
      <c r="F79" s="52">
        <f>'rajas herrero'!O73</f>
        <v>184340</v>
      </c>
      <c r="G79" s="52">
        <f>'rajas herrero'!P73</f>
        <v>118265</v>
      </c>
      <c r="H79" s="53">
        <f>'rajas herrero'!Q73</f>
        <v>229265</v>
      </c>
    </row>
    <row r="80" spans="2:8" ht="13.15">
      <c r="B80" s="55" t="s">
        <v>153</v>
      </c>
      <c r="C80" s="60">
        <f>'rajas herrero'!L74</f>
        <v>114935</v>
      </c>
      <c r="D80" s="52">
        <f>'rajas herrero'!M74</f>
        <v>122465</v>
      </c>
      <c r="E80" s="52">
        <f>'rajas herrero'!N74</f>
        <v>136295</v>
      </c>
      <c r="F80" s="52">
        <f>'rajas herrero'!O74</f>
        <v>202315</v>
      </c>
      <c r="G80" s="52">
        <f>'rajas herrero'!P74</f>
        <v>126800</v>
      </c>
      <c r="H80" s="53">
        <f>'rajas herrero'!Q74</f>
        <v>246380</v>
      </c>
    </row>
    <row r="81" spans="2:8" ht="13.5" thickBot="1">
      <c r="B81" s="56" t="s">
        <v>114</v>
      </c>
      <c r="C81" s="61">
        <f>'rajas herrero'!L75</f>
        <v>121990</v>
      </c>
      <c r="D81" s="62">
        <f>'rajas herrero'!M75</f>
        <v>130465</v>
      </c>
      <c r="E81" s="62">
        <f>'rajas herrero'!N75</f>
        <v>146020</v>
      </c>
      <c r="F81" s="62">
        <f>'rajas herrero'!O75</f>
        <v>220290</v>
      </c>
      <c r="G81" s="62">
        <f>'rajas herrero'!P75</f>
        <v>135335</v>
      </c>
      <c r="H81" s="63">
        <f>'rajas herrero'!Q75</f>
        <v>271980</v>
      </c>
    </row>
    <row r="82" spans="2:8" ht="14.65" thickBot="1">
      <c r="B82" s="341" t="s">
        <v>155</v>
      </c>
      <c r="C82" s="342"/>
      <c r="D82" s="342"/>
      <c r="E82" s="342"/>
      <c r="F82" s="342"/>
      <c r="G82" s="342"/>
      <c r="H82" s="343"/>
    </row>
  </sheetData>
  <mergeCells count="4">
    <mergeCell ref="C8:G8"/>
    <mergeCell ref="C9:G9"/>
    <mergeCell ref="B11:H11"/>
    <mergeCell ref="B82:H82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6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FCF76BC4-651E-48AF-AC70-C9C4209C1EC0}">
            <xm:f>'rajas herrero'!$C$2="VERDE"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17" id="{A67C1BEE-7D43-490F-B829-94B8EDCB2227}">
            <xm:f>'rajas herrero'!$C$2="AZUL"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18" id="{D8AF7D6C-1EF4-49C1-B199-03ABF0AABE5B}">
            <xm:f>'rajas herrero'!$C$2="AMARILLA"</xm:f>
            <x14:dxf>
              <fill>
                <patternFill>
                  <bgColor rgb="FFFFFF00"/>
                </patternFill>
              </fill>
            </x14:dxf>
          </x14:cfRule>
          <xm:sqref>B11:H12 B13:B81 B82:H82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C178-7E13-4D90-99E6-76034D60D8C0}">
  <sheetPr codeName="Hoja21">
    <tabColor rgb="FF00B050"/>
    <pageSetUpPr fitToPage="1"/>
  </sheetPr>
  <dimension ref="B4:J27"/>
  <sheetViews>
    <sheetView topLeftCell="A43" zoomScale="55" zoomScaleNormal="55" workbookViewId="0">
      <selection activeCell="H87" sqref="H87"/>
    </sheetView>
  </sheetViews>
  <sheetFormatPr baseColWidth="10" defaultRowHeight="12.75"/>
  <cols>
    <col min="1" max="1" width="10.6640625" style="1"/>
    <col min="2" max="2" width="15.59765625" style="1" customWidth="1"/>
    <col min="3" max="3" width="15.86328125" style="1" customWidth="1"/>
    <col min="4" max="4" width="10.6640625" style="1"/>
    <col min="5" max="5" width="14.1328125" style="1" customWidth="1"/>
    <col min="6" max="6" width="10.6640625" style="1"/>
    <col min="7" max="7" width="14.86328125" style="1" customWidth="1"/>
    <col min="8" max="16384" width="10.6640625" style="1"/>
  </cols>
  <sheetData>
    <row r="4" spans="2:9" ht="13.9">
      <c r="B4" s="77" t="s">
        <v>226</v>
      </c>
    </row>
    <row r="5" spans="2:9" ht="13.9">
      <c r="B5" s="77" t="s">
        <v>227</v>
      </c>
    </row>
    <row r="6" spans="2:9" ht="13.15">
      <c r="B6" s="345" t="s">
        <v>21</v>
      </c>
      <c r="C6" s="345"/>
      <c r="D6" s="345"/>
      <c r="E6" s="345"/>
      <c r="F6" s="345"/>
      <c r="G6" s="345"/>
      <c r="H6" s="345"/>
      <c r="I6" s="345"/>
    </row>
    <row r="7" spans="2:9" ht="13.15">
      <c r="B7" s="345" t="s">
        <v>22</v>
      </c>
      <c r="C7" s="345"/>
      <c r="D7" s="345"/>
      <c r="E7" s="345"/>
      <c r="F7" s="345"/>
      <c r="G7" s="345"/>
      <c r="H7" s="345"/>
      <c r="I7" s="345"/>
    </row>
    <row r="8" spans="2:9" ht="13.15" thickBot="1"/>
    <row r="9" spans="2:9" ht="25.9" thickBot="1">
      <c r="B9" s="346" t="s">
        <v>195</v>
      </c>
      <c r="C9" s="347"/>
      <c r="D9" s="347"/>
      <c r="E9" s="347"/>
      <c r="F9" s="347"/>
      <c r="G9" s="347"/>
      <c r="H9" s="347"/>
      <c r="I9" s="348"/>
    </row>
    <row r="10" spans="2:9" ht="16.149999999999999" thickBot="1">
      <c r="B10" s="78" t="s">
        <v>228</v>
      </c>
      <c r="C10" s="79" t="s">
        <v>122</v>
      </c>
      <c r="D10" s="79" t="s">
        <v>123</v>
      </c>
      <c r="E10" s="79" t="s">
        <v>124</v>
      </c>
      <c r="F10" s="79" t="s">
        <v>229</v>
      </c>
      <c r="G10" s="79" t="s">
        <v>230</v>
      </c>
      <c r="H10" s="79" t="s">
        <v>202</v>
      </c>
      <c r="I10" s="80" t="s">
        <v>231</v>
      </c>
    </row>
    <row r="11" spans="2:9" ht="17.25" customHeight="1">
      <c r="B11" s="81" t="s">
        <v>203</v>
      </c>
      <c r="C11" s="82">
        <f>'puertas herrero'!K6</f>
        <v>152175</v>
      </c>
      <c r="D11" s="82" t="str">
        <f>'puertas herrero'!L6</f>
        <v>-</v>
      </c>
      <c r="E11" s="82">
        <f>'puertas herrero'!M6</f>
        <v>191500</v>
      </c>
      <c r="F11" s="82">
        <f>'puertas herrero'!N6</f>
        <v>185040</v>
      </c>
      <c r="G11" s="82">
        <f>'puertas herrero'!O6</f>
        <v>237270</v>
      </c>
      <c r="H11" s="82">
        <f>'puertas herrero'!P6</f>
        <v>279515</v>
      </c>
      <c r="I11" s="349" t="s">
        <v>232</v>
      </c>
    </row>
    <row r="12" spans="2:9" ht="16.899999999999999">
      <c r="B12" s="83" t="s">
        <v>205</v>
      </c>
      <c r="C12" s="82">
        <f>'puertas herrero'!K7</f>
        <v>201685</v>
      </c>
      <c r="D12" s="82" t="str">
        <f>'puertas herrero'!L7</f>
        <v>-</v>
      </c>
      <c r="E12" s="82">
        <f>'puertas herrero'!M7</f>
        <v>201685</v>
      </c>
      <c r="F12" s="82">
        <f>'puertas herrero'!N7</f>
        <v>234550</v>
      </c>
      <c r="G12" s="82">
        <f>'puertas herrero'!O7</f>
        <v>286780</v>
      </c>
      <c r="H12" s="82">
        <f>'puertas herrero'!P7</f>
        <v>201685</v>
      </c>
      <c r="I12" s="344"/>
    </row>
    <row r="13" spans="2:9" ht="16.899999999999999">
      <c r="B13" s="83" t="s">
        <v>206</v>
      </c>
      <c r="C13" s="82">
        <f>'puertas herrero'!K8</f>
        <v>183735</v>
      </c>
      <c r="D13" s="82">
        <f>'puertas herrero'!L8</f>
        <v>188690</v>
      </c>
      <c r="E13" s="82">
        <f>'puertas herrero'!M8</f>
        <v>197645</v>
      </c>
      <c r="F13" s="82">
        <f>'puertas herrero'!N8</f>
        <v>191530</v>
      </c>
      <c r="G13" s="82">
        <f>'puertas herrero'!O8</f>
        <v>241015</v>
      </c>
      <c r="H13" s="82">
        <f>'puertas herrero'!P8</f>
        <v>263375</v>
      </c>
      <c r="I13" s="344"/>
    </row>
    <row r="14" spans="2:9" ht="16.899999999999999">
      <c r="B14" s="83" t="s">
        <v>207</v>
      </c>
      <c r="C14" s="82">
        <f>'puertas herrero'!K9</f>
        <v>223865</v>
      </c>
      <c r="D14" s="82">
        <f>'puertas herrero'!L9</f>
        <v>226345</v>
      </c>
      <c r="E14" s="82">
        <f>'puertas herrero'!M9</f>
        <v>230820</v>
      </c>
      <c r="F14" s="82">
        <f>'puertas herrero'!N9</f>
        <v>227765</v>
      </c>
      <c r="G14" s="82">
        <f>'puertas herrero'!O9</f>
        <v>252505</v>
      </c>
      <c r="H14" s="82">
        <f>'puertas herrero'!P9</f>
        <v>263685</v>
      </c>
      <c r="I14" s="344"/>
    </row>
    <row r="15" spans="2:9" ht="16.899999999999999">
      <c r="B15" s="83" t="s">
        <v>208</v>
      </c>
      <c r="C15" s="82">
        <f>'puertas herrero'!K10</f>
        <v>254540</v>
      </c>
      <c r="D15" s="82">
        <f>'puertas herrero'!L10</f>
        <v>242870</v>
      </c>
      <c r="E15" s="82">
        <f>'puertas herrero'!M10</f>
        <v>242870</v>
      </c>
      <c r="F15" s="82">
        <f>'puertas herrero'!N10</f>
        <v>258440</v>
      </c>
      <c r="G15" s="82">
        <f>'puertas herrero'!O10</f>
        <v>283180</v>
      </c>
      <c r="H15" s="82">
        <f>'puertas herrero'!P10</f>
        <v>242870</v>
      </c>
      <c r="I15" s="344"/>
    </row>
    <row r="16" spans="2:9" ht="16.899999999999999">
      <c r="B16" s="83" t="s">
        <v>209</v>
      </c>
      <c r="C16" s="82">
        <f>'puertas herrero'!K11</f>
        <v>244620</v>
      </c>
      <c r="D16" s="82">
        <f>'puertas herrero'!L11</f>
        <v>245955</v>
      </c>
      <c r="E16" s="82">
        <f>'puertas herrero'!M11</f>
        <v>248450</v>
      </c>
      <c r="F16" s="82">
        <f>'puertas herrero'!N11</f>
        <v>246745</v>
      </c>
      <c r="G16" s="82">
        <f>'puertas herrero'!O11</f>
        <v>260490</v>
      </c>
      <c r="H16" s="82">
        <f>'puertas herrero'!P11</f>
        <v>266700</v>
      </c>
      <c r="I16" s="344"/>
    </row>
    <row r="17" spans="2:10" ht="16.899999999999999">
      <c r="B17" s="83" t="s">
        <v>210</v>
      </c>
      <c r="C17" s="82">
        <f>'puertas herrero'!K12</f>
        <v>264995</v>
      </c>
      <c r="D17" s="82">
        <f>'puertas herrero'!L12</f>
        <v>258475</v>
      </c>
      <c r="E17" s="82">
        <f>'puertas herrero'!M12</f>
        <v>258475</v>
      </c>
      <c r="F17" s="82">
        <f>'puertas herrero'!N12</f>
        <v>267125</v>
      </c>
      <c r="G17" s="82">
        <f>'puertas herrero'!O12</f>
        <v>280870</v>
      </c>
      <c r="H17" s="82">
        <f>'puertas herrero'!P12</f>
        <v>258475</v>
      </c>
      <c r="I17" s="84">
        <f>'puertas herrero'!K25</f>
        <v>22325</v>
      </c>
    </row>
    <row r="18" spans="2:10" ht="17.25" customHeight="1">
      <c r="B18" s="83" t="s">
        <v>211</v>
      </c>
      <c r="C18" s="82">
        <f>'puertas herrero'!K13</f>
        <v>243025</v>
      </c>
      <c r="D18" s="82" t="str">
        <f>'puertas herrero'!L13</f>
        <v>-</v>
      </c>
      <c r="E18" s="82" t="str">
        <f>'puertas herrero'!M13</f>
        <v>-</v>
      </c>
      <c r="F18" s="82" t="str">
        <f>'puertas herrero'!N13</f>
        <v>-</v>
      </c>
      <c r="G18" s="82" t="str">
        <f>'puertas herrero'!O13</f>
        <v>-</v>
      </c>
      <c r="H18" s="82" t="str">
        <f>'puertas herrero'!P13</f>
        <v>-</v>
      </c>
      <c r="I18" s="344" t="s">
        <v>233</v>
      </c>
    </row>
    <row r="19" spans="2:10" ht="16.899999999999999">
      <c r="B19" s="83" t="s">
        <v>212</v>
      </c>
      <c r="C19" s="82">
        <f>'puertas herrero'!K14</f>
        <v>248405</v>
      </c>
      <c r="D19" s="82">
        <f>'puertas herrero'!L14</f>
        <v>250880</v>
      </c>
      <c r="E19" s="82">
        <f>'puertas herrero'!M14</f>
        <v>255360</v>
      </c>
      <c r="F19" s="82">
        <f>'puertas herrero'!N14</f>
        <v>252300</v>
      </c>
      <c r="G19" s="82">
        <f>'puertas herrero'!O14</f>
        <v>277045</v>
      </c>
      <c r="H19" s="82">
        <f>'puertas herrero'!P14</f>
        <v>288220</v>
      </c>
      <c r="I19" s="344"/>
      <c r="J19" s="85"/>
    </row>
    <row r="20" spans="2:10" ht="16.899999999999999">
      <c r="B20" s="83" t="s">
        <v>213</v>
      </c>
      <c r="C20" s="82">
        <f>'puertas herrero'!K15</f>
        <v>256885</v>
      </c>
      <c r="D20" s="82">
        <f>'puertas herrero'!L15</f>
        <v>258220</v>
      </c>
      <c r="E20" s="82">
        <f>'puertas herrero'!M15</f>
        <v>260715</v>
      </c>
      <c r="F20" s="82">
        <f>'puertas herrero'!N15</f>
        <v>259015</v>
      </c>
      <c r="G20" s="82">
        <f>'puertas herrero'!O15</f>
        <v>272760</v>
      </c>
      <c r="H20" s="82">
        <f>'puertas herrero'!P15</f>
        <v>278970</v>
      </c>
      <c r="I20" s="344"/>
    </row>
    <row r="21" spans="2:10" ht="16.899999999999999">
      <c r="B21" s="83" t="s">
        <v>214</v>
      </c>
      <c r="C21" s="82">
        <f>'puertas herrero'!K16</f>
        <v>205565</v>
      </c>
      <c r="D21" s="82">
        <f>'puertas herrero'!L16</f>
        <v>210905</v>
      </c>
      <c r="E21" s="82">
        <f>'puertas herrero'!M16</f>
        <v>220880</v>
      </c>
      <c r="F21" s="82">
        <f>'puertas herrero'!N16</f>
        <v>214075</v>
      </c>
      <c r="G21" s="82">
        <f>'puertas herrero'!O16</f>
        <v>269055</v>
      </c>
      <c r="H21" s="82">
        <f>'puertas herrero'!P16</f>
        <v>293895</v>
      </c>
      <c r="I21" s="344"/>
    </row>
    <row r="22" spans="2:10" ht="16.899999999999999">
      <c r="B22" s="83" t="s">
        <v>215</v>
      </c>
      <c r="C22" s="82">
        <f>'puertas herrero'!K17</f>
        <v>250400</v>
      </c>
      <c r="D22" s="82">
        <f>'puertas herrero'!L17</f>
        <v>252140</v>
      </c>
      <c r="E22" s="82">
        <f>'puertas herrero'!M17</f>
        <v>255300</v>
      </c>
      <c r="F22" s="82">
        <f>'puertas herrero'!N17</f>
        <v>253170</v>
      </c>
      <c r="G22" s="82">
        <f>'puertas herrero'!O17</f>
        <v>270560</v>
      </c>
      <c r="H22" s="82">
        <f>'puertas herrero'!P17</f>
        <v>278425</v>
      </c>
      <c r="I22" s="344"/>
    </row>
    <row r="23" spans="2:10" ht="16.899999999999999">
      <c r="B23" s="83" t="s">
        <v>216</v>
      </c>
      <c r="C23" s="82">
        <f>'puertas herrero'!K18</f>
        <v>261720</v>
      </c>
      <c r="D23" s="82">
        <f>'puertas herrero'!L18</f>
        <v>263465</v>
      </c>
      <c r="E23" s="82">
        <f>'puertas herrero'!M18</f>
        <v>265455</v>
      </c>
      <c r="F23" s="82">
        <f>'puertas herrero'!N18</f>
        <v>264100</v>
      </c>
      <c r="G23" s="82">
        <f>'puertas herrero'!O18</f>
        <v>275095</v>
      </c>
      <c r="H23" s="82">
        <f>'puertas herrero'!P18</f>
        <v>280055</v>
      </c>
      <c r="I23" s="84">
        <f>'puertas herrero'!K26</f>
        <v>22325</v>
      </c>
    </row>
    <row r="24" spans="2:10" ht="17.25" customHeight="1">
      <c r="B24" s="83" t="s">
        <v>217</v>
      </c>
      <c r="C24" s="82">
        <f>'puertas herrero'!K19</f>
        <v>281820</v>
      </c>
      <c r="D24" s="82">
        <f>'puertas herrero'!L19</f>
        <v>277285</v>
      </c>
      <c r="E24" s="82">
        <f>'puertas herrero'!M19</f>
        <v>277285</v>
      </c>
      <c r="F24" s="82">
        <f>'puertas herrero'!N19</f>
        <v>284200</v>
      </c>
      <c r="G24" s="82">
        <f>'puertas herrero'!O19</f>
        <v>295200</v>
      </c>
      <c r="H24" s="82">
        <f>'puertas herrero'!P19</f>
        <v>277285</v>
      </c>
      <c r="I24" s="344" t="s">
        <v>234</v>
      </c>
    </row>
    <row r="25" spans="2:10" ht="16.899999999999999">
      <c r="B25" s="83" t="s">
        <v>218</v>
      </c>
      <c r="C25" s="82">
        <f>'puertas herrero'!K20</f>
        <v>242625</v>
      </c>
      <c r="D25" s="82">
        <f>'puertas herrero'!L20</f>
        <v>248035</v>
      </c>
      <c r="E25" s="82">
        <f>'puertas herrero'!M20</f>
        <v>255505</v>
      </c>
      <c r="F25" s="82">
        <f>'puertas herrero'!N20</f>
        <v>250410</v>
      </c>
      <c r="G25" s="82">
        <f>'puertas herrero'!O20</f>
        <v>291650</v>
      </c>
      <c r="H25" s="82">
        <f>'puertas herrero'!P20</f>
        <v>310285</v>
      </c>
      <c r="I25" s="344"/>
    </row>
    <row r="26" spans="2:10" ht="16.899999999999999">
      <c r="B26" s="83" t="s">
        <v>219</v>
      </c>
      <c r="C26" s="82">
        <f>'puertas herrero'!K21</f>
        <v>204455</v>
      </c>
      <c r="D26" s="82">
        <f>'puertas herrero'!L21</f>
        <v>209865</v>
      </c>
      <c r="E26" s="82">
        <f>'puertas herrero'!M21</f>
        <v>217340</v>
      </c>
      <c r="F26" s="82">
        <f>'puertas herrero'!N21</f>
        <v>212240</v>
      </c>
      <c r="G26" s="82">
        <f>'puertas herrero'!O21</f>
        <v>253480</v>
      </c>
      <c r="H26" s="82">
        <f>'puertas herrero'!P21</f>
        <v>272115</v>
      </c>
      <c r="I26" s="344"/>
    </row>
    <row r="27" spans="2:10" ht="17.25" thickBot="1">
      <c r="B27" s="86" t="s">
        <v>220</v>
      </c>
      <c r="C27" s="243">
        <f>'puertas herrero'!K22</f>
        <v>351025</v>
      </c>
      <c r="D27" s="243">
        <f>'puertas herrero'!L22</f>
        <v>351025</v>
      </c>
      <c r="E27" s="243">
        <f>'puertas herrero'!M22</f>
        <v>351025</v>
      </c>
      <c r="F27" s="243">
        <f>'puertas herrero'!N22</f>
        <v>351025</v>
      </c>
      <c r="G27" s="243">
        <f>'puertas herrero'!O22</f>
        <v>351025</v>
      </c>
      <c r="H27" s="243">
        <f>'puertas herrero'!P22</f>
        <v>351025</v>
      </c>
      <c r="I27" s="87">
        <v>0</v>
      </c>
    </row>
  </sheetData>
  <mergeCells count="6">
    <mergeCell ref="I24:I26"/>
    <mergeCell ref="B6:I6"/>
    <mergeCell ref="B7:I7"/>
    <mergeCell ref="B9:I9"/>
    <mergeCell ref="I11:I16"/>
    <mergeCell ref="I18:I22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6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E1772F36-41AD-4676-8F9D-D1E569442395}">
            <xm:f>'puertas herrero'!$C$2="VERDE"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20" id="{4203391B-0527-4924-8F5B-B46BD33EE558}">
            <xm:f>'puertas herrero'!$C$2="AZUL"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21" id="{68377180-01D7-4EDA-BA44-BFBC6E889249}">
            <xm:f>'puertas herrero'!$C$2="AMARILLA"</xm:f>
            <x14:dxf>
              <fill>
                <patternFill>
                  <bgColor rgb="FFFFFF00"/>
                </patternFill>
              </fill>
            </x14:dxf>
          </x14:cfRule>
          <xm:sqref>B9:I9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379C-5CC8-464E-859D-2B5F78C7F375}">
  <sheetPr codeName="Hoja22">
    <tabColor rgb="FF00B050"/>
    <pageSetUpPr fitToPage="1"/>
  </sheetPr>
  <dimension ref="B6:F20"/>
  <sheetViews>
    <sheetView zoomScale="55" zoomScaleNormal="55" workbookViewId="0">
      <selection activeCell="H87" sqref="H87"/>
    </sheetView>
  </sheetViews>
  <sheetFormatPr baseColWidth="10" defaultColWidth="11.3984375" defaultRowHeight="12.75"/>
  <cols>
    <col min="1" max="1" width="11.3984375" style="25"/>
    <col min="2" max="2" width="16.3984375" style="25" customWidth="1"/>
    <col min="3" max="16384" width="11.3984375" style="25"/>
  </cols>
  <sheetData>
    <row r="6" spans="2:6" ht="13.15">
      <c r="B6" s="337" t="s">
        <v>21</v>
      </c>
      <c r="C6" s="337"/>
      <c r="D6" s="337"/>
      <c r="E6" s="337"/>
      <c r="F6" s="337"/>
    </row>
    <row r="7" spans="2:6" ht="13.15">
      <c r="B7" s="337" t="s">
        <v>22</v>
      </c>
      <c r="C7" s="337"/>
      <c r="D7" s="337"/>
      <c r="E7" s="337"/>
      <c r="F7" s="337"/>
    </row>
    <row r="8" spans="2:6" ht="13.15" thickBot="1"/>
    <row r="9" spans="2:6" ht="21.4" thickBot="1">
      <c r="B9" s="350" t="s">
        <v>235</v>
      </c>
      <c r="C9" s="351"/>
      <c r="D9" s="351"/>
      <c r="E9" s="351"/>
      <c r="F9" s="352"/>
    </row>
    <row r="10" spans="2:6" ht="13.5" thickBot="1">
      <c r="B10" s="121" t="s">
        <v>246</v>
      </c>
      <c r="C10" s="122" t="s">
        <v>237</v>
      </c>
      <c r="D10" s="122" t="s">
        <v>202</v>
      </c>
      <c r="E10" s="122" t="s">
        <v>126</v>
      </c>
      <c r="F10" s="123" t="s">
        <v>125</v>
      </c>
    </row>
    <row r="11" spans="2:6" ht="15.75">
      <c r="B11" s="119" t="s">
        <v>238</v>
      </c>
      <c r="C11" s="95">
        <f>'medias puertas herrero'!I7</f>
        <v>143635</v>
      </c>
      <c r="D11" s="96">
        <f>'medias puertas herrero'!J7</f>
        <v>209400</v>
      </c>
      <c r="E11" s="96">
        <f>'medias puertas herrero'!K7</f>
        <v>145660</v>
      </c>
      <c r="F11" s="97">
        <f>'medias puertas herrero'!L7</f>
        <v>180770</v>
      </c>
    </row>
    <row r="12" spans="2:6" ht="15.75">
      <c r="B12" s="119" t="s">
        <v>239</v>
      </c>
      <c r="C12" s="98">
        <f>'medias puertas herrero'!I8</f>
        <v>161490</v>
      </c>
      <c r="D12" s="99">
        <f>'medias puertas herrero'!J8</f>
        <v>141420</v>
      </c>
      <c r="E12" s="99">
        <f>'medias puertas herrero'!K8</f>
        <v>163510</v>
      </c>
      <c r="F12" s="100">
        <f>'medias puertas herrero'!L8</f>
        <v>198620</v>
      </c>
    </row>
    <row r="13" spans="2:6" ht="15.75">
      <c r="B13" s="119" t="s">
        <v>240</v>
      </c>
      <c r="C13" s="98">
        <f>'medias puertas herrero'!I9</f>
        <v>169590</v>
      </c>
      <c r="D13" s="99">
        <f>'medias puertas herrero'!J9</f>
        <v>221510</v>
      </c>
      <c r="E13" s="99">
        <f>'medias puertas herrero'!K9</f>
        <v>171190</v>
      </c>
      <c r="F13" s="100">
        <f>'medias puertas herrero'!L9</f>
        <v>198910</v>
      </c>
    </row>
    <row r="14" spans="2:6" ht="15.75">
      <c r="B14" s="119" t="s">
        <v>241</v>
      </c>
      <c r="C14" s="98">
        <f>'medias puertas herrero'!I10</f>
        <v>187575</v>
      </c>
      <c r="D14" s="99">
        <f>'medias puertas herrero'!J10</f>
        <v>171735</v>
      </c>
      <c r="E14" s="99">
        <f>'medias puertas herrero'!K10</f>
        <v>189175</v>
      </c>
      <c r="F14" s="100">
        <f>'medias puertas herrero'!L10</f>
        <v>216895</v>
      </c>
    </row>
    <row r="15" spans="2:6" ht="15.75">
      <c r="B15" s="119" t="s">
        <v>242</v>
      </c>
      <c r="C15" s="98">
        <f>'medias puertas herrero'!I11</f>
        <v>197075</v>
      </c>
      <c r="D15" s="99">
        <f>'medias puertas herrero'!J11</f>
        <v>231685</v>
      </c>
      <c r="E15" s="99">
        <f>'medias puertas herrero'!K11</f>
        <v>198135</v>
      </c>
      <c r="F15" s="100">
        <f>'medias puertas herrero'!L11</f>
        <v>216615</v>
      </c>
    </row>
    <row r="16" spans="2:6" ht="15.75">
      <c r="B16" s="119" t="s">
        <v>243</v>
      </c>
      <c r="C16" s="98">
        <f>'medias puertas herrero'!I12</f>
        <v>206835</v>
      </c>
      <c r="D16" s="99">
        <f>'medias puertas herrero'!J12</f>
        <v>196270</v>
      </c>
      <c r="E16" s="99">
        <f>'medias puertas herrero'!K12</f>
        <v>207895</v>
      </c>
      <c r="F16" s="100">
        <f>'medias puertas herrero'!L12</f>
        <v>226370</v>
      </c>
    </row>
    <row r="17" spans="2:6" ht="15.75">
      <c r="B17" s="119" t="s">
        <v>247</v>
      </c>
      <c r="C17" s="98">
        <f>'medias puertas herrero'!I13</f>
        <v>174950</v>
      </c>
      <c r="D17" s="99">
        <f>'medias puertas herrero'!J13</f>
        <v>261485</v>
      </c>
      <c r="E17" s="99">
        <f>'medias puertas herrero'!K13</f>
        <v>177610</v>
      </c>
      <c r="F17" s="100">
        <f>'medias puertas herrero'!L13</f>
        <v>223810</v>
      </c>
    </row>
    <row r="18" spans="2:6" ht="16.149999999999999" thickBot="1">
      <c r="B18" s="120" t="s">
        <v>248</v>
      </c>
      <c r="C18" s="101">
        <f>'medias puertas herrero'!I14</f>
        <v>158745</v>
      </c>
      <c r="D18" s="102">
        <f>'medias puertas herrero'!J14</f>
        <v>210835</v>
      </c>
      <c r="E18" s="102">
        <f>'medias puertas herrero'!K14</f>
        <v>157505</v>
      </c>
      <c r="F18" s="103">
        <f>'medias puertas herrero'!L14</f>
        <v>193470</v>
      </c>
    </row>
    <row r="19" spans="2:6" ht="13.9">
      <c r="B19" s="77"/>
    </row>
    <row r="20" spans="2:6" ht="13.9">
      <c r="B20" s="77"/>
    </row>
  </sheetData>
  <mergeCells count="3">
    <mergeCell ref="B6:F6"/>
    <mergeCell ref="B7:F7"/>
    <mergeCell ref="B9:F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AAA4F495-EB39-4810-A2F3-CE78BEDAAAAC}">
            <xm:f>'medias puertas herrero'!$C$2="VERDE"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26" id="{902A1EBC-AD41-46C7-ACDA-D1136143F8E7}">
            <xm:f>'medias puertas herrero'!$C$2="AZUL"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27" id="{1BC8CD34-665A-4C30-8A31-BED324389096}">
            <xm:f>'medias puertas herrero'!$C$2="AMARILLA"</xm:f>
            <x14:dxf>
              <fill>
                <patternFill>
                  <bgColor rgb="FFFFFF00"/>
                </patternFill>
              </fill>
            </x14:dxf>
          </x14:cfRule>
          <xm:sqref>B9:F10 B11:B18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09BB-6782-4BF0-98BC-C0B307B8E445}">
  <sheetPr codeName="Hoja23">
    <tabColor rgb="FF00B050"/>
    <pageSetUpPr fitToPage="1"/>
  </sheetPr>
  <dimension ref="B6:I63"/>
  <sheetViews>
    <sheetView topLeftCell="A37" zoomScale="55" zoomScaleNormal="55" workbookViewId="0">
      <selection activeCell="H87" sqref="H87"/>
    </sheetView>
  </sheetViews>
  <sheetFormatPr baseColWidth="10" defaultColWidth="11.3984375" defaultRowHeight="12.75"/>
  <cols>
    <col min="1" max="16384" width="11.3984375" style="25"/>
  </cols>
  <sheetData>
    <row r="6" spans="2:9" ht="13.15">
      <c r="B6" s="337" t="s">
        <v>21</v>
      </c>
      <c r="C6" s="337"/>
      <c r="D6" s="337"/>
      <c r="E6" s="337"/>
      <c r="F6" s="337"/>
      <c r="G6" s="337"/>
      <c r="H6" s="337"/>
      <c r="I6" s="337"/>
    </row>
    <row r="7" spans="2:9" ht="13.15">
      <c r="B7" s="337" t="s">
        <v>22</v>
      </c>
      <c r="C7" s="337"/>
      <c r="D7" s="337"/>
      <c r="E7" s="337"/>
      <c r="F7" s="337"/>
      <c r="G7" s="337"/>
      <c r="H7" s="337"/>
      <c r="I7" s="337"/>
    </row>
    <row r="8" spans="2:9" ht="13.15" thickBot="1"/>
    <row r="9" spans="2:9" ht="18.75" customHeight="1" thickBot="1">
      <c r="B9" s="338" t="s">
        <v>256</v>
      </c>
      <c r="C9" s="339"/>
      <c r="D9" s="339"/>
      <c r="E9" s="339"/>
      <c r="F9" s="339"/>
      <c r="G9" s="339"/>
      <c r="H9" s="339"/>
      <c r="I9" s="340"/>
    </row>
    <row r="10" spans="2:9" ht="13.5" thickBot="1">
      <c r="B10" s="239" t="s">
        <v>24</v>
      </c>
      <c r="C10" s="240" t="s">
        <v>122</v>
      </c>
      <c r="D10" s="241" t="s">
        <v>123</v>
      </c>
      <c r="E10" s="241" t="s">
        <v>124</v>
      </c>
      <c r="F10" s="241" t="s">
        <v>127</v>
      </c>
      <c r="G10" s="241" t="s">
        <v>254</v>
      </c>
      <c r="H10" s="241" t="s">
        <v>118</v>
      </c>
      <c r="I10" s="242" t="s">
        <v>255</v>
      </c>
    </row>
    <row r="11" spans="2:9" ht="14.25">
      <c r="B11" s="111" t="s">
        <v>6</v>
      </c>
      <c r="C11" s="114">
        <f>'ventanas modena'!L6</f>
        <v>104220</v>
      </c>
      <c r="D11" s="115">
        <f>'ventanas modena'!M6</f>
        <v>104825</v>
      </c>
      <c r="E11" s="115">
        <f>'ventanas modena'!N6</f>
        <v>105925</v>
      </c>
      <c r="F11" s="115">
        <f>'ventanas modena'!O6</f>
        <v>115645</v>
      </c>
      <c r="G11" s="115">
        <f>'ventanas modena'!P6</f>
        <v>7875</v>
      </c>
      <c r="H11" s="115">
        <f>'ventanas modena'!Q6</f>
        <v>15615</v>
      </c>
      <c r="I11" s="116">
        <f>'ventanas modena'!R6</f>
        <v>154580</v>
      </c>
    </row>
    <row r="12" spans="2:9" ht="14.25">
      <c r="B12" s="112" t="s">
        <v>7</v>
      </c>
      <c r="C12" s="117">
        <f>'ventanas modena'!L7</f>
        <v>115055</v>
      </c>
      <c r="D12" s="5">
        <f>'ventanas modena'!M7</f>
        <v>115905</v>
      </c>
      <c r="E12" s="5">
        <f>'ventanas modena'!N7</f>
        <v>117445</v>
      </c>
      <c r="F12" s="5">
        <f>'ventanas modena'!O7</f>
        <v>131055</v>
      </c>
      <c r="G12" s="5">
        <f>'ventanas modena'!P7</f>
        <v>7875</v>
      </c>
      <c r="H12" s="5">
        <f>'ventanas modena'!Q7</f>
        <v>18295</v>
      </c>
      <c r="I12" s="6">
        <f>'ventanas modena'!R7</f>
        <v>173655</v>
      </c>
    </row>
    <row r="13" spans="2:9" ht="14.25">
      <c r="B13" s="112" t="s">
        <v>8</v>
      </c>
      <c r="C13" s="117">
        <f>'ventanas modena'!L8</f>
        <v>127400</v>
      </c>
      <c r="D13" s="5">
        <f>'ventanas modena'!M8</f>
        <v>128495</v>
      </c>
      <c r="E13" s="5">
        <f>'ventanas modena'!N8</f>
        <v>130465</v>
      </c>
      <c r="F13" s="5">
        <f>'ventanas modena'!O8</f>
        <v>147970</v>
      </c>
      <c r="G13" s="5">
        <f>'ventanas modena'!P8</f>
        <v>7875</v>
      </c>
      <c r="H13" s="5">
        <f>'ventanas modena'!Q8</f>
        <v>20980</v>
      </c>
      <c r="I13" s="6">
        <f>'ventanas modena'!R8</f>
        <v>194250</v>
      </c>
    </row>
    <row r="14" spans="2:9" ht="14.25">
      <c r="B14" s="112" t="s">
        <v>9</v>
      </c>
      <c r="C14" s="117">
        <f>'ventanas modena'!L9</f>
        <v>139760</v>
      </c>
      <c r="D14" s="5">
        <f>'ventanas modena'!M9</f>
        <v>141085</v>
      </c>
      <c r="E14" s="5">
        <f>'ventanas modena'!N9</f>
        <v>143500</v>
      </c>
      <c r="F14" s="5">
        <f>'ventanas modena'!O9</f>
        <v>164885</v>
      </c>
      <c r="G14" s="5">
        <f>'ventanas modena'!P9</f>
        <v>7875</v>
      </c>
      <c r="H14" s="5">
        <f>'ventanas modena'!Q9</f>
        <v>23660</v>
      </c>
      <c r="I14" s="6">
        <f>'ventanas modena'!R9</f>
        <v>214840</v>
      </c>
    </row>
    <row r="15" spans="2:9" ht="14.25">
      <c r="B15" s="112" t="s">
        <v>10</v>
      </c>
      <c r="C15" s="117">
        <f>'ventanas modena'!L10</f>
        <v>160535</v>
      </c>
      <c r="D15" s="5">
        <f>'ventanas modena'!M10</f>
        <v>162230</v>
      </c>
      <c r="E15" s="5">
        <f>'ventanas modena'!N10</f>
        <v>165305</v>
      </c>
      <c r="F15" s="5">
        <f>'ventanas modena'!O10</f>
        <v>192525</v>
      </c>
      <c r="G15" s="5">
        <f>'ventanas modena'!P10</f>
        <v>7875</v>
      </c>
      <c r="H15" s="5">
        <f>'ventanas modena'!Q10</f>
        <v>27680</v>
      </c>
      <c r="I15" s="6">
        <f>'ventanas modena'!R10</f>
        <v>247975</v>
      </c>
    </row>
    <row r="16" spans="2:9" ht="14.25">
      <c r="B16" s="112" t="s">
        <v>11</v>
      </c>
      <c r="C16" s="117">
        <f>'ventanas modena'!L11</f>
        <v>181985</v>
      </c>
      <c r="D16" s="5">
        <f>'ventanas modena'!M11</f>
        <v>184035</v>
      </c>
      <c r="E16" s="5">
        <f>'ventanas modena'!N11</f>
        <v>187770</v>
      </c>
      <c r="F16" s="5">
        <f>'ventanas modena'!O11</f>
        <v>220830</v>
      </c>
      <c r="G16" s="5">
        <f>'ventanas modena'!P11</f>
        <v>7875</v>
      </c>
      <c r="H16" s="5">
        <f>'ventanas modena'!Q11</f>
        <v>31705</v>
      </c>
      <c r="I16" s="6">
        <f>'ventanas modena'!R11</f>
        <v>281780</v>
      </c>
    </row>
    <row r="17" spans="2:9" ht="14.25">
      <c r="B17" s="112" t="s">
        <v>12</v>
      </c>
      <c r="C17" s="117">
        <f>'ventanas modena'!L12</f>
        <v>202770</v>
      </c>
      <c r="D17" s="5">
        <f>'ventanas modena'!M12</f>
        <v>205070</v>
      </c>
      <c r="E17" s="5">
        <f>'ventanas modena'!N12</f>
        <v>209235</v>
      </c>
      <c r="F17" s="5">
        <f>'ventanas modena'!O12</f>
        <v>246190</v>
      </c>
      <c r="G17" s="5">
        <f>'ventanas modena'!P12</f>
        <v>7875</v>
      </c>
      <c r="H17" s="5">
        <f>'ventanas modena'!Q12</f>
        <v>34385</v>
      </c>
      <c r="I17" s="6">
        <f>'ventanas modena'!R12</f>
        <v>310815</v>
      </c>
    </row>
    <row r="18" spans="2:9" ht="14.25">
      <c r="B18" s="112" t="s">
        <v>13</v>
      </c>
      <c r="C18" s="117">
        <f>'ventanas modena'!L13</f>
        <v>119070</v>
      </c>
      <c r="D18" s="5">
        <f>'ventanas modena'!M13</f>
        <v>120070</v>
      </c>
      <c r="E18" s="5">
        <f>'ventanas modena'!N13</f>
        <v>121910</v>
      </c>
      <c r="F18" s="5">
        <f>'ventanas modena'!O13</f>
        <v>138110</v>
      </c>
      <c r="G18" s="5">
        <f>'ventanas modena'!P13</f>
        <v>11815</v>
      </c>
      <c r="H18" s="5">
        <f>'ventanas modena'!Q13</f>
        <v>20585</v>
      </c>
      <c r="I18" s="6">
        <f>'ventanas modena'!R13</f>
        <v>185355</v>
      </c>
    </row>
    <row r="19" spans="2:9" ht="14.25">
      <c r="B19" s="112" t="s">
        <v>14</v>
      </c>
      <c r="C19" s="117">
        <f>'ventanas modena'!L14</f>
        <v>130705</v>
      </c>
      <c r="D19" s="5">
        <f>'ventanas modena'!M14</f>
        <v>132115</v>
      </c>
      <c r="E19" s="5">
        <f>'ventanas modena'!N14</f>
        <v>134680</v>
      </c>
      <c r="F19" s="5">
        <f>'ventanas modena'!O14</f>
        <v>157360</v>
      </c>
      <c r="G19" s="5">
        <f>'ventanas modena'!P14</f>
        <v>11815</v>
      </c>
      <c r="H19" s="5">
        <f>'ventanas modena'!Q14</f>
        <v>23660</v>
      </c>
      <c r="I19" s="6">
        <f>'ventanas modena'!R14</f>
        <v>206330</v>
      </c>
    </row>
    <row r="20" spans="2:9" ht="14.25">
      <c r="B20" s="112" t="s">
        <v>97</v>
      </c>
      <c r="C20" s="117">
        <f>'ventanas modena'!L15</f>
        <v>143940</v>
      </c>
      <c r="D20" s="5">
        <f>'ventanas modena'!M15</f>
        <v>145750</v>
      </c>
      <c r="E20" s="5">
        <f>'ventanas modena'!N15</f>
        <v>149045</v>
      </c>
      <c r="F20" s="5">
        <f>'ventanas modena'!O15</f>
        <v>178215</v>
      </c>
      <c r="G20" s="5">
        <f>'ventanas modena'!P15</f>
        <v>11815</v>
      </c>
      <c r="H20" s="5">
        <f>'ventanas modena'!Q15</f>
        <v>26735</v>
      </c>
      <c r="I20" s="6">
        <f>'ventanas modena'!R15</f>
        <v>228880</v>
      </c>
    </row>
    <row r="21" spans="2:9" ht="14.25">
      <c r="B21" s="112" t="s">
        <v>98</v>
      </c>
      <c r="C21" s="117">
        <f>'ventanas modena'!L16</f>
        <v>157060</v>
      </c>
      <c r="D21" s="5">
        <f>'ventanas modena'!M16</f>
        <v>159275</v>
      </c>
      <c r="E21" s="5">
        <f>'ventanas modena'!N16</f>
        <v>163300</v>
      </c>
      <c r="F21" s="5">
        <f>'ventanas modena'!O16</f>
        <v>198955</v>
      </c>
      <c r="G21" s="5">
        <f>'ventanas modena'!P16</f>
        <v>11815</v>
      </c>
      <c r="H21" s="5">
        <f>'ventanas modena'!Q16</f>
        <v>29810</v>
      </c>
      <c r="I21" s="6">
        <f>'ventanas modena'!R16</f>
        <v>251335</v>
      </c>
    </row>
    <row r="22" spans="2:9" ht="14.25">
      <c r="B22" s="112" t="s">
        <v>99</v>
      </c>
      <c r="C22" s="117">
        <f>'ventanas modena'!L17</f>
        <v>178995</v>
      </c>
      <c r="D22" s="5">
        <f>'ventanas modena'!M17</f>
        <v>181815</v>
      </c>
      <c r="E22" s="5">
        <f>'ventanas modena'!N17</f>
        <v>186935</v>
      </c>
      <c r="F22" s="5">
        <f>'ventanas modena'!O17</f>
        <v>232315</v>
      </c>
      <c r="G22" s="5">
        <f>'ventanas modena'!P17</f>
        <v>11815</v>
      </c>
      <c r="H22" s="5">
        <f>'ventanas modena'!Q17</f>
        <v>34425</v>
      </c>
      <c r="I22" s="6">
        <f>'ventanas modena'!R17</f>
        <v>287255</v>
      </c>
    </row>
    <row r="23" spans="2:9" ht="14.25">
      <c r="B23" s="112" t="s">
        <v>100</v>
      </c>
      <c r="C23" s="117">
        <f>'ventanas modena'!L18</f>
        <v>200935</v>
      </c>
      <c r="D23" s="5">
        <f>'ventanas modena'!M18</f>
        <v>204360</v>
      </c>
      <c r="E23" s="5">
        <f>'ventanas modena'!N18</f>
        <v>210580</v>
      </c>
      <c r="F23" s="5">
        <f>'ventanas modena'!O18</f>
        <v>265675</v>
      </c>
      <c r="G23" s="5">
        <f>'ventanas modena'!P18</f>
        <v>11815</v>
      </c>
      <c r="H23" s="5">
        <f>'ventanas modena'!Q18</f>
        <v>39040</v>
      </c>
      <c r="I23" s="6">
        <f>'ventanas modena'!R18</f>
        <v>323185</v>
      </c>
    </row>
    <row r="24" spans="2:9" ht="14.25">
      <c r="B24" s="112" t="s">
        <v>101</v>
      </c>
      <c r="C24" s="117">
        <f>'ventanas modena'!L19</f>
        <v>223125</v>
      </c>
      <c r="D24" s="5">
        <f>'ventanas modena'!M19</f>
        <v>226955</v>
      </c>
      <c r="E24" s="5">
        <f>'ventanas modena'!N19</f>
        <v>233910</v>
      </c>
      <c r="F24" s="5">
        <f>'ventanas modena'!O19</f>
        <v>295490</v>
      </c>
      <c r="G24" s="5">
        <f>'ventanas modena'!P19</f>
        <v>11815</v>
      </c>
      <c r="H24" s="5">
        <f>'ventanas modena'!Q19</f>
        <v>42115</v>
      </c>
      <c r="I24" s="6">
        <f>'ventanas modena'!R19</f>
        <v>354700</v>
      </c>
    </row>
    <row r="25" spans="2:9" ht="14.25">
      <c r="B25" s="112" t="s">
        <v>44</v>
      </c>
      <c r="C25" s="117">
        <f>'ventanas modena'!L20</f>
        <v>160475</v>
      </c>
      <c r="D25" s="5">
        <f>'ventanas modena'!M20</f>
        <v>163010</v>
      </c>
      <c r="E25" s="5">
        <f>'ventanas modena'!N20</f>
        <v>167625</v>
      </c>
      <c r="F25" s="5">
        <f>'ventanas modena'!O20</f>
        <v>208470</v>
      </c>
      <c r="G25" s="5">
        <f>'ventanas modena'!P20</f>
        <v>15755</v>
      </c>
      <c r="H25" s="5">
        <f>'ventanas modena'!Q20</f>
        <v>32490</v>
      </c>
      <c r="I25" s="6">
        <f>'ventanas modena'!R20</f>
        <v>263525</v>
      </c>
    </row>
    <row r="26" spans="2:9" ht="14.25">
      <c r="B26" s="112" t="s">
        <v>45</v>
      </c>
      <c r="C26" s="117">
        <f>'ventanas modena'!L21</f>
        <v>174350</v>
      </c>
      <c r="D26" s="5">
        <f>'ventanas modena'!M21</f>
        <v>177455</v>
      </c>
      <c r="E26" s="5">
        <f>'ventanas modena'!N21</f>
        <v>183090</v>
      </c>
      <c r="F26" s="5">
        <f>'ventanas modena'!O21</f>
        <v>233005</v>
      </c>
      <c r="G26" s="5">
        <f>'ventanas modena'!P21</f>
        <v>15755</v>
      </c>
      <c r="H26" s="5">
        <f>'ventanas modena'!Q21</f>
        <v>35960</v>
      </c>
      <c r="I26" s="6">
        <f>'ventanas modena'!R21</f>
        <v>287815</v>
      </c>
    </row>
    <row r="27" spans="2:9" ht="14.25">
      <c r="B27" s="112" t="s">
        <v>46</v>
      </c>
      <c r="C27" s="117">
        <f>'ventanas modena'!L22</f>
        <v>197435</v>
      </c>
      <c r="D27" s="5">
        <f>'ventanas modena'!M22</f>
        <v>201380</v>
      </c>
      <c r="E27" s="5">
        <f>'ventanas modena'!N22</f>
        <v>208560</v>
      </c>
      <c r="F27" s="5">
        <f>'ventanas modena'!O22</f>
        <v>272085</v>
      </c>
      <c r="G27" s="5">
        <f>'ventanas modena'!P22</f>
        <v>15755</v>
      </c>
      <c r="H27" s="5">
        <f>'ventanas modena'!Q22</f>
        <v>41165</v>
      </c>
      <c r="I27" s="6">
        <f>'ventanas modena'!R22</f>
        <v>326515</v>
      </c>
    </row>
    <row r="28" spans="2:9" ht="14.25">
      <c r="B28" s="112" t="s">
        <v>47</v>
      </c>
      <c r="C28" s="117">
        <f>'ventanas modena'!L23</f>
        <v>220515</v>
      </c>
      <c r="D28" s="5">
        <f>'ventanas modena'!M23</f>
        <v>225305</v>
      </c>
      <c r="E28" s="5">
        <f>'ventanas modena'!N23</f>
        <v>234025</v>
      </c>
      <c r="F28" s="5">
        <f>'ventanas modena'!O23</f>
        <v>311160</v>
      </c>
      <c r="G28" s="5">
        <f>'ventanas modena'!P23</f>
        <v>15755</v>
      </c>
      <c r="H28" s="5">
        <f>'ventanas modena'!Q23</f>
        <v>46370</v>
      </c>
      <c r="I28" s="6">
        <f>'ventanas modena'!R23</f>
        <v>365205</v>
      </c>
    </row>
    <row r="29" spans="2:9" ht="14.25">
      <c r="B29" s="112" t="s">
        <v>48</v>
      </c>
      <c r="C29" s="117">
        <f>'ventanas modena'!L24</f>
        <v>243645</v>
      </c>
      <c r="D29" s="5">
        <f>'ventanas modena'!M24</f>
        <v>249005</v>
      </c>
      <c r="E29" s="5">
        <f>'ventanas modena'!N24</f>
        <v>258740</v>
      </c>
      <c r="F29" s="5">
        <f>'ventanas modena'!O24</f>
        <v>344955</v>
      </c>
      <c r="G29" s="5">
        <f>'ventanas modena'!P24</f>
        <v>15755</v>
      </c>
      <c r="H29" s="5">
        <f>'ventanas modena'!Q24</f>
        <v>49840</v>
      </c>
      <c r="I29" s="6">
        <f>'ventanas modena'!R24</f>
        <v>398755</v>
      </c>
    </row>
    <row r="30" spans="2:9" ht="14.25">
      <c r="B30" s="112" t="s">
        <v>15</v>
      </c>
      <c r="C30" s="117">
        <f>'ventanas modena'!L25</f>
        <v>175535</v>
      </c>
      <c r="D30" s="5">
        <f>'ventanas modena'!M25</f>
        <v>178805</v>
      </c>
      <c r="E30" s="5">
        <f>'ventanas modena'!N25</f>
        <v>184735</v>
      </c>
      <c r="F30" s="5">
        <f>'ventanas modena'!O25</f>
        <v>237245</v>
      </c>
      <c r="G30" s="5">
        <f>'ventanas modena'!P25</f>
        <v>19690</v>
      </c>
      <c r="H30" s="5">
        <f>'ventanas modena'!Q25</f>
        <v>38250</v>
      </c>
      <c r="I30" s="6">
        <f>'ventanas modena'!R25</f>
        <v>296710</v>
      </c>
    </row>
    <row r="31" spans="2:9" ht="14.25">
      <c r="B31" s="112" t="s">
        <v>102</v>
      </c>
      <c r="C31" s="117">
        <f>'ventanas modena'!L26</f>
        <v>189185</v>
      </c>
      <c r="D31" s="5">
        <f>'ventanas modena'!M26</f>
        <v>193175</v>
      </c>
      <c r="E31" s="5">
        <f>'ventanas modena'!N26</f>
        <v>200425</v>
      </c>
      <c r="F31" s="5">
        <f>'ventanas modena'!O26</f>
        <v>264595</v>
      </c>
      <c r="G31" s="5">
        <f>'ventanas modena'!P26</f>
        <v>19690</v>
      </c>
      <c r="H31" s="5">
        <f>'ventanas modena'!Q26</f>
        <v>42115</v>
      </c>
      <c r="I31" s="6">
        <f>'ventanas modena'!R26</f>
        <v>321850</v>
      </c>
    </row>
    <row r="32" spans="2:9" ht="14.25">
      <c r="B32" s="112" t="s">
        <v>16</v>
      </c>
      <c r="C32" s="117">
        <f>'ventanas modena'!L27</f>
        <v>213405</v>
      </c>
      <c r="D32" s="5">
        <f>'ventanas modena'!M27</f>
        <v>218485</v>
      </c>
      <c r="E32" s="5">
        <f>'ventanas modena'!N27</f>
        <v>227710</v>
      </c>
      <c r="F32" s="5">
        <f>'ventanas modena'!O27</f>
        <v>309385</v>
      </c>
      <c r="G32" s="5">
        <f>'ventanas modena'!P27</f>
        <v>19690</v>
      </c>
      <c r="H32" s="5">
        <f>'ventanas modena'!Q27</f>
        <v>47910</v>
      </c>
      <c r="I32" s="6">
        <f>'ventanas modena'!R27</f>
        <v>363315</v>
      </c>
    </row>
    <row r="33" spans="2:9" ht="14.25">
      <c r="B33" s="112" t="s">
        <v>103</v>
      </c>
      <c r="C33" s="117">
        <f>'ventanas modena'!L28</f>
        <v>237615</v>
      </c>
      <c r="D33" s="5">
        <f>'ventanas modena'!M28</f>
        <v>243785</v>
      </c>
      <c r="E33" s="5">
        <f>'ventanas modena'!N28</f>
        <v>252250</v>
      </c>
      <c r="F33" s="5">
        <f>'ventanas modena'!O28</f>
        <v>354160</v>
      </c>
      <c r="G33" s="5">
        <f>'ventanas modena'!P28</f>
        <v>19690</v>
      </c>
      <c r="H33" s="5">
        <f>'ventanas modena'!Q28</f>
        <v>53705</v>
      </c>
      <c r="I33" s="6">
        <f>'ventanas modena'!R28</f>
        <v>404770</v>
      </c>
    </row>
    <row r="34" spans="2:9" ht="14.25">
      <c r="B34" s="112" t="s">
        <v>104</v>
      </c>
      <c r="C34" s="117">
        <f>'ventanas modena'!L29</f>
        <v>259650</v>
      </c>
      <c r="D34" s="5">
        <f>'ventanas modena'!M29</f>
        <v>266540</v>
      </c>
      <c r="E34" s="5">
        <f>'ventanas modena'!N29</f>
        <v>277320</v>
      </c>
      <c r="F34" s="5">
        <f>'ventanas modena'!O29</f>
        <v>389905</v>
      </c>
      <c r="G34" s="5">
        <f>'ventanas modena'!P29</f>
        <v>19690</v>
      </c>
      <c r="H34" s="5">
        <f>'ventanas modena'!Q29</f>
        <v>57570</v>
      </c>
      <c r="I34" s="6">
        <f>'ventanas modena'!R29</f>
        <v>438295</v>
      </c>
    </row>
    <row r="35" spans="2:9" ht="14.25">
      <c r="B35" s="112" t="s">
        <v>105</v>
      </c>
      <c r="C35" s="117">
        <f>'ventanas modena'!L30</f>
        <v>277300</v>
      </c>
      <c r="D35" s="5">
        <f>'ventanas modena'!M30</f>
        <v>284915</v>
      </c>
      <c r="E35" s="5">
        <f>'ventanas modena'!N30</f>
        <v>298755</v>
      </c>
      <c r="F35" s="5">
        <f>'ventanas modena'!O30</f>
        <v>421270</v>
      </c>
      <c r="G35" s="5">
        <f>'ventanas modena'!P30</f>
        <v>19690</v>
      </c>
      <c r="H35" s="5">
        <f>'ventanas modena'!Q30</f>
        <v>61435</v>
      </c>
      <c r="I35" s="6">
        <f>'ventanas modena'!R30</f>
        <v>467440</v>
      </c>
    </row>
    <row r="36" spans="2:9" ht="14.25">
      <c r="B36" s="112" t="s">
        <v>106</v>
      </c>
      <c r="C36" s="117">
        <f>'ventanas modena'!L31</f>
        <v>295780</v>
      </c>
      <c r="D36" s="5">
        <f>'ventanas modena'!M31</f>
        <v>304125</v>
      </c>
      <c r="E36" s="5">
        <f>'ventanas modena'!N31</f>
        <v>319280</v>
      </c>
      <c r="F36" s="5">
        <f>'ventanas modena'!O31</f>
        <v>453460</v>
      </c>
      <c r="G36" s="5">
        <f>'ventanas modena'!P31</f>
        <v>19690</v>
      </c>
      <c r="H36" s="5">
        <f>'ventanas modena'!Q31</f>
        <v>65300</v>
      </c>
      <c r="I36" s="6">
        <f>'ventanas modena'!R31</f>
        <v>497420</v>
      </c>
    </row>
    <row r="37" spans="2:9" ht="14.25">
      <c r="B37" s="112" t="s">
        <v>58</v>
      </c>
      <c r="C37" s="117">
        <f>'ventanas modena'!L32</f>
        <v>180985</v>
      </c>
      <c r="D37" s="5">
        <f>'ventanas modena'!M32</f>
        <v>184610</v>
      </c>
      <c r="E37" s="5">
        <f>'ventanas modena'!N32</f>
        <v>191195</v>
      </c>
      <c r="F37" s="5">
        <f>'ventanas modena'!O32</f>
        <v>249540</v>
      </c>
      <c r="G37" s="5">
        <f>'ventanas modena'!P32</f>
        <v>21660</v>
      </c>
      <c r="H37" s="5">
        <f>'ventanas modena'!Q32</f>
        <v>41130</v>
      </c>
      <c r="I37" s="6">
        <f>'ventanas modena'!R32</f>
        <v>311205</v>
      </c>
    </row>
    <row r="38" spans="2:9" ht="14.25">
      <c r="B38" s="112" t="s">
        <v>59</v>
      </c>
      <c r="C38" s="117">
        <f>'ventanas modena'!L33</f>
        <v>197285</v>
      </c>
      <c r="D38" s="5">
        <f>'ventanas modena'!M33</f>
        <v>201720</v>
      </c>
      <c r="E38" s="5">
        <f>'ventanas modena'!N33</f>
        <v>209775</v>
      </c>
      <c r="F38" s="5">
        <f>'ventanas modena'!O33</f>
        <v>281075</v>
      </c>
      <c r="G38" s="5">
        <f>'ventanas modena'!P33</f>
        <v>21660</v>
      </c>
      <c r="H38" s="5">
        <f>'ventanas modena'!Q33</f>
        <v>45190</v>
      </c>
      <c r="I38" s="6">
        <f>'ventanas modena'!R33</f>
        <v>339540</v>
      </c>
    </row>
    <row r="39" spans="2:9" ht="14.25">
      <c r="B39" s="112" t="s">
        <v>60</v>
      </c>
      <c r="C39" s="117">
        <f>'ventanas modena'!L34</f>
        <v>225340</v>
      </c>
      <c r="D39" s="5">
        <f>'ventanas modena'!M34</f>
        <v>230985</v>
      </c>
      <c r="E39" s="5">
        <f>'ventanas modena'!N34</f>
        <v>241235</v>
      </c>
      <c r="F39" s="5">
        <f>'ventanas modena'!O34</f>
        <v>331990</v>
      </c>
      <c r="G39" s="5">
        <f>'ventanas modena'!P34</f>
        <v>21660</v>
      </c>
      <c r="H39" s="5">
        <f>'ventanas modena'!Q34</f>
        <v>51280</v>
      </c>
      <c r="I39" s="6">
        <f>'ventanas modena'!R34</f>
        <v>385665</v>
      </c>
    </row>
    <row r="40" spans="2:9" ht="14.25">
      <c r="B40" s="112" t="s">
        <v>61</v>
      </c>
      <c r="C40" s="117">
        <f>'ventanas modena'!L35</f>
        <v>245600</v>
      </c>
      <c r="D40" s="5">
        <f>'ventanas modena'!M35</f>
        <v>252450</v>
      </c>
      <c r="E40" s="5">
        <f>'ventanas modena'!N35</f>
        <v>264890</v>
      </c>
      <c r="F40" s="5">
        <f>'ventanas modena'!O35</f>
        <v>375080</v>
      </c>
      <c r="G40" s="5">
        <f>'ventanas modena'!P35</f>
        <v>21660</v>
      </c>
      <c r="H40" s="5">
        <f>'ventanas modena'!Q35</f>
        <v>57375</v>
      </c>
      <c r="I40" s="6">
        <f>'ventanas modena'!R35</f>
        <v>423975</v>
      </c>
    </row>
    <row r="41" spans="2:9" ht="14.25">
      <c r="B41" s="112" t="s">
        <v>63</v>
      </c>
      <c r="C41" s="117">
        <f>'ventanas modena'!L36</f>
        <v>293130</v>
      </c>
      <c r="D41" s="5">
        <f>'ventanas modena'!M36</f>
        <v>301595</v>
      </c>
      <c r="E41" s="5">
        <f>'ventanas modena'!N36</f>
        <v>316970</v>
      </c>
      <c r="F41" s="5">
        <f>'ventanas modena'!O36</f>
        <v>453095</v>
      </c>
      <c r="G41" s="5">
        <f>'ventanas modena'!P36</f>
        <v>21660</v>
      </c>
      <c r="H41" s="5">
        <f>'ventanas modena'!Q36</f>
        <v>65495</v>
      </c>
      <c r="I41" s="6">
        <f>'ventanas modena'!R36</f>
        <v>495585</v>
      </c>
    </row>
    <row r="42" spans="2:9" ht="14.25">
      <c r="B42" s="112" t="s">
        <v>64</v>
      </c>
      <c r="C42" s="117">
        <f>'ventanas modena'!L37</f>
        <v>315770</v>
      </c>
      <c r="D42" s="5">
        <f>'ventanas modena'!M37</f>
        <v>325040</v>
      </c>
      <c r="E42" s="5">
        <f>'ventanas modena'!N37</f>
        <v>341880</v>
      </c>
      <c r="F42" s="5">
        <f>'ventanas modena'!O37</f>
        <v>490970</v>
      </c>
      <c r="G42" s="5">
        <f>'ventanas modena'!P37</f>
        <v>21660</v>
      </c>
      <c r="H42" s="5">
        <f>'ventanas modena'!Q37</f>
        <v>69560</v>
      </c>
      <c r="I42" s="6">
        <f>'ventanas modena'!R37</f>
        <v>530265</v>
      </c>
    </row>
    <row r="43" spans="2:9" ht="14.25">
      <c r="B43" s="112" t="s">
        <v>107</v>
      </c>
      <c r="C43" s="117">
        <f>'ventanas modena'!L38</f>
        <v>192070</v>
      </c>
      <c r="D43" s="5">
        <f>'ventanas modena'!M38</f>
        <v>196060</v>
      </c>
      <c r="E43" s="5">
        <f>'ventanas modena'!N38</f>
        <v>203305</v>
      </c>
      <c r="F43" s="5">
        <f>'ventanas modena'!O38</f>
        <v>267480</v>
      </c>
      <c r="G43" s="5">
        <f>'ventanas modena'!P38</f>
        <v>23630</v>
      </c>
      <c r="H43" s="5">
        <f>'ventanas modena'!Q38</f>
        <v>44005</v>
      </c>
      <c r="I43" s="6">
        <f>'ventanas modena'!R38</f>
        <v>331345</v>
      </c>
    </row>
    <row r="44" spans="2:9" ht="14.25">
      <c r="B44" s="112" t="s">
        <v>108</v>
      </c>
      <c r="C44" s="117">
        <f>'ventanas modena'!L39</f>
        <v>207460</v>
      </c>
      <c r="D44" s="5">
        <f>'ventanas modena'!M39</f>
        <v>212335</v>
      </c>
      <c r="E44" s="5">
        <f>'ventanas modena'!N39</f>
        <v>217850</v>
      </c>
      <c r="F44" s="5">
        <f>'ventanas modena'!O39</f>
        <v>299630</v>
      </c>
      <c r="G44" s="5">
        <f>'ventanas modena'!P39</f>
        <v>23630</v>
      </c>
      <c r="H44" s="5">
        <f>'ventanas modena'!Q39</f>
        <v>48265</v>
      </c>
      <c r="I44" s="6">
        <f>'ventanas modena'!R39</f>
        <v>359315</v>
      </c>
    </row>
    <row r="45" spans="2:9" ht="14.25">
      <c r="B45" s="112" t="s">
        <v>109</v>
      </c>
      <c r="C45" s="117">
        <f>'ventanas modena'!L40</f>
        <v>234350</v>
      </c>
      <c r="D45" s="5">
        <f>'ventanas modena'!M40</f>
        <v>240555</v>
      </c>
      <c r="E45" s="5">
        <f>'ventanas modena'!N40</f>
        <v>251830</v>
      </c>
      <c r="F45" s="5">
        <f>'ventanas modena'!O40</f>
        <v>351655</v>
      </c>
      <c r="G45" s="5">
        <f>'ventanas modena'!P40</f>
        <v>23630</v>
      </c>
      <c r="H45" s="5">
        <f>'ventanas modena'!Q40</f>
        <v>54655</v>
      </c>
      <c r="I45" s="6">
        <f>'ventanas modena'!R40</f>
        <v>405070</v>
      </c>
    </row>
    <row r="46" spans="2:9" ht="14.25">
      <c r="B46" s="112" t="s">
        <v>110</v>
      </c>
      <c r="C46" s="117">
        <f>'ventanas modena'!L41</f>
        <v>258195</v>
      </c>
      <c r="D46" s="5">
        <f>'ventanas modena'!M41</f>
        <v>265740</v>
      </c>
      <c r="E46" s="5">
        <f>'ventanas modena'!N41</f>
        <v>279425</v>
      </c>
      <c r="F46" s="5">
        <f>'ventanas modena'!O41</f>
        <v>400640</v>
      </c>
      <c r="G46" s="5">
        <f>'ventanas modena'!P41</f>
        <v>23630</v>
      </c>
      <c r="H46" s="5">
        <f>'ventanas modena'!Q41</f>
        <v>61040</v>
      </c>
      <c r="I46" s="6">
        <f>'ventanas modena'!R41</f>
        <v>447810</v>
      </c>
    </row>
    <row r="47" spans="2:9" ht="14.25">
      <c r="B47" s="112" t="s">
        <v>111</v>
      </c>
      <c r="C47" s="117">
        <f>'ventanas modena'!L42</f>
        <v>282690</v>
      </c>
      <c r="D47" s="5">
        <f>'ventanas modena'!M42</f>
        <v>291115</v>
      </c>
      <c r="E47" s="5">
        <f>'ventanas modena'!N42</f>
        <v>306415</v>
      </c>
      <c r="F47" s="5">
        <f>'ventanas modena'!O42</f>
        <v>441890</v>
      </c>
      <c r="G47" s="5">
        <f>'ventanas modena'!P42</f>
        <v>23630</v>
      </c>
      <c r="H47" s="5">
        <f>'ventanas modena'!Q42</f>
        <v>65300</v>
      </c>
      <c r="I47" s="6">
        <f>'ventanas modena'!R42</f>
        <v>484875</v>
      </c>
    </row>
    <row r="48" spans="2:9" ht="14.25">
      <c r="B48" s="112" t="s">
        <v>112</v>
      </c>
      <c r="C48" s="117">
        <f>'ventanas modena'!L43</f>
        <v>307715</v>
      </c>
      <c r="D48" s="5">
        <f>'ventanas modena'!M43</f>
        <v>317025</v>
      </c>
      <c r="E48" s="5">
        <f>'ventanas modena'!N43</f>
        <v>333935</v>
      </c>
      <c r="F48" s="5">
        <f>'ventanas modena'!O43</f>
        <v>483670</v>
      </c>
      <c r="G48" s="5">
        <f>'ventanas modena'!P43</f>
        <v>23630</v>
      </c>
      <c r="H48" s="5">
        <f>'ventanas modena'!Q43</f>
        <v>69560</v>
      </c>
      <c r="I48" s="6">
        <f>'ventanas modena'!R43</f>
        <v>522485</v>
      </c>
    </row>
    <row r="49" spans="2:9" ht="14.25">
      <c r="B49" s="112" t="s">
        <v>113</v>
      </c>
      <c r="C49" s="117">
        <f>'ventanas modena'!L44</f>
        <v>328670</v>
      </c>
      <c r="D49" s="5">
        <f>'ventanas modena'!M44</f>
        <v>338860</v>
      </c>
      <c r="E49" s="5">
        <f>'ventanas modena'!N44</f>
        <v>357385</v>
      </c>
      <c r="F49" s="5">
        <f>'ventanas modena'!O44</f>
        <v>521385</v>
      </c>
      <c r="G49" s="5">
        <f>'ventanas modena'!P44</f>
        <v>23630</v>
      </c>
      <c r="H49" s="5">
        <f>'ventanas modena'!Q44</f>
        <v>73815</v>
      </c>
      <c r="I49" s="6">
        <f>'ventanas modena'!R44</f>
        <v>556015</v>
      </c>
    </row>
    <row r="50" spans="2:9" ht="14.25">
      <c r="B50" s="112" t="s">
        <v>114</v>
      </c>
      <c r="C50" s="117">
        <f>'ventanas modena'!L45</f>
        <v>210815</v>
      </c>
      <c r="D50" s="5">
        <f>'ventanas modena'!M45</f>
        <v>215895</v>
      </c>
      <c r="E50" s="5">
        <f>'ventanas modena'!N45</f>
        <v>225120</v>
      </c>
      <c r="F50" s="5">
        <f>'ventanas modena'!O45</f>
        <v>306795</v>
      </c>
      <c r="G50" s="5">
        <f>'ventanas modena'!P45</f>
        <v>29535</v>
      </c>
      <c r="H50" s="5">
        <f>'ventanas modena'!Q45</f>
        <v>52640</v>
      </c>
      <c r="I50" s="6">
        <f>'ventanas modena'!R45</f>
        <v>377255</v>
      </c>
    </row>
    <row r="51" spans="2:9" ht="14.25">
      <c r="B51" s="112" t="s">
        <v>71</v>
      </c>
      <c r="C51" s="117">
        <f>'ventanas modena'!L46</f>
        <v>227365</v>
      </c>
      <c r="D51" s="5">
        <f>'ventanas modena'!M46</f>
        <v>233570</v>
      </c>
      <c r="E51" s="5">
        <f>'ventanas modena'!N46</f>
        <v>244845</v>
      </c>
      <c r="F51" s="5">
        <f>'ventanas modena'!O46</f>
        <v>344670</v>
      </c>
      <c r="G51" s="5">
        <f>'ventanas modena'!P46</f>
        <v>29535</v>
      </c>
      <c r="H51" s="5">
        <f>'ventanas modena'!Q46</f>
        <v>57490</v>
      </c>
      <c r="I51" s="6">
        <f>'ventanas modena'!R46</f>
        <v>408005</v>
      </c>
    </row>
    <row r="52" spans="2:9" ht="14.25">
      <c r="B52" s="112" t="s">
        <v>72</v>
      </c>
      <c r="C52" s="117">
        <f>'ventanas modena'!L47</f>
        <v>257470</v>
      </c>
      <c r="D52" s="5">
        <f>'ventanas modena'!M47</f>
        <v>265375</v>
      </c>
      <c r="E52" s="5">
        <f>'ventanas modena'!N47</f>
        <v>279720</v>
      </c>
      <c r="F52" s="5">
        <f>'ventanas modena'!O47</f>
        <v>406775</v>
      </c>
      <c r="G52" s="5">
        <f>'ventanas modena'!P47</f>
        <v>29535</v>
      </c>
      <c r="H52" s="5">
        <f>'ventanas modena'!Q47</f>
        <v>64770</v>
      </c>
      <c r="I52" s="6">
        <f>'ventanas modena'!R47</f>
        <v>459440</v>
      </c>
    </row>
    <row r="53" spans="2:9" ht="14.25">
      <c r="B53" s="112" t="s">
        <v>73</v>
      </c>
      <c r="C53" s="117">
        <f>'ventanas modena'!L48</f>
        <v>281525</v>
      </c>
      <c r="D53" s="5">
        <f>'ventanas modena'!M48</f>
        <v>291115</v>
      </c>
      <c r="E53" s="5">
        <f>'ventanas modena'!N48</f>
        <v>308540</v>
      </c>
      <c r="F53" s="5">
        <f>'ventanas modena'!O48</f>
        <v>462815</v>
      </c>
      <c r="G53" s="5">
        <f>'ventanas modena'!P48</f>
        <v>29535</v>
      </c>
      <c r="H53" s="5">
        <f>'ventanas modena'!Q48</f>
        <v>72040</v>
      </c>
      <c r="I53" s="6">
        <f>'ventanas modena'!R48</f>
        <v>504790</v>
      </c>
    </row>
    <row r="54" spans="2:9" ht="14.25">
      <c r="B54" s="112" t="s">
        <v>74</v>
      </c>
      <c r="C54" s="117">
        <f>'ventanas modena'!L49</f>
        <v>307165</v>
      </c>
      <c r="D54" s="5">
        <f>'ventanas modena'!M49</f>
        <v>311155</v>
      </c>
      <c r="E54" s="5">
        <f>'ventanas modena'!N49</f>
        <v>337360</v>
      </c>
      <c r="F54" s="5">
        <f>'ventanas modena'!O49</f>
        <v>509795</v>
      </c>
      <c r="G54" s="5">
        <f>'ventanas modena'!P49</f>
        <v>29535</v>
      </c>
      <c r="H54" s="5">
        <f>'ventanas modena'!Q49</f>
        <v>76890</v>
      </c>
      <c r="I54" s="6">
        <f>'ventanas modena'!R49</f>
        <v>531190</v>
      </c>
    </row>
    <row r="55" spans="2:9" ht="14.25">
      <c r="B55" s="112" t="s">
        <v>75</v>
      </c>
      <c r="C55" s="117">
        <f>'ventanas modena'!L50</f>
        <v>335415</v>
      </c>
      <c r="D55" s="5">
        <f>'ventanas modena'!M50</f>
        <v>347270</v>
      </c>
      <c r="E55" s="5">
        <f>'ventanas modena'!N50</f>
        <v>368795</v>
      </c>
      <c r="F55" s="5">
        <f>'ventanas modena'!O50</f>
        <v>559365</v>
      </c>
      <c r="G55" s="5">
        <f>'ventanas modena'!P50</f>
        <v>29535</v>
      </c>
      <c r="H55" s="5">
        <f>'ventanas modena'!Q50</f>
        <v>81745</v>
      </c>
      <c r="I55" s="6">
        <f>'ventanas modena'!R50</f>
        <v>587120</v>
      </c>
    </row>
    <row r="56" spans="2:9" ht="14.25">
      <c r="B56" s="112" t="s">
        <v>76</v>
      </c>
      <c r="C56" s="117">
        <f>'ventanas modena'!L51</f>
        <v>355015</v>
      </c>
      <c r="D56" s="5">
        <f>'ventanas modena'!M51</f>
        <v>367985</v>
      </c>
      <c r="E56" s="5">
        <f>'ventanas modena'!N51</f>
        <v>391560</v>
      </c>
      <c r="F56" s="5">
        <f>'ventanas modena'!O51</f>
        <v>600290</v>
      </c>
      <c r="G56" s="5">
        <f>'ventanas modena'!P51</f>
        <v>29535</v>
      </c>
      <c r="H56" s="5">
        <f>'ventanas modena'!Q51</f>
        <v>86595</v>
      </c>
      <c r="I56" s="6">
        <f>'ventanas modena'!R51</f>
        <v>620910</v>
      </c>
    </row>
    <row r="57" spans="2:9" ht="14.25">
      <c r="B57" s="112" t="s">
        <v>17</v>
      </c>
      <c r="C57" s="117">
        <f>'ventanas modena'!L52</f>
        <v>280275</v>
      </c>
      <c r="D57" s="5">
        <f>'ventanas modena'!M52</f>
        <v>287165</v>
      </c>
      <c r="E57" s="5">
        <f>'ventanas modena'!N52</f>
        <v>299685</v>
      </c>
      <c r="F57" s="5">
        <f>'ventanas modena'!O52</f>
        <v>410525</v>
      </c>
      <c r="G57" s="5">
        <f>'ventanas modena'!P52</f>
        <v>39380</v>
      </c>
      <c r="H57" s="5">
        <f>'ventanas modena'!Q52</f>
        <v>67035</v>
      </c>
      <c r="I57" s="6">
        <f>'ventanas modena'!R52</f>
        <v>491980</v>
      </c>
    </row>
    <row r="58" spans="2:9" ht="14.25">
      <c r="B58" s="112" t="s">
        <v>83</v>
      </c>
      <c r="C58" s="117">
        <f>'ventanas modena'!L53</f>
        <v>306930</v>
      </c>
      <c r="D58" s="5">
        <f>'ventanas modena'!M53</f>
        <v>315350</v>
      </c>
      <c r="E58" s="5">
        <f>'ventanas modena'!N53</f>
        <v>330655</v>
      </c>
      <c r="F58" s="5">
        <f>'ventanas modena'!O53</f>
        <v>466130</v>
      </c>
      <c r="G58" s="5">
        <f>'ventanas modena'!P53</f>
        <v>39380</v>
      </c>
      <c r="H58" s="5">
        <f>'ventanas modena'!Q53</f>
        <v>72870</v>
      </c>
      <c r="I58" s="6">
        <f>'ventanas modena'!R53</f>
        <v>535560</v>
      </c>
    </row>
    <row r="59" spans="2:9" ht="14.25">
      <c r="B59" s="112" t="s">
        <v>84</v>
      </c>
      <c r="C59" s="117">
        <f>'ventanas modena'!L54</f>
        <v>342895</v>
      </c>
      <c r="D59" s="5">
        <f>'ventanas modena'!M54</f>
        <v>350940</v>
      </c>
      <c r="E59" s="5">
        <f>'ventanas modena'!N54</f>
        <v>370415</v>
      </c>
      <c r="F59" s="5">
        <f>'ventanas modena'!O54</f>
        <v>542845</v>
      </c>
      <c r="G59" s="5">
        <f>'ventanas modena'!P54</f>
        <v>39380</v>
      </c>
      <c r="H59" s="5">
        <f>'ventanas modena'!Q54</f>
        <v>81625</v>
      </c>
      <c r="I59" s="6">
        <f>'ventanas modena'!R54</f>
        <v>594235</v>
      </c>
    </row>
    <row r="60" spans="2:9" ht="14.25">
      <c r="B60" s="112" t="s">
        <v>85</v>
      </c>
      <c r="C60" s="117">
        <f>'ventanas modena'!L55</f>
        <v>373670</v>
      </c>
      <c r="D60" s="5">
        <f>'ventanas modena'!M55</f>
        <v>383445</v>
      </c>
      <c r="E60" s="5">
        <f>'ventanas modena'!N55</f>
        <v>407090</v>
      </c>
      <c r="F60" s="5">
        <f>'ventanas modena'!O55</f>
        <v>616470</v>
      </c>
      <c r="G60" s="5">
        <f>'ventanas modena'!P55</f>
        <v>39380</v>
      </c>
      <c r="H60" s="5">
        <f>'ventanas modena'!Q55</f>
        <v>90380</v>
      </c>
      <c r="I60" s="6">
        <f>'ventanas modena'!R55</f>
        <v>649835</v>
      </c>
    </row>
    <row r="61" spans="2:9" ht="14.25">
      <c r="B61" s="112" t="s">
        <v>86</v>
      </c>
      <c r="C61" s="117">
        <f>'ventanas modena'!L56</f>
        <v>408045</v>
      </c>
      <c r="D61" s="5">
        <f>'ventanas modena'!M56</f>
        <v>418970</v>
      </c>
      <c r="E61" s="5">
        <f>'ventanas modena'!N56</f>
        <v>445400</v>
      </c>
      <c r="F61" s="5">
        <f>'ventanas modena'!O56</f>
        <v>679400</v>
      </c>
      <c r="G61" s="5">
        <f>'ventanas modena'!P56</f>
        <v>39380</v>
      </c>
      <c r="H61" s="5">
        <f>'ventanas modena'!Q56</f>
        <v>96215</v>
      </c>
      <c r="I61" s="6">
        <f>'ventanas modena'!R56</f>
        <v>700750</v>
      </c>
    </row>
    <row r="62" spans="2:9" ht="14.25">
      <c r="B62" s="112" t="s">
        <v>87</v>
      </c>
      <c r="C62" s="117">
        <f>'ventanas modena'!L57</f>
        <v>432560</v>
      </c>
      <c r="D62" s="5">
        <f>'ventanas modena'!M57</f>
        <v>444635</v>
      </c>
      <c r="E62" s="5">
        <f>'ventanas modena'!N57</f>
        <v>473845</v>
      </c>
      <c r="F62" s="5">
        <f>'ventanas modena'!O57</f>
        <v>732475</v>
      </c>
      <c r="G62" s="5">
        <f>'ventanas modena'!P57</f>
        <v>39380</v>
      </c>
      <c r="H62" s="5">
        <f>'ventanas modena'!Q57</f>
        <v>102050</v>
      </c>
      <c r="I62" s="6">
        <f>'ventanas modena'!R57</f>
        <v>741810</v>
      </c>
    </row>
    <row r="63" spans="2:9" ht="14.65" thickBot="1">
      <c r="B63" s="113" t="s">
        <v>88</v>
      </c>
      <c r="C63" s="118">
        <f>'ventanas modena'!L58</f>
        <v>462240</v>
      </c>
      <c r="D63" s="10">
        <f>'ventanas modena'!M58</f>
        <v>475465</v>
      </c>
      <c r="E63" s="10">
        <f>'ventanas modena'!N58</f>
        <v>507450</v>
      </c>
      <c r="F63" s="10">
        <f>'ventanas modena'!O58</f>
        <v>790725</v>
      </c>
      <c r="G63" s="10">
        <f>'ventanas modena'!P58</f>
        <v>39380</v>
      </c>
      <c r="H63" s="10">
        <f>'ventanas modena'!Q58</f>
        <v>107885</v>
      </c>
      <c r="I63" s="11">
        <f>'ventanas modena'!R58</f>
        <v>788030</v>
      </c>
    </row>
  </sheetData>
  <mergeCells count="3">
    <mergeCell ref="B6:I6"/>
    <mergeCell ref="B7:I7"/>
    <mergeCell ref="B9:I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id="{4C5352B7-D1FD-48DD-9C32-3398A09703D0}">
            <xm:f>'ventanas modena'!$C$2="VERDE"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29" id="{F44AA943-BC08-44C2-802D-01524039B4D4}">
            <xm:f>'ventanas modena'!$C$2="AZUL"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30" id="{9C012995-717A-481A-BF30-21E3E88EF952}">
            <xm:f>'ventanas modena'!$C$2="AMARILLA"</xm:f>
            <x14:dxf>
              <fill>
                <patternFill>
                  <bgColor rgb="FFFFFF00"/>
                </patternFill>
              </fill>
            </x14:dxf>
          </x14:cfRule>
          <xm:sqref>B9:I10 B11:B63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B157-392F-46DD-9C8F-DC63C9DC5E34}">
  <sheetPr codeName="Hoja24">
    <tabColor rgb="FF00B050"/>
    <pageSetUpPr fitToPage="1"/>
  </sheetPr>
  <dimension ref="B6:I79"/>
  <sheetViews>
    <sheetView topLeftCell="A55" zoomScale="55" zoomScaleNormal="55" workbookViewId="0">
      <selection activeCell="H87" sqref="H87"/>
    </sheetView>
  </sheetViews>
  <sheetFormatPr baseColWidth="10" defaultColWidth="11.3984375" defaultRowHeight="12.75"/>
  <cols>
    <col min="1" max="5" width="11.3984375" style="25"/>
    <col min="6" max="6" width="11.73046875" style="25" customWidth="1"/>
    <col min="7" max="8" width="11.3984375" style="25"/>
    <col min="9" max="9" width="13.3984375" style="25" customWidth="1"/>
    <col min="10" max="16384" width="11.3984375" style="25"/>
  </cols>
  <sheetData>
    <row r="6" spans="2:9" ht="13.15">
      <c r="B6" s="337" t="s">
        <v>21</v>
      </c>
      <c r="C6" s="337"/>
      <c r="D6" s="337"/>
      <c r="E6" s="337"/>
      <c r="F6" s="337"/>
      <c r="G6" s="337"/>
      <c r="H6" s="337"/>
      <c r="I6" s="337"/>
    </row>
    <row r="7" spans="2:9" ht="13.15">
      <c r="B7" s="337" t="s">
        <v>22</v>
      </c>
      <c r="C7" s="337"/>
      <c r="D7" s="337"/>
      <c r="E7" s="337"/>
      <c r="F7" s="337"/>
      <c r="G7" s="337"/>
      <c r="H7" s="337"/>
      <c r="I7" s="337"/>
    </row>
    <row r="8" spans="2:9" ht="13.15" thickBot="1"/>
    <row r="9" spans="2:9" ht="21.4" thickBot="1">
      <c r="B9" s="353" t="s">
        <v>261</v>
      </c>
      <c r="C9" s="354"/>
      <c r="D9" s="354"/>
      <c r="E9" s="354"/>
      <c r="F9" s="354"/>
      <c r="G9" s="354"/>
      <c r="H9" s="354"/>
      <c r="I9" s="355"/>
    </row>
    <row r="10" spans="2:9" ht="14.65" thickBot="1">
      <c r="B10" s="236" t="s">
        <v>24</v>
      </c>
      <c r="C10" s="237" t="s">
        <v>122</v>
      </c>
      <c r="D10" s="237" t="s">
        <v>123</v>
      </c>
      <c r="E10" s="237" t="s">
        <v>199</v>
      </c>
      <c r="F10" s="237" t="s">
        <v>125</v>
      </c>
      <c r="G10" s="237" t="s">
        <v>126</v>
      </c>
      <c r="H10" s="237" t="s">
        <v>127</v>
      </c>
      <c r="I10" s="238" t="s">
        <v>255</v>
      </c>
    </row>
    <row r="11" spans="2:9" ht="14.25">
      <c r="B11" s="111" t="s">
        <v>128</v>
      </c>
      <c r="C11" s="114">
        <f>'rajas modena'!L7</f>
        <v>120100</v>
      </c>
      <c r="D11" s="115">
        <f>'rajas modena'!M7</f>
        <v>120725</v>
      </c>
      <c r="E11" s="115">
        <f>'rajas modena'!N7</f>
        <v>121860</v>
      </c>
      <c r="F11" s="115">
        <f>'rajas modena'!O7</f>
        <v>127360</v>
      </c>
      <c r="G11" s="115">
        <f>'rajas modena'!P7</f>
        <v>121085</v>
      </c>
      <c r="H11" s="115">
        <f>'rajas modena'!Q7</f>
        <v>132420</v>
      </c>
      <c r="I11" s="116">
        <f>'rajas modena'!R7</f>
        <v>154275</v>
      </c>
    </row>
    <row r="12" spans="2:9" ht="14.25">
      <c r="B12" s="112" t="s">
        <v>129</v>
      </c>
      <c r="C12" s="117">
        <f>'rajas modena'!L8</f>
        <v>127625</v>
      </c>
      <c r="D12" s="5">
        <f>'rajas modena'!M8</f>
        <v>128465</v>
      </c>
      <c r="E12" s="5">
        <f>'rajas modena'!N8</f>
        <v>129980</v>
      </c>
      <c r="F12" s="5">
        <f>'rajas modena'!O8</f>
        <v>137310</v>
      </c>
      <c r="G12" s="5">
        <f>'rajas modena'!P8</f>
        <v>128950</v>
      </c>
      <c r="H12" s="5">
        <f>'rajas modena'!Q8</f>
        <v>144075</v>
      </c>
      <c r="I12" s="6">
        <f>'rajas modena'!R8</f>
        <v>166955</v>
      </c>
    </row>
    <row r="13" spans="2:9" ht="14.25">
      <c r="B13" s="112" t="s">
        <v>130</v>
      </c>
      <c r="C13" s="117">
        <f>'rajas modena'!L9</f>
        <v>135200</v>
      </c>
      <c r="D13" s="5">
        <f>'rajas modena'!M9</f>
        <v>136245</v>
      </c>
      <c r="E13" s="5">
        <f>'rajas modena'!N9</f>
        <v>138145</v>
      </c>
      <c r="F13" s="5">
        <f>'rajas modena'!O9</f>
        <v>147310</v>
      </c>
      <c r="G13" s="5">
        <f>'rajas modena'!P9</f>
        <v>136860</v>
      </c>
      <c r="H13" s="5">
        <f>'rajas modena'!Q9</f>
        <v>155770</v>
      </c>
      <c r="I13" s="6">
        <f>'rajas modena'!R9</f>
        <v>179680</v>
      </c>
    </row>
    <row r="14" spans="2:9" ht="14.25">
      <c r="B14" s="112" t="s">
        <v>131</v>
      </c>
      <c r="C14" s="117">
        <f>'rajas modena'!L10</f>
        <v>142750</v>
      </c>
      <c r="D14" s="5">
        <f>'rajas modena'!M10</f>
        <v>144005</v>
      </c>
      <c r="E14" s="5">
        <f>'rajas modena'!N10</f>
        <v>146290</v>
      </c>
      <c r="F14" s="5">
        <f>'rajas modena'!O10</f>
        <v>157280</v>
      </c>
      <c r="G14" s="5">
        <f>'rajas modena'!P10</f>
        <v>144745</v>
      </c>
      <c r="H14" s="5">
        <f>'rajas modena'!Q10</f>
        <v>167440</v>
      </c>
      <c r="I14" s="6">
        <f>'rajas modena'!R10</f>
        <v>192380</v>
      </c>
    </row>
    <row r="15" spans="2:9" ht="14.25">
      <c r="B15" s="112" t="s">
        <v>132</v>
      </c>
      <c r="C15" s="117">
        <f>'rajas modena'!L11</f>
        <v>150315</v>
      </c>
      <c r="D15" s="5">
        <f>'rajas modena'!M11</f>
        <v>151775</v>
      </c>
      <c r="E15" s="5">
        <f>'rajas modena'!N11</f>
        <v>154445</v>
      </c>
      <c r="F15" s="5">
        <f>'rajas modena'!O11</f>
        <v>167270</v>
      </c>
      <c r="G15" s="5">
        <f>'rajas modena'!P11</f>
        <v>152645</v>
      </c>
      <c r="H15" s="5">
        <f>'rajas modena'!Q11</f>
        <v>179125</v>
      </c>
      <c r="I15" s="6">
        <f>'rajas modena'!R11</f>
        <v>205095</v>
      </c>
    </row>
    <row r="16" spans="2:9" ht="14.25">
      <c r="B16" s="112" t="s">
        <v>133</v>
      </c>
      <c r="C16" s="117">
        <f>'rajas modena'!L12</f>
        <v>157870</v>
      </c>
      <c r="D16" s="5">
        <f>'rajas modena'!M12</f>
        <v>159540</v>
      </c>
      <c r="E16" s="5">
        <f>'rajas modena'!N12</f>
        <v>162590</v>
      </c>
      <c r="F16" s="5">
        <f>'rajas modena'!O12</f>
        <v>177250</v>
      </c>
      <c r="G16" s="5">
        <f>'rajas modena'!P12</f>
        <v>160540</v>
      </c>
      <c r="H16" s="5">
        <f>'rajas modena'!Q12</f>
        <v>190805</v>
      </c>
      <c r="I16" s="6">
        <f>'rajas modena'!R12</f>
        <v>217800</v>
      </c>
    </row>
    <row r="17" spans="2:9" ht="14.25">
      <c r="B17" s="112" t="s">
        <v>134</v>
      </c>
      <c r="C17" s="117">
        <f>'rajas modena'!L13</f>
        <v>165400</v>
      </c>
      <c r="D17" s="5">
        <f>'rajas modena'!M13</f>
        <v>167280</v>
      </c>
      <c r="E17" s="5">
        <f>'rajas modena'!N13</f>
        <v>170715</v>
      </c>
      <c r="F17" s="5">
        <f>'rajas modena'!O13</f>
        <v>187205</v>
      </c>
      <c r="G17" s="5">
        <f>'rajas modena'!P13</f>
        <v>168405</v>
      </c>
      <c r="H17" s="5">
        <f>'rajas modena'!Q13</f>
        <v>202460</v>
      </c>
      <c r="I17" s="6">
        <f>'rajas modena'!R13</f>
        <v>230475</v>
      </c>
    </row>
    <row r="18" spans="2:9" ht="14.25">
      <c r="B18" s="112" t="s">
        <v>135</v>
      </c>
      <c r="C18" s="117">
        <f>'rajas modena'!L14</f>
        <v>127645</v>
      </c>
      <c r="D18" s="5">
        <f>'rajas modena'!M14</f>
        <v>128480</v>
      </c>
      <c r="E18" s="5">
        <f>'rajas modena'!N14</f>
        <v>130000</v>
      </c>
      <c r="F18" s="5">
        <f>'rajas modena'!O14</f>
        <v>137330</v>
      </c>
      <c r="G18" s="5">
        <f>'rajas modena'!P14</f>
        <v>128970</v>
      </c>
      <c r="H18" s="5">
        <f>'rajas modena'!Q14</f>
        <v>144090</v>
      </c>
      <c r="I18" s="6">
        <f>'rajas modena'!R14</f>
        <v>166975</v>
      </c>
    </row>
    <row r="19" spans="2:9" ht="14.25">
      <c r="B19" s="112" t="s">
        <v>136</v>
      </c>
      <c r="C19" s="117">
        <f>'rajas modena'!L15</f>
        <v>135540</v>
      </c>
      <c r="D19" s="5">
        <f>'rajas modena'!M15</f>
        <v>136640</v>
      </c>
      <c r="E19" s="5">
        <f>'rajas modena'!N15</f>
        <v>138680</v>
      </c>
      <c r="F19" s="5">
        <f>'rajas modena'!O15</f>
        <v>148435</v>
      </c>
      <c r="G19" s="5">
        <f>'rajas modena'!P15</f>
        <v>137290</v>
      </c>
      <c r="H19" s="5">
        <f>'rajas modena'!Q15</f>
        <v>157455</v>
      </c>
      <c r="I19" s="6">
        <f>'rajas modena'!R15</f>
        <v>180470</v>
      </c>
    </row>
    <row r="20" spans="2:9" ht="14.25">
      <c r="B20" s="112" t="s">
        <v>137</v>
      </c>
      <c r="C20" s="117">
        <f>'rajas modena'!L16</f>
        <v>143410</v>
      </c>
      <c r="D20" s="5">
        <f>'rajas modena'!M16</f>
        <v>144790</v>
      </c>
      <c r="E20" s="5">
        <f>'rajas modena'!N16</f>
        <v>147355</v>
      </c>
      <c r="F20" s="5">
        <f>'rajas modena'!O16</f>
        <v>159535</v>
      </c>
      <c r="G20" s="5">
        <f>'rajas modena'!P16</f>
        <v>145605</v>
      </c>
      <c r="H20" s="5">
        <f>'rajas modena'!Q16</f>
        <v>170805</v>
      </c>
      <c r="I20" s="6">
        <f>'rajas modena'!R16</f>
        <v>193955</v>
      </c>
    </row>
    <row r="21" spans="2:9" ht="14.25">
      <c r="B21" s="112" t="s">
        <v>138</v>
      </c>
      <c r="C21" s="117">
        <f>'rajas modena'!L17</f>
        <v>151285</v>
      </c>
      <c r="D21" s="5">
        <f>'rajas modena'!M17</f>
        <v>152940</v>
      </c>
      <c r="E21" s="5">
        <f>'rajas modena'!N17</f>
        <v>156025</v>
      </c>
      <c r="F21" s="5">
        <f>'rajas modena'!O17</f>
        <v>170630</v>
      </c>
      <c r="G21" s="5">
        <f>'rajas modena'!P17</f>
        <v>153915</v>
      </c>
      <c r="H21" s="5">
        <f>'rajas modena'!Q17</f>
        <v>184160</v>
      </c>
      <c r="I21" s="6">
        <f>'rajas modena'!R17</f>
        <v>207440</v>
      </c>
    </row>
    <row r="22" spans="2:9" ht="14.25">
      <c r="B22" s="112" t="s">
        <v>139</v>
      </c>
      <c r="C22" s="117">
        <f>'rajas modena'!L18</f>
        <v>159195</v>
      </c>
      <c r="D22" s="5">
        <f>'rajas modena'!M18</f>
        <v>161120</v>
      </c>
      <c r="E22" s="5">
        <f>'rajas modena'!N18</f>
        <v>164725</v>
      </c>
      <c r="F22" s="5">
        <f>'rajas modena'!O18</f>
        <v>181750</v>
      </c>
      <c r="G22" s="5">
        <f>'rajas modena'!P18</f>
        <v>162255</v>
      </c>
      <c r="H22" s="5">
        <f>'rajas modena'!Q18</f>
        <v>197540</v>
      </c>
      <c r="I22" s="6">
        <f>'rajas modena'!R18</f>
        <v>220955</v>
      </c>
    </row>
    <row r="23" spans="2:9" ht="14.25">
      <c r="B23" s="112" t="s">
        <v>140</v>
      </c>
      <c r="C23" s="117">
        <f>'rajas modena'!L19</f>
        <v>167065</v>
      </c>
      <c r="D23" s="5">
        <f>'rajas modena'!M19</f>
        <v>169270</v>
      </c>
      <c r="E23" s="5">
        <f>'rajas modena'!N19</f>
        <v>173400</v>
      </c>
      <c r="F23" s="5">
        <f>'rajas modena'!O19</f>
        <v>192850</v>
      </c>
      <c r="G23" s="5">
        <f>'rajas modena'!P19</f>
        <v>170570</v>
      </c>
      <c r="H23" s="5">
        <f>'rajas modena'!Q19</f>
        <v>210895</v>
      </c>
      <c r="I23" s="6">
        <f>'rajas modena'!R19</f>
        <v>234440</v>
      </c>
    </row>
    <row r="24" spans="2:9" ht="14.25">
      <c r="B24" s="112" t="s">
        <v>141</v>
      </c>
      <c r="C24" s="117">
        <f>'rajas modena'!L20</f>
        <v>174940</v>
      </c>
      <c r="D24" s="5">
        <f>'rajas modena'!M20</f>
        <v>177420</v>
      </c>
      <c r="E24" s="5">
        <f>'rajas modena'!N20</f>
        <v>182070</v>
      </c>
      <c r="F24" s="5">
        <f>'rajas modena'!O20</f>
        <v>203945</v>
      </c>
      <c r="G24" s="5">
        <f>'rajas modena'!P20</f>
        <v>178880</v>
      </c>
      <c r="H24" s="5">
        <f>'rajas modena'!Q20</f>
        <v>224250</v>
      </c>
      <c r="I24" s="6">
        <f>'rajas modena'!R20</f>
        <v>247925</v>
      </c>
    </row>
    <row r="25" spans="2:9" ht="14.25">
      <c r="B25" s="112" t="s">
        <v>156</v>
      </c>
      <c r="C25" s="117">
        <f>'rajas modena'!L21</f>
        <v>135200</v>
      </c>
      <c r="D25" s="5">
        <f>'rajas modena'!M21</f>
        <v>136245</v>
      </c>
      <c r="E25" s="5">
        <f>'rajas modena'!N21</f>
        <v>138145</v>
      </c>
      <c r="F25" s="5">
        <f>'rajas modena'!O21</f>
        <v>147310</v>
      </c>
      <c r="G25" s="5">
        <f>'rajas modena'!P21</f>
        <v>136860</v>
      </c>
      <c r="H25" s="5">
        <f>'rajas modena'!Q21</f>
        <v>155770</v>
      </c>
      <c r="I25" s="6">
        <f>'rajas modena'!R21</f>
        <v>179680</v>
      </c>
    </row>
    <row r="26" spans="2:9" ht="14.25">
      <c r="B26" s="112" t="s">
        <v>157</v>
      </c>
      <c r="C26" s="117">
        <f>'rajas modena'!L22</f>
        <v>143410</v>
      </c>
      <c r="D26" s="5">
        <f>'rajas modena'!M22</f>
        <v>144790</v>
      </c>
      <c r="E26" s="5">
        <f>'rajas modena'!N22</f>
        <v>147355</v>
      </c>
      <c r="F26" s="5">
        <f>'rajas modena'!O22</f>
        <v>159535</v>
      </c>
      <c r="G26" s="5">
        <f>'rajas modena'!P22</f>
        <v>145605</v>
      </c>
      <c r="H26" s="5">
        <f>'rajas modena'!Q22</f>
        <v>170805</v>
      </c>
      <c r="I26" s="6">
        <f>'rajas modena'!R22</f>
        <v>193955</v>
      </c>
    </row>
    <row r="27" spans="2:9" ht="14.25">
      <c r="B27" s="112" t="s">
        <v>158</v>
      </c>
      <c r="C27" s="117">
        <f>'rajas modena'!L23</f>
        <v>151605</v>
      </c>
      <c r="D27" s="5">
        <f>'rajas modena'!M23</f>
        <v>153335</v>
      </c>
      <c r="E27" s="5">
        <f>'rajas modena'!N23</f>
        <v>156560</v>
      </c>
      <c r="F27" s="5">
        <f>'rajas modena'!O23</f>
        <v>171755</v>
      </c>
      <c r="G27" s="5">
        <f>'rajas modena'!P23</f>
        <v>154345</v>
      </c>
      <c r="H27" s="5">
        <f>'rajas modena'!Q23</f>
        <v>185845</v>
      </c>
      <c r="I27" s="6">
        <f>'rajas modena'!R23</f>
        <v>208230</v>
      </c>
    </row>
    <row r="28" spans="2:9" ht="14.25">
      <c r="B28" s="112" t="s">
        <v>159</v>
      </c>
      <c r="C28" s="117">
        <f>'rajas modena'!L24</f>
        <v>159845</v>
      </c>
      <c r="D28" s="5">
        <f>'rajas modena'!M24</f>
        <v>161905</v>
      </c>
      <c r="E28" s="5">
        <f>'rajas modena'!N24</f>
        <v>165795</v>
      </c>
      <c r="F28" s="5">
        <f>'rajas modena'!O24</f>
        <v>184120</v>
      </c>
      <c r="G28" s="5">
        <f>'rajas modena'!P24</f>
        <v>163115</v>
      </c>
      <c r="H28" s="5">
        <f>'rajas modena'!Q24</f>
        <v>200910</v>
      </c>
      <c r="I28" s="6">
        <f>'rajas modena'!R24</f>
        <v>222530</v>
      </c>
    </row>
    <row r="29" spans="2:9" ht="14.25">
      <c r="B29" s="112" t="s">
        <v>160</v>
      </c>
      <c r="C29" s="117">
        <f>'rajas modena'!L25</f>
        <v>168050</v>
      </c>
      <c r="D29" s="5">
        <f>'rajas modena'!M25</f>
        <v>170455</v>
      </c>
      <c r="E29" s="5">
        <f>'rajas modena'!N25</f>
        <v>175000</v>
      </c>
      <c r="F29" s="5">
        <f>'rajas modena'!O25</f>
        <v>196455</v>
      </c>
      <c r="G29" s="5">
        <f>'rajas modena'!P25</f>
        <v>171855</v>
      </c>
      <c r="H29" s="5">
        <f>'rajas modena'!Q25</f>
        <v>215945</v>
      </c>
      <c r="I29" s="6">
        <f>'rajas modena'!R25</f>
        <v>236805</v>
      </c>
    </row>
    <row r="30" spans="2:9" ht="14.25">
      <c r="B30" s="112" t="s">
        <v>161</v>
      </c>
      <c r="C30" s="117">
        <f>'rajas modena'!L26</f>
        <v>176260</v>
      </c>
      <c r="D30" s="5">
        <f>'rajas modena'!M26</f>
        <v>179000</v>
      </c>
      <c r="E30" s="5">
        <f>'rajas modena'!N26</f>
        <v>184205</v>
      </c>
      <c r="F30" s="5">
        <f>'rajas modena'!O26</f>
        <v>208795</v>
      </c>
      <c r="G30" s="5">
        <f>'rajas modena'!P26</f>
        <v>180600</v>
      </c>
      <c r="H30" s="5">
        <f>'rajas modena'!Q26</f>
        <v>230985</v>
      </c>
      <c r="I30" s="6">
        <f>'rajas modena'!R26</f>
        <v>251080</v>
      </c>
    </row>
    <row r="31" spans="2:9" ht="14.25">
      <c r="B31" s="112" t="s">
        <v>162</v>
      </c>
      <c r="C31" s="117">
        <f>'rajas modena'!L27</f>
        <v>184480</v>
      </c>
      <c r="D31" s="5">
        <f>'rajas modena'!M27</f>
        <v>187550</v>
      </c>
      <c r="E31" s="5">
        <f>'rajas modena'!N27</f>
        <v>193420</v>
      </c>
      <c r="F31" s="5">
        <f>'rajas modena'!O27</f>
        <v>221140</v>
      </c>
      <c r="G31" s="5">
        <f>'rajas modena'!P27</f>
        <v>189350</v>
      </c>
      <c r="H31" s="5">
        <f>'rajas modena'!Q27</f>
        <v>246030</v>
      </c>
      <c r="I31" s="6">
        <f>'rajas modena'!R27</f>
        <v>265360</v>
      </c>
    </row>
    <row r="32" spans="2:9" ht="14.25">
      <c r="B32" s="112" t="s">
        <v>163</v>
      </c>
      <c r="C32" s="117">
        <f>'rajas modena'!L28</f>
        <v>142750</v>
      </c>
      <c r="D32" s="5">
        <f>'rajas modena'!M28</f>
        <v>144005</v>
      </c>
      <c r="E32" s="5">
        <f>'rajas modena'!N28</f>
        <v>146290</v>
      </c>
      <c r="F32" s="5">
        <f>'rajas modena'!O28</f>
        <v>157280</v>
      </c>
      <c r="G32" s="5">
        <f>'rajas modena'!P28</f>
        <v>144745</v>
      </c>
      <c r="H32" s="5">
        <f>'rajas modena'!Q28</f>
        <v>167440</v>
      </c>
      <c r="I32" s="6">
        <f>'rajas modena'!R28</f>
        <v>192380</v>
      </c>
    </row>
    <row r="33" spans="2:9" ht="14.25">
      <c r="B33" s="112" t="s">
        <v>164</v>
      </c>
      <c r="C33" s="117">
        <f>'rajas modena'!L29</f>
        <v>151285</v>
      </c>
      <c r="D33" s="5">
        <f>'rajas modena'!M29</f>
        <v>152940</v>
      </c>
      <c r="E33" s="5">
        <f>'rajas modena'!N29</f>
        <v>156025</v>
      </c>
      <c r="F33" s="5">
        <f>'rajas modena'!O29</f>
        <v>170630</v>
      </c>
      <c r="G33" s="5">
        <f>'rajas modena'!P29</f>
        <v>153915</v>
      </c>
      <c r="H33" s="5">
        <f>'rajas modena'!Q29</f>
        <v>184160</v>
      </c>
      <c r="I33" s="6">
        <f>'rajas modena'!R29</f>
        <v>207440</v>
      </c>
    </row>
    <row r="34" spans="2:9" ht="14.25">
      <c r="B34" s="112" t="s">
        <v>165</v>
      </c>
      <c r="C34" s="117">
        <f>'rajas modena'!L30</f>
        <v>159845</v>
      </c>
      <c r="D34" s="5">
        <f>'rajas modena'!M30</f>
        <v>161905</v>
      </c>
      <c r="E34" s="5">
        <f>'rajas modena'!N30</f>
        <v>165795</v>
      </c>
      <c r="F34" s="5">
        <f>'rajas modena'!O30</f>
        <v>184120</v>
      </c>
      <c r="G34" s="5">
        <f>'rajas modena'!P30</f>
        <v>163115</v>
      </c>
      <c r="H34" s="5">
        <f>'rajas modena'!Q30</f>
        <v>200910</v>
      </c>
      <c r="I34" s="6">
        <f>'rajas modena'!R30</f>
        <v>222530</v>
      </c>
    </row>
    <row r="35" spans="2:9" ht="14.25">
      <c r="B35" s="112" t="s">
        <v>166</v>
      </c>
      <c r="C35" s="117">
        <f>'rajas modena'!L31</f>
        <v>168390</v>
      </c>
      <c r="D35" s="5">
        <f>'rajas modena'!M31</f>
        <v>170845</v>
      </c>
      <c r="E35" s="5">
        <f>'rajas modena'!N31</f>
        <v>175535</v>
      </c>
      <c r="F35" s="5">
        <f>'rajas modena'!O31</f>
        <v>197580</v>
      </c>
      <c r="G35" s="5">
        <f>'rajas modena'!P31</f>
        <v>172285</v>
      </c>
      <c r="H35" s="5">
        <f>'rajas modena'!Q31</f>
        <v>217630</v>
      </c>
      <c r="I35" s="6">
        <f>'rajas modena'!R31</f>
        <v>237595</v>
      </c>
    </row>
    <row r="36" spans="2:9" ht="14.25">
      <c r="B36" s="112" t="s">
        <v>167</v>
      </c>
      <c r="C36" s="117">
        <f>'rajas modena'!L32</f>
        <v>176925</v>
      </c>
      <c r="D36" s="5">
        <f>'rajas modena'!M32</f>
        <v>179785</v>
      </c>
      <c r="E36" s="5">
        <f>'rajas modena'!N32</f>
        <v>185275</v>
      </c>
      <c r="F36" s="5">
        <f>'rajas modena'!O32</f>
        <v>211045</v>
      </c>
      <c r="G36" s="5">
        <f>'rajas modena'!P32</f>
        <v>181455</v>
      </c>
      <c r="H36" s="5">
        <f>'rajas modena'!Q32</f>
        <v>234355</v>
      </c>
      <c r="I36" s="6">
        <f>'rajas modena'!R32</f>
        <v>252655</v>
      </c>
    </row>
    <row r="37" spans="2:9" ht="14.25">
      <c r="B37" s="112" t="s">
        <v>168</v>
      </c>
      <c r="C37" s="117">
        <f>'rajas modena'!L33</f>
        <v>185465</v>
      </c>
      <c r="D37" s="5">
        <f>'rajas modena'!M33</f>
        <v>188735</v>
      </c>
      <c r="E37" s="5">
        <f>'rajas modena'!N33</f>
        <v>195020</v>
      </c>
      <c r="F37" s="5">
        <f>'rajas modena'!O33</f>
        <v>224515</v>
      </c>
      <c r="G37" s="5">
        <f>'rajas modena'!P33</f>
        <v>190635</v>
      </c>
      <c r="H37" s="5">
        <f>'rajas modena'!Q33</f>
        <v>251085</v>
      </c>
      <c r="I37" s="6">
        <f>'rajas modena'!R33</f>
        <v>267730</v>
      </c>
    </row>
    <row r="38" spans="2:9" ht="14.25">
      <c r="B38" s="112" t="s">
        <v>169</v>
      </c>
      <c r="C38" s="117">
        <f>'rajas modena'!L34</f>
        <v>194015</v>
      </c>
      <c r="D38" s="5">
        <f>'rajas modena'!M34</f>
        <v>197690</v>
      </c>
      <c r="E38" s="5">
        <f>'rajas modena'!N34</f>
        <v>204780</v>
      </c>
      <c r="F38" s="5">
        <f>'rajas modena'!O34</f>
        <v>237995</v>
      </c>
      <c r="G38" s="5">
        <f>'rajas modena'!P34</f>
        <v>199825</v>
      </c>
      <c r="H38" s="5">
        <f>'rajas modena'!Q34</f>
        <v>267825</v>
      </c>
      <c r="I38" s="6">
        <f>'rajas modena'!R34</f>
        <v>282810</v>
      </c>
    </row>
    <row r="39" spans="2:9" ht="14.25">
      <c r="B39" s="112" t="s">
        <v>170</v>
      </c>
      <c r="C39" s="117">
        <f>'rajas modena'!L35</f>
        <v>150300</v>
      </c>
      <c r="D39" s="5">
        <f>'rajas modena'!M35</f>
        <v>151760</v>
      </c>
      <c r="E39" s="5">
        <f>'rajas modena'!N35</f>
        <v>154425</v>
      </c>
      <c r="F39" s="5">
        <f>'rajas modena'!O35</f>
        <v>167255</v>
      </c>
      <c r="G39" s="5">
        <f>'rajas modena'!P35</f>
        <v>152630</v>
      </c>
      <c r="H39" s="5">
        <f>'rajas modena'!Q35</f>
        <v>179110</v>
      </c>
      <c r="I39" s="6">
        <f>'rajas modena'!R35</f>
        <v>205075</v>
      </c>
    </row>
    <row r="40" spans="2:9" ht="14.25">
      <c r="B40" s="112" t="s">
        <v>260</v>
      </c>
      <c r="C40" s="117">
        <f>'rajas modena'!L36</f>
        <v>168050</v>
      </c>
      <c r="D40" s="5">
        <f>'rajas modena'!M36</f>
        <v>170455</v>
      </c>
      <c r="E40" s="5">
        <f>'rajas modena'!N36</f>
        <v>175000</v>
      </c>
      <c r="F40" s="5">
        <f>'rajas modena'!O36</f>
        <v>196455</v>
      </c>
      <c r="G40" s="5">
        <f>'rajas modena'!P36</f>
        <v>171855</v>
      </c>
      <c r="H40" s="5">
        <f>'rajas modena'!Q36</f>
        <v>215945</v>
      </c>
      <c r="I40" s="6">
        <f>'rajas modena'!R36</f>
        <v>236805</v>
      </c>
    </row>
    <row r="41" spans="2:9" ht="14.25">
      <c r="B41" s="112" t="s">
        <v>172</v>
      </c>
      <c r="C41" s="117">
        <f>'rajas modena'!L37</f>
        <v>176925</v>
      </c>
      <c r="D41" s="5">
        <f>'rajas modena'!M37</f>
        <v>179785</v>
      </c>
      <c r="E41" s="5">
        <f>'rajas modena'!N37</f>
        <v>185275</v>
      </c>
      <c r="F41" s="5">
        <f>'rajas modena'!O37</f>
        <v>211045</v>
      </c>
      <c r="G41" s="5">
        <f>'rajas modena'!P37</f>
        <v>181455</v>
      </c>
      <c r="H41" s="5">
        <f>'rajas modena'!Q37</f>
        <v>234355</v>
      </c>
      <c r="I41" s="6">
        <f>'rajas modena'!R37</f>
        <v>252655</v>
      </c>
    </row>
    <row r="42" spans="2:9" ht="14.25">
      <c r="B42" s="112" t="s">
        <v>173</v>
      </c>
      <c r="C42" s="117">
        <f>'rajas modena'!L38</f>
        <v>185790</v>
      </c>
      <c r="D42" s="5">
        <f>'rajas modena'!M38</f>
        <v>189130</v>
      </c>
      <c r="E42" s="5">
        <f>'rajas modena'!N38</f>
        <v>195555</v>
      </c>
      <c r="F42" s="5">
        <f>'rajas modena'!O38</f>
        <v>225640</v>
      </c>
      <c r="G42" s="5">
        <f>'rajas modena'!P38</f>
        <v>191065</v>
      </c>
      <c r="H42" s="5">
        <f>'rajas modena'!Q38</f>
        <v>252765</v>
      </c>
      <c r="I42" s="6">
        <f>'rajas modena'!R38</f>
        <v>268515</v>
      </c>
    </row>
    <row r="43" spans="2:9" ht="14.25">
      <c r="B43" s="112" t="s">
        <v>174</v>
      </c>
      <c r="C43" s="117">
        <f>'rajas modena'!L39</f>
        <v>194665</v>
      </c>
      <c r="D43" s="5">
        <f>'rajas modena'!M39</f>
        <v>198480</v>
      </c>
      <c r="E43" s="5">
        <f>'rajas modena'!N39</f>
        <v>205845</v>
      </c>
      <c r="F43" s="5">
        <f>'rajas modena'!O39</f>
        <v>240245</v>
      </c>
      <c r="G43" s="5">
        <f>'rajas modena'!P39</f>
        <v>200685</v>
      </c>
      <c r="H43" s="5">
        <f>'rajas modena'!Q39</f>
        <v>271190</v>
      </c>
      <c r="I43" s="6">
        <f>'rajas modena'!R39</f>
        <v>284390</v>
      </c>
    </row>
    <row r="44" spans="2:9" ht="14.25">
      <c r="B44" s="112" t="s">
        <v>175</v>
      </c>
      <c r="C44" s="117">
        <f>'rajas modena'!L40</f>
        <v>203525</v>
      </c>
      <c r="D44" s="5">
        <f>'rajas modena'!M40</f>
        <v>207815</v>
      </c>
      <c r="E44" s="5">
        <f>'rajas modena'!N40</f>
        <v>216120</v>
      </c>
      <c r="F44" s="5">
        <f>'rajas modena'!O40</f>
        <v>254830</v>
      </c>
      <c r="G44" s="5">
        <f>'rajas modena'!P40</f>
        <v>210285</v>
      </c>
      <c r="H44" s="5">
        <f>'rajas modena'!Q40</f>
        <v>289595</v>
      </c>
      <c r="I44" s="6">
        <f>'rajas modena'!R40</f>
        <v>300240</v>
      </c>
    </row>
    <row r="45" spans="2:9" ht="14.25">
      <c r="B45" s="112" t="s">
        <v>176</v>
      </c>
      <c r="C45" s="117">
        <f>'rajas modena'!L41</f>
        <v>157870</v>
      </c>
      <c r="D45" s="5">
        <f>'rajas modena'!M41</f>
        <v>159540</v>
      </c>
      <c r="E45" s="5">
        <f>'rajas modena'!N41</f>
        <v>162590</v>
      </c>
      <c r="F45" s="5">
        <f>'rajas modena'!O41</f>
        <v>177250</v>
      </c>
      <c r="G45" s="5">
        <f>'rajas modena'!P41</f>
        <v>160540</v>
      </c>
      <c r="H45" s="5">
        <f>'rajas modena'!Q41</f>
        <v>190805</v>
      </c>
      <c r="I45" s="6">
        <f>'rajas modena'!R41</f>
        <v>217800</v>
      </c>
    </row>
    <row r="46" spans="2:9" ht="14.25">
      <c r="B46" s="112" t="s">
        <v>177</v>
      </c>
      <c r="C46" s="117">
        <f>'rajas modena'!L42</f>
        <v>167065</v>
      </c>
      <c r="D46" s="5">
        <f>'rajas modena'!M42</f>
        <v>169270</v>
      </c>
      <c r="E46" s="5">
        <f>'rajas modena'!N42</f>
        <v>173400</v>
      </c>
      <c r="F46" s="5">
        <f>'rajas modena'!O42</f>
        <v>192850</v>
      </c>
      <c r="G46" s="5">
        <f>'rajas modena'!P42</f>
        <v>170570</v>
      </c>
      <c r="H46" s="5">
        <f>'rajas modena'!Q42</f>
        <v>210895</v>
      </c>
      <c r="I46" s="6">
        <f>'rajas modena'!R42</f>
        <v>234440</v>
      </c>
    </row>
    <row r="47" spans="2:9" ht="14.25">
      <c r="B47" s="112" t="s">
        <v>178</v>
      </c>
      <c r="C47" s="117">
        <f>'rajas modena'!L43</f>
        <v>176260</v>
      </c>
      <c r="D47" s="5">
        <f>'rajas modena'!M43</f>
        <v>179000</v>
      </c>
      <c r="E47" s="5">
        <f>'rajas modena'!N43</f>
        <v>184205</v>
      </c>
      <c r="F47" s="5">
        <f>'rajas modena'!O43</f>
        <v>208795</v>
      </c>
      <c r="G47" s="5">
        <f>'rajas modena'!P43</f>
        <v>180600</v>
      </c>
      <c r="H47" s="5">
        <f>'rajas modena'!Q43</f>
        <v>230985</v>
      </c>
      <c r="I47" s="6">
        <f>'rajas modena'!R43</f>
        <v>251080</v>
      </c>
    </row>
    <row r="48" spans="2:9" ht="14.25">
      <c r="B48" s="112" t="s">
        <v>179</v>
      </c>
      <c r="C48" s="117">
        <f>'rajas modena'!L44</f>
        <v>185465</v>
      </c>
      <c r="D48" s="5">
        <f>'rajas modena'!M44</f>
        <v>188735</v>
      </c>
      <c r="E48" s="5">
        <f>'rajas modena'!N44</f>
        <v>195020</v>
      </c>
      <c r="F48" s="5">
        <f>'rajas modena'!O44</f>
        <v>224515</v>
      </c>
      <c r="G48" s="5">
        <f>'rajas modena'!P44</f>
        <v>190635</v>
      </c>
      <c r="H48" s="5">
        <f>'rajas modena'!Q44</f>
        <v>251085</v>
      </c>
      <c r="I48" s="6">
        <f>'rajas modena'!R44</f>
        <v>267730</v>
      </c>
    </row>
    <row r="49" spans="2:9" ht="14.25">
      <c r="B49" s="112" t="s">
        <v>180</v>
      </c>
      <c r="C49" s="117">
        <f>'rajas modena'!L45</f>
        <v>194665</v>
      </c>
      <c r="D49" s="5">
        <f>'rajas modena'!M45</f>
        <v>198480</v>
      </c>
      <c r="E49" s="5">
        <f>'rajas modena'!N45</f>
        <v>205845</v>
      </c>
      <c r="F49" s="5">
        <f>'rajas modena'!O45</f>
        <v>240245</v>
      </c>
      <c r="G49" s="5">
        <f>'rajas modena'!P45</f>
        <v>200685</v>
      </c>
      <c r="H49" s="5">
        <f>'rajas modena'!Q45</f>
        <v>271190</v>
      </c>
      <c r="I49" s="6">
        <f>'rajas modena'!R45</f>
        <v>284390</v>
      </c>
    </row>
    <row r="50" spans="2:9" ht="14.25">
      <c r="B50" s="112" t="s">
        <v>181</v>
      </c>
      <c r="C50" s="117">
        <f>'rajas modena'!L46</f>
        <v>203860</v>
      </c>
      <c r="D50" s="5">
        <f>'rajas modena'!M46</f>
        <v>208210</v>
      </c>
      <c r="E50" s="5">
        <f>'rajas modena'!N46</f>
        <v>216650</v>
      </c>
      <c r="F50" s="5">
        <f>'rajas modena'!O46</f>
        <v>255955</v>
      </c>
      <c r="G50" s="5">
        <f>'rajas modena'!P46</f>
        <v>210715</v>
      </c>
      <c r="H50" s="5">
        <f>'rajas modena'!Q46</f>
        <v>291280</v>
      </c>
      <c r="I50" s="6">
        <f>'rajas modena'!R46</f>
        <v>301025</v>
      </c>
    </row>
    <row r="51" spans="2:9" ht="14.25">
      <c r="B51" s="112" t="s">
        <v>182</v>
      </c>
      <c r="C51" s="117">
        <f>'rajas modena'!L47</f>
        <v>213060</v>
      </c>
      <c r="D51" s="5">
        <f>'rajas modena'!M47</f>
        <v>217945</v>
      </c>
      <c r="E51" s="5">
        <f>'rajas modena'!N47</f>
        <v>227455</v>
      </c>
      <c r="F51" s="5">
        <f>'rajas modena'!O47</f>
        <v>271680</v>
      </c>
      <c r="G51" s="5">
        <f>'rajas modena'!P47</f>
        <v>220750</v>
      </c>
      <c r="H51" s="5">
        <f>'rajas modena'!Q47</f>
        <v>311380</v>
      </c>
      <c r="I51" s="6">
        <f>'rajas modena'!R47</f>
        <v>317675</v>
      </c>
    </row>
    <row r="52" spans="2:9" ht="14.25">
      <c r="B52" s="112" t="s">
        <v>183</v>
      </c>
      <c r="C52" s="117">
        <f>'rajas modena'!L48</f>
        <v>165420</v>
      </c>
      <c r="D52" s="5">
        <f>'rajas modena'!M48</f>
        <v>167295</v>
      </c>
      <c r="E52" s="5">
        <f>'rajas modena'!N48</f>
        <v>170730</v>
      </c>
      <c r="F52" s="5">
        <f>'rajas modena'!O48</f>
        <v>187225</v>
      </c>
      <c r="G52" s="5">
        <f>'rajas modena'!P48</f>
        <v>168425</v>
      </c>
      <c r="H52" s="5">
        <f>'rajas modena'!Q48</f>
        <v>202475</v>
      </c>
      <c r="I52" s="6">
        <f>'rajas modena'!R48</f>
        <v>230495</v>
      </c>
    </row>
    <row r="53" spans="2:9" ht="14.25">
      <c r="B53" s="112" t="s">
        <v>184</v>
      </c>
      <c r="C53" s="117">
        <f>'rajas modena'!L49</f>
        <v>174940</v>
      </c>
      <c r="D53" s="5">
        <f>'rajas modena'!M49</f>
        <v>177420</v>
      </c>
      <c r="E53" s="5">
        <f>'rajas modena'!N49</f>
        <v>182070</v>
      </c>
      <c r="F53" s="5">
        <f>'rajas modena'!O49</f>
        <v>203945</v>
      </c>
      <c r="G53" s="5">
        <f>'rajas modena'!P49</f>
        <v>178880</v>
      </c>
      <c r="H53" s="5">
        <f>'rajas modena'!Q49</f>
        <v>224250</v>
      </c>
      <c r="I53" s="6">
        <f>'rajas modena'!R49</f>
        <v>247925</v>
      </c>
    </row>
    <row r="54" spans="2:9" ht="14.25">
      <c r="B54" s="112" t="s">
        <v>185</v>
      </c>
      <c r="C54" s="117">
        <f>'rajas modena'!L50</f>
        <v>184480</v>
      </c>
      <c r="D54" s="5">
        <f>'rajas modena'!M50</f>
        <v>187550</v>
      </c>
      <c r="E54" s="5">
        <f>'rajas modena'!N50</f>
        <v>193420</v>
      </c>
      <c r="F54" s="5">
        <f>'rajas modena'!O50</f>
        <v>221140</v>
      </c>
      <c r="G54" s="5">
        <f>'rajas modena'!P50</f>
        <v>189350</v>
      </c>
      <c r="H54" s="5">
        <f>'rajas modena'!Q50</f>
        <v>246030</v>
      </c>
      <c r="I54" s="6">
        <f>'rajas modena'!R50</f>
        <v>265360</v>
      </c>
    </row>
    <row r="55" spans="2:9" ht="14.25">
      <c r="B55" s="112" t="s">
        <v>186</v>
      </c>
      <c r="C55" s="117">
        <f>'rajas modena'!L51</f>
        <v>194015</v>
      </c>
      <c r="D55" s="5">
        <f>'rajas modena'!M51</f>
        <v>197690</v>
      </c>
      <c r="E55" s="5">
        <f>'rajas modena'!N51</f>
        <v>204780</v>
      </c>
      <c r="F55" s="5">
        <f>'rajas modena'!O51</f>
        <v>237995</v>
      </c>
      <c r="G55" s="5">
        <f>'rajas modena'!P51</f>
        <v>199825</v>
      </c>
      <c r="H55" s="5">
        <f>'rajas modena'!Q51</f>
        <v>267825</v>
      </c>
      <c r="I55" s="6">
        <f>'rajas modena'!R51</f>
        <v>282810</v>
      </c>
    </row>
    <row r="56" spans="2:9" ht="14.25">
      <c r="B56" s="112" t="s">
        <v>187</v>
      </c>
      <c r="C56" s="117">
        <f>'rajas modena'!L52</f>
        <v>203525</v>
      </c>
      <c r="D56" s="5">
        <f>'rajas modena'!M52</f>
        <v>207815</v>
      </c>
      <c r="E56" s="5">
        <f>'rajas modena'!N52</f>
        <v>216120</v>
      </c>
      <c r="F56" s="5">
        <f>'rajas modena'!O52</f>
        <v>254830</v>
      </c>
      <c r="G56" s="5">
        <f>'rajas modena'!P52</f>
        <v>210285</v>
      </c>
      <c r="H56" s="5">
        <f>'rajas modena'!Q52</f>
        <v>289595</v>
      </c>
      <c r="I56" s="6">
        <f>'rajas modena'!R52</f>
        <v>300240</v>
      </c>
    </row>
    <row r="57" spans="2:9" ht="14.25">
      <c r="B57" s="112" t="s">
        <v>188</v>
      </c>
      <c r="C57" s="117">
        <f>'rajas modena'!L53</f>
        <v>213060</v>
      </c>
      <c r="D57" s="5">
        <f>'rajas modena'!M53</f>
        <v>217945</v>
      </c>
      <c r="E57" s="5">
        <f>'rajas modena'!N53</f>
        <v>227455</v>
      </c>
      <c r="F57" s="5">
        <f>'rajas modena'!O53</f>
        <v>271680</v>
      </c>
      <c r="G57" s="5">
        <f>'rajas modena'!P53</f>
        <v>220750</v>
      </c>
      <c r="H57" s="5">
        <f>'rajas modena'!Q53</f>
        <v>311380</v>
      </c>
      <c r="I57" s="6">
        <f>'rajas modena'!R53</f>
        <v>317675</v>
      </c>
    </row>
    <row r="58" spans="2:9" ht="14.25">
      <c r="B58" s="112" t="s">
        <v>15</v>
      </c>
      <c r="C58" s="117">
        <f>'rajas modena'!L54</f>
        <v>222595</v>
      </c>
      <c r="D58" s="5">
        <f>'rajas modena'!M54</f>
        <v>227465</v>
      </c>
      <c r="E58" s="5">
        <f>'rajas modena'!N54</f>
        <v>238785</v>
      </c>
      <c r="F58" s="5">
        <f>'rajas modena'!O54</f>
        <v>287900</v>
      </c>
      <c r="G58" s="5">
        <f>'rajas modena'!P54</f>
        <v>231210</v>
      </c>
      <c r="H58" s="5">
        <f>'rajas modena'!Q54</f>
        <v>333155</v>
      </c>
      <c r="I58" s="6">
        <f>'rajas modena'!R54</f>
        <v>333900</v>
      </c>
    </row>
    <row r="59" spans="2:9" ht="14.25">
      <c r="B59" s="112" t="s">
        <v>189</v>
      </c>
      <c r="C59" s="117">
        <f>'rajas modena'!L55</f>
        <v>172970</v>
      </c>
      <c r="D59" s="5">
        <f>'rajas modena'!M55</f>
        <v>175055</v>
      </c>
      <c r="E59" s="5">
        <f>'rajas modena'!N55</f>
        <v>178880</v>
      </c>
      <c r="F59" s="5">
        <f>'rajas modena'!O55</f>
        <v>197160</v>
      </c>
      <c r="G59" s="5">
        <f>'rajas modena'!P55</f>
        <v>176260</v>
      </c>
      <c r="H59" s="5">
        <f>'rajas modena'!Q55</f>
        <v>214060</v>
      </c>
      <c r="I59" s="6">
        <f>'rajas modena'!R55</f>
        <v>243195</v>
      </c>
    </row>
    <row r="60" spans="2:9" ht="14.25">
      <c r="B60" s="112" t="s">
        <v>190</v>
      </c>
      <c r="C60" s="117">
        <f>'rajas modena'!L56</f>
        <v>182830</v>
      </c>
      <c r="D60" s="5">
        <f>'rajas modena'!M56</f>
        <v>185605</v>
      </c>
      <c r="E60" s="5">
        <f>'rajas modena'!N56</f>
        <v>190705</v>
      </c>
      <c r="F60" s="5">
        <f>'rajas modena'!O56</f>
        <v>215085</v>
      </c>
      <c r="G60" s="5">
        <f>'rajas modena'!P56</f>
        <v>187215</v>
      </c>
      <c r="H60" s="5">
        <f>'rajas modena'!Q56</f>
        <v>237625</v>
      </c>
      <c r="I60" s="6">
        <f>'rajas modena'!R56</f>
        <v>261465</v>
      </c>
    </row>
    <row r="61" spans="2:9" ht="14.25">
      <c r="B61" s="112" t="s">
        <v>191</v>
      </c>
      <c r="C61" s="117">
        <f>'rajas modena'!L57</f>
        <v>192705</v>
      </c>
      <c r="D61" s="5">
        <f>'rajas modena'!M57</f>
        <v>196175</v>
      </c>
      <c r="E61" s="5">
        <f>'rajas modena'!N57</f>
        <v>202540</v>
      </c>
      <c r="F61" s="5">
        <f>'rajas modena'!O57</f>
        <v>233020</v>
      </c>
      <c r="G61" s="5">
        <f>'rajas modena'!P57</f>
        <v>198180</v>
      </c>
      <c r="H61" s="5">
        <f>'rajas modena'!Q57</f>
        <v>261200</v>
      </c>
      <c r="I61" s="6">
        <f>'rajas modena'!R57</f>
        <v>279770</v>
      </c>
    </row>
    <row r="62" spans="2:9" ht="14.25">
      <c r="B62" s="112" t="s">
        <v>192</v>
      </c>
      <c r="C62" s="117">
        <f>'rajas modena'!L58</f>
        <v>202560</v>
      </c>
      <c r="D62" s="5">
        <f>'rajas modena'!M58</f>
        <v>206710</v>
      </c>
      <c r="E62" s="5">
        <f>'rajas modena'!N58</f>
        <v>214355</v>
      </c>
      <c r="F62" s="5">
        <f>'rajas modena'!O58</f>
        <v>250935</v>
      </c>
      <c r="G62" s="5">
        <f>'rajas modena'!P58</f>
        <v>209125</v>
      </c>
      <c r="H62" s="5">
        <f>'rajas modena'!Q58</f>
        <v>284755</v>
      </c>
      <c r="I62" s="6">
        <f>'rajas modena'!R58</f>
        <v>298035</v>
      </c>
    </row>
    <row r="63" spans="2:9" ht="14.25">
      <c r="B63" s="112" t="s">
        <v>193</v>
      </c>
      <c r="C63" s="117">
        <f>'rajas modena'!L59</f>
        <v>212425</v>
      </c>
      <c r="D63" s="5">
        <f>'rajas modena'!M59</f>
        <v>217260</v>
      </c>
      <c r="E63" s="5">
        <f>'rajas modena'!N59</f>
        <v>226180</v>
      </c>
      <c r="F63" s="5">
        <f>'rajas modena'!O59</f>
        <v>268860</v>
      </c>
      <c r="G63" s="5">
        <f>'rajas modena'!P59</f>
        <v>220080</v>
      </c>
      <c r="H63" s="5">
        <f>'rajas modena'!Q59</f>
        <v>308315</v>
      </c>
      <c r="I63" s="6">
        <f>'rajas modena'!R59</f>
        <v>316305</v>
      </c>
    </row>
    <row r="64" spans="2:9" ht="14.25">
      <c r="B64" s="112" t="s">
        <v>194</v>
      </c>
      <c r="C64" s="117">
        <f>'rajas modena'!L60</f>
        <v>222280</v>
      </c>
      <c r="D64" s="5">
        <f>'rajas modena'!M60</f>
        <v>227800</v>
      </c>
      <c r="E64" s="5">
        <f>'rajas modena'!N60</f>
        <v>237995</v>
      </c>
      <c r="F64" s="5">
        <f>'rajas modena'!O60</f>
        <v>286780</v>
      </c>
      <c r="G64" s="5">
        <f>'rajas modena'!P60</f>
        <v>231025</v>
      </c>
      <c r="H64" s="5">
        <f>'rajas modena'!Q60</f>
        <v>331875</v>
      </c>
      <c r="I64" s="6">
        <f>'rajas modena'!R60</f>
        <v>334570</v>
      </c>
    </row>
    <row r="65" spans="2:9" ht="14.25">
      <c r="B65" s="112" t="s">
        <v>58</v>
      </c>
      <c r="C65" s="117">
        <f>'rajas modena'!L61</f>
        <v>232165</v>
      </c>
      <c r="D65" s="5">
        <f>'rajas modena'!M61</f>
        <v>238370</v>
      </c>
      <c r="E65" s="5">
        <f>'rajas modena'!N61</f>
        <v>249840</v>
      </c>
      <c r="F65" s="5">
        <f>'rajas modena'!O61</f>
        <v>304720</v>
      </c>
      <c r="G65" s="5">
        <f>'rajas modena'!P61</f>
        <v>242000</v>
      </c>
      <c r="H65" s="5">
        <f>'rajas modena'!Q61</f>
        <v>355455</v>
      </c>
      <c r="I65" s="6">
        <f>'rajas modena'!R61</f>
        <v>352860</v>
      </c>
    </row>
    <row r="66" spans="2:9" ht="14.25">
      <c r="B66" s="112" t="s">
        <v>142</v>
      </c>
      <c r="C66" s="117">
        <f>'rajas modena'!L62</f>
        <v>179435</v>
      </c>
      <c r="D66" s="5">
        <f>'rajas modena'!M62</f>
        <v>181720</v>
      </c>
      <c r="E66" s="5">
        <f>'rajas modena'!N62</f>
        <v>185930</v>
      </c>
      <c r="F66" s="5">
        <f>'rajas modena'!O62</f>
        <v>206045</v>
      </c>
      <c r="G66" s="5">
        <f>'rajas modena'!P62</f>
        <v>183045</v>
      </c>
      <c r="H66" s="5">
        <f>'rajas modena'!Q62</f>
        <v>224625</v>
      </c>
      <c r="I66" s="6">
        <f>'rajas modena'!R62</f>
        <v>254800</v>
      </c>
    </row>
    <row r="67" spans="2:9" ht="14.25">
      <c r="B67" s="112" t="s">
        <v>143</v>
      </c>
      <c r="C67" s="117">
        <f>'rajas modena'!L63</f>
        <v>189810</v>
      </c>
      <c r="D67" s="5">
        <f>'rajas modena'!M63</f>
        <v>192860</v>
      </c>
      <c r="E67" s="5">
        <f>'rajas modena'!N63</f>
        <v>198475</v>
      </c>
      <c r="F67" s="5">
        <f>'rajas modena'!O63</f>
        <v>225285</v>
      </c>
      <c r="G67" s="5">
        <f>'rajas modena'!P63</f>
        <v>194620</v>
      </c>
      <c r="H67" s="5">
        <f>'rajas modena'!Q63</f>
        <v>250070</v>
      </c>
      <c r="I67" s="6">
        <f>'rajas modena'!R63</f>
        <v>274070</v>
      </c>
    </row>
    <row r="68" spans="2:9" ht="14.25">
      <c r="B68" s="112" t="s">
        <v>144</v>
      </c>
      <c r="C68" s="117">
        <f>'rajas modena'!L64</f>
        <v>201105</v>
      </c>
      <c r="D68" s="5">
        <f>'rajas modena'!M64</f>
        <v>204920</v>
      </c>
      <c r="E68" s="5">
        <f>'rajas modena'!N64</f>
        <v>211940</v>
      </c>
      <c r="F68" s="5">
        <f>'rajas modena'!O64</f>
        <v>245455</v>
      </c>
      <c r="G68" s="5">
        <f>'rajas modena'!P64</f>
        <v>207125</v>
      </c>
      <c r="H68" s="5">
        <f>'rajas modena'!Q64</f>
        <v>276440</v>
      </c>
      <c r="I68" s="6">
        <f>'rajas modena'!R64</f>
        <v>294260</v>
      </c>
    </row>
    <row r="69" spans="2:9" ht="14.25">
      <c r="B69" s="112" t="s">
        <v>145</v>
      </c>
      <c r="C69" s="117">
        <f>'rajas modena'!L65</f>
        <v>212455</v>
      </c>
      <c r="D69" s="5">
        <f>'rajas modena'!M65</f>
        <v>217035</v>
      </c>
      <c r="E69" s="5">
        <f>'rajas modena'!N65</f>
        <v>225455</v>
      </c>
      <c r="F69" s="5">
        <f>'rajas modena'!O65</f>
        <v>265675</v>
      </c>
      <c r="G69" s="5">
        <f>'rajas modena'!P65</f>
        <v>219680</v>
      </c>
      <c r="H69" s="5">
        <f>'rajas modena'!Q65</f>
        <v>302860</v>
      </c>
      <c r="I69" s="6">
        <f>'rajas modena'!R65</f>
        <v>314505</v>
      </c>
    </row>
    <row r="70" spans="2:9" ht="14.25">
      <c r="B70" s="112" t="s">
        <v>146</v>
      </c>
      <c r="C70" s="117">
        <f>'rajas modena'!L66</f>
        <v>221020</v>
      </c>
      <c r="D70" s="5">
        <f>'rajas modena'!M66</f>
        <v>226370</v>
      </c>
      <c r="E70" s="5">
        <f>'rajas modena'!N66</f>
        <v>236195</v>
      </c>
      <c r="F70" s="5">
        <f>'rajas modena'!O66</f>
        <v>283120</v>
      </c>
      <c r="G70" s="5">
        <f>'rajas modena'!P66</f>
        <v>229455</v>
      </c>
      <c r="H70" s="5">
        <f>'rajas modena'!Q66</f>
        <v>326505</v>
      </c>
      <c r="I70" s="6">
        <f>'rajas modena'!R66</f>
        <v>331970</v>
      </c>
    </row>
    <row r="71" spans="2:9" ht="14.25">
      <c r="B71" s="112" t="s">
        <v>147</v>
      </c>
      <c r="C71" s="117">
        <f>'rajas modena'!L67</f>
        <v>230905</v>
      </c>
      <c r="D71" s="5">
        <f>'rajas modena'!M67</f>
        <v>237020</v>
      </c>
      <c r="E71" s="5">
        <f>'rajas modena'!N67</f>
        <v>248245</v>
      </c>
      <c r="F71" s="5">
        <f>'rajas modena'!O67</f>
        <v>301875</v>
      </c>
      <c r="G71" s="5">
        <f>'rajas modena'!P67</f>
        <v>240545</v>
      </c>
      <c r="H71" s="5">
        <f>'rajas modena'!Q67</f>
        <v>351460</v>
      </c>
      <c r="I71" s="6">
        <f>'rajas modena'!R67</f>
        <v>350745</v>
      </c>
    </row>
    <row r="72" spans="2:9" ht="14.25">
      <c r="B72" s="112" t="s">
        <v>107</v>
      </c>
      <c r="C72" s="117">
        <f>'rajas modena'!L68</f>
        <v>241790</v>
      </c>
      <c r="D72" s="5">
        <f>'rajas modena'!M68</f>
        <v>248670</v>
      </c>
      <c r="E72" s="5">
        <f>'rajas modena'!N68</f>
        <v>261300</v>
      </c>
      <c r="F72" s="5">
        <f>'rajas modena'!O68</f>
        <v>321635</v>
      </c>
      <c r="G72" s="5">
        <f>'rajas modena'!P68</f>
        <v>252635</v>
      </c>
      <c r="H72" s="5">
        <f>'rajas modena'!Q68</f>
        <v>377420</v>
      </c>
      <c r="I72" s="6">
        <f>'rajas modena'!R68</f>
        <v>370530</v>
      </c>
    </row>
    <row r="73" spans="2:9" ht="14.25">
      <c r="B73" s="112" t="s">
        <v>148</v>
      </c>
      <c r="C73" s="117">
        <f>'rajas modena'!L69</f>
        <v>203205</v>
      </c>
      <c r="D73" s="5">
        <f>'rajas modena'!M69</f>
        <v>206120</v>
      </c>
      <c r="E73" s="5">
        <f>'rajas modena'!N69</f>
        <v>211475</v>
      </c>
      <c r="F73" s="5">
        <f>'rajas modena'!O69</f>
        <v>237075</v>
      </c>
      <c r="G73" s="5">
        <f>'rajas modena'!P69</f>
        <v>207810</v>
      </c>
      <c r="H73" s="5">
        <f>'rajas modena'!Q69</f>
        <v>260735</v>
      </c>
      <c r="I73" s="6">
        <f>'rajas modena'!R69</f>
        <v>294020</v>
      </c>
    </row>
    <row r="74" spans="2:9" ht="14.25">
      <c r="B74" s="112" t="s">
        <v>149</v>
      </c>
      <c r="C74" s="117">
        <f>'rajas modena'!L70</f>
        <v>214375</v>
      </c>
      <c r="D74" s="5">
        <f>'rajas modena'!M70</f>
        <v>218260</v>
      </c>
      <c r="E74" s="5">
        <f>'rajas modena'!N70</f>
        <v>225405</v>
      </c>
      <c r="F74" s="5">
        <f>'rajas modena'!O70</f>
        <v>259525</v>
      </c>
      <c r="G74" s="5">
        <f>'rajas modena'!P70</f>
        <v>220510</v>
      </c>
      <c r="H74" s="5">
        <f>'rajas modena'!Q70</f>
        <v>291070</v>
      </c>
      <c r="I74" s="6">
        <f>'rajas modena'!R70</f>
        <v>315485</v>
      </c>
    </row>
    <row r="75" spans="2:9" ht="14.25">
      <c r="B75" s="112" t="s">
        <v>150</v>
      </c>
      <c r="C75" s="117">
        <f>'rajas modena'!L71</f>
        <v>225565</v>
      </c>
      <c r="D75" s="5">
        <f>'rajas modena'!M71</f>
        <v>230425</v>
      </c>
      <c r="E75" s="5">
        <f>'rajas modena'!N71</f>
        <v>239355</v>
      </c>
      <c r="F75" s="5">
        <f>'rajas modena'!O71</f>
        <v>282000</v>
      </c>
      <c r="G75" s="5">
        <f>'rajas modena'!P71</f>
        <v>233230</v>
      </c>
      <c r="H75" s="5">
        <f>'rajas modena'!Q71</f>
        <v>321425</v>
      </c>
      <c r="I75" s="6">
        <f>'rajas modena'!R71</f>
        <v>336975</v>
      </c>
    </row>
    <row r="76" spans="2:9" ht="14.25">
      <c r="B76" s="112" t="s">
        <v>151</v>
      </c>
      <c r="C76" s="117">
        <f>'rajas modena'!L72</f>
        <v>236695</v>
      </c>
      <c r="D76" s="5">
        <f>'rajas modena'!M72</f>
        <v>242530</v>
      </c>
      <c r="E76" s="5">
        <f>'rajas modena'!N72</f>
        <v>253245</v>
      </c>
      <c r="F76" s="5">
        <f>'rajas modena'!O72</f>
        <v>304415</v>
      </c>
      <c r="G76" s="5">
        <f>'rajas modena'!P72</f>
        <v>245895</v>
      </c>
      <c r="H76" s="5">
        <f>'rajas modena'!Q72</f>
        <v>351725</v>
      </c>
      <c r="I76" s="6">
        <f>'rajas modena'!R72</f>
        <v>358405</v>
      </c>
    </row>
    <row r="77" spans="2:9" ht="14.25">
      <c r="B77" s="112" t="s">
        <v>152</v>
      </c>
      <c r="C77" s="117">
        <f>'rajas modena'!L73</f>
        <v>247905</v>
      </c>
      <c r="D77" s="5">
        <f>'rajas modena'!M73</f>
        <v>254710</v>
      </c>
      <c r="E77" s="5">
        <f>'rajas modena'!N73</f>
        <v>267215</v>
      </c>
      <c r="F77" s="5">
        <f>'rajas modena'!O73</f>
        <v>326910</v>
      </c>
      <c r="G77" s="5">
        <f>'rajas modena'!P73</f>
        <v>258630</v>
      </c>
      <c r="H77" s="5">
        <f>'rajas modena'!Q73</f>
        <v>373330</v>
      </c>
      <c r="I77" s="6">
        <f>'rajas modena'!R73</f>
        <v>379910</v>
      </c>
    </row>
    <row r="78" spans="2:9" ht="14.25">
      <c r="B78" s="112" t="s">
        <v>153</v>
      </c>
      <c r="C78" s="117">
        <f>'rajas modena'!L74</f>
        <v>259085</v>
      </c>
      <c r="D78" s="5">
        <f>'rajas modena'!M74</f>
        <v>266870</v>
      </c>
      <c r="E78" s="5">
        <f>'rajas modena'!N74</f>
        <v>281155</v>
      </c>
      <c r="F78" s="5">
        <f>'rajas modena'!O74</f>
        <v>349375</v>
      </c>
      <c r="G78" s="5">
        <f>'rajas modena'!P74</f>
        <v>271345</v>
      </c>
      <c r="H78" s="5">
        <f>'rajas modena'!Q74</f>
        <v>394910</v>
      </c>
      <c r="I78" s="6">
        <f>'rajas modena'!R74</f>
        <v>401390</v>
      </c>
    </row>
    <row r="79" spans="2:9" ht="14.65" thickBot="1">
      <c r="B79" s="113" t="s">
        <v>114</v>
      </c>
      <c r="C79" s="118">
        <f>'rajas modena'!L75</f>
        <v>270260</v>
      </c>
      <c r="D79" s="10">
        <f>'rajas modena'!M75</f>
        <v>279015</v>
      </c>
      <c r="E79" s="10">
        <f>'rajas modena'!N75</f>
        <v>295090</v>
      </c>
      <c r="F79" s="10">
        <f>'rajas modena'!O75</f>
        <v>371835</v>
      </c>
      <c r="G79" s="10">
        <f>'rajas modena'!P75</f>
        <v>284050</v>
      </c>
      <c r="H79" s="10">
        <f>'rajas modena'!Q75</f>
        <v>425250</v>
      </c>
      <c r="I79" s="11">
        <f>'rajas modena'!R75</f>
        <v>422865</v>
      </c>
    </row>
  </sheetData>
  <mergeCells count="3">
    <mergeCell ref="B6:I6"/>
    <mergeCell ref="B7:I7"/>
    <mergeCell ref="B9:I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5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" id="{1BCE1A19-504A-4DDF-9E08-8A7F4FE92F48}">
            <xm:f>'rajas modena'!$C$2="VERDE"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32" id="{E2AA3BA1-C56C-4E74-AD27-C5BE8BE02C1F}">
            <xm:f>'rajas modena'!$C$2="AZUL"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33" id="{D24F2909-4938-4BB5-AF60-82021E52963C}">
            <xm:f>'rajas modena'!$C$2="AMARILLA"</xm:f>
            <x14:dxf>
              <fill>
                <patternFill>
                  <bgColor rgb="FFFFFF00"/>
                </patternFill>
              </fill>
            </x14:dxf>
          </x14:cfRule>
          <xm:sqref>B9:I10 B11:B79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C65F-00E6-4AA1-AEDA-495A8D8DF84C}">
  <sheetPr codeName="Hoja25">
    <tabColor rgb="FF00B050"/>
    <pageSetUpPr fitToPage="1"/>
  </sheetPr>
  <dimension ref="B6:I32"/>
  <sheetViews>
    <sheetView topLeftCell="A34" zoomScale="55" zoomScaleNormal="55" workbookViewId="0">
      <selection activeCell="H87" sqref="H87"/>
    </sheetView>
  </sheetViews>
  <sheetFormatPr baseColWidth="10" defaultRowHeight="12.75"/>
  <cols>
    <col min="1" max="1" width="10.6640625" style="1"/>
    <col min="2" max="2" width="17.86328125" style="1" customWidth="1"/>
    <col min="3" max="3" width="14.265625" style="1" customWidth="1"/>
    <col min="4" max="4" width="10.6640625" style="1"/>
    <col min="5" max="5" width="14.59765625" style="1" customWidth="1"/>
    <col min="6" max="6" width="10.6640625" style="1"/>
    <col min="7" max="7" width="15.59765625" style="1" customWidth="1"/>
    <col min="8" max="8" width="10.6640625" style="1"/>
    <col min="9" max="9" width="14.265625" style="1" customWidth="1"/>
    <col min="10" max="16384" width="10.6640625" style="1"/>
  </cols>
  <sheetData>
    <row r="6" spans="2:9" ht="13.15">
      <c r="B6" s="345" t="s">
        <v>21</v>
      </c>
      <c r="C6" s="345"/>
      <c r="D6" s="345"/>
      <c r="E6" s="345"/>
      <c r="F6" s="345"/>
      <c r="G6" s="345"/>
      <c r="H6" s="345"/>
      <c r="I6" s="345"/>
    </row>
    <row r="7" spans="2:9" ht="13.15">
      <c r="B7" s="345" t="s">
        <v>22</v>
      </c>
      <c r="C7" s="345"/>
      <c r="D7" s="345"/>
      <c r="E7" s="345"/>
      <c r="F7" s="345"/>
      <c r="G7" s="345"/>
      <c r="H7" s="345"/>
      <c r="I7" s="345"/>
    </row>
    <row r="8" spans="2:9" ht="13.15" thickBot="1"/>
    <row r="9" spans="2:9" ht="21.4" thickBot="1">
      <c r="B9" s="353" t="s">
        <v>268</v>
      </c>
      <c r="C9" s="354"/>
      <c r="D9" s="354"/>
      <c r="E9" s="354"/>
      <c r="F9" s="354"/>
      <c r="G9" s="354"/>
      <c r="H9" s="354"/>
      <c r="I9" s="355"/>
    </row>
    <row r="10" spans="2:9" ht="16.899999999999999" thickBot="1">
      <c r="B10" s="137" t="s">
        <v>228</v>
      </c>
      <c r="C10" s="138" t="s">
        <v>263</v>
      </c>
      <c r="D10" s="139" t="s">
        <v>264</v>
      </c>
      <c r="E10" s="139" t="s">
        <v>265</v>
      </c>
      <c r="F10" s="139" t="s">
        <v>200</v>
      </c>
      <c r="G10" s="139" t="s">
        <v>201</v>
      </c>
      <c r="H10" s="139" t="s">
        <v>259</v>
      </c>
      <c r="I10" s="140" t="s">
        <v>255</v>
      </c>
    </row>
    <row r="11" spans="2:9" ht="16.899999999999999">
      <c r="B11" s="141" t="s">
        <v>203</v>
      </c>
      <c r="C11" s="142">
        <f>'puertas modena'!L7</f>
        <v>377485</v>
      </c>
      <c r="D11" s="142">
        <f>'puertas modena'!M7</f>
        <v>367700</v>
      </c>
      <c r="E11" s="142">
        <f>'puertas modena'!N7</f>
        <v>377485</v>
      </c>
      <c r="F11" s="142">
        <f>'puertas modena'!O7</f>
        <v>370805</v>
      </c>
      <c r="G11" s="142">
        <f>'puertas modena'!P7</f>
        <v>424780</v>
      </c>
      <c r="H11" s="142">
        <f>'puertas modena'!Q7</f>
        <v>468430</v>
      </c>
      <c r="I11" s="233">
        <f>'puertas modena'!R7</f>
        <v>488985</v>
      </c>
    </row>
    <row r="12" spans="2:9" ht="16.899999999999999">
      <c r="B12" s="143" t="s">
        <v>205</v>
      </c>
      <c r="C12" s="142">
        <f>'puertas modena'!L8</f>
        <v>372575</v>
      </c>
      <c r="D12" s="142">
        <f>'puertas modena'!M8</f>
        <v>403430</v>
      </c>
      <c r="E12" s="142">
        <f>'puertas modena'!N8</f>
        <v>372575</v>
      </c>
      <c r="F12" s="142">
        <f>'puertas modena'!O8</f>
        <v>406535</v>
      </c>
      <c r="G12" s="142">
        <f>'puertas modena'!P8</f>
        <v>460505</v>
      </c>
      <c r="H12" s="142">
        <f>'puertas modena'!Q8</f>
        <v>372575</v>
      </c>
      <c r="I12" s="233">
        <f>'puertas modena'!R8</f>
        <v>434285</v>
      </c>
    </row>
    <row r="13" spans="2:9" ht="16.899999999999999">
      <c r="B13" s="143" t="s">
        <v>206</v>
      </c>
      <c r="C13" s="142">
        <f>'puertas modena'!L9</f>
        <v>388200</v>
      </c>
      <c r="D13" s="142">
        <f>'puertas modena'!M9</f>
        <v>378950</v>
      </c>
      <c r="E13" s="142">
        <f>'puertas modena'!N9</f>
        <v>388200</v>
      </c>
      <c r="F13" s="142">
        <f>'puertas modena'!O9</f>
        <v>381880</v>
      </c>
      <c r="G13" s="142">
        <f>'puertas modena'!P9</f>
        <v>433015</v>
      </c>
      <c r="H13" s="142">
        <f>'puertas modena'!Q9</f>
        <v>474360</v>
      </c>
      <c r="I13" s="233">
        <f>'puertas modena'!R9</f>
        <v>524450</v>
      </c>
    </row>
    <row r="14" spans="2:9" ht="16.899999999999999">
      <c r="B14" s="143" t="s">
        <v>207</v>
      </c>
      <c r="C14" s="142">
        <f>'puertas modena'!L10</f>
        <v>433260</v>
      </c>
      <c r="D14" s="142">
        <f>'puertas modena'!M10</f>
        <v>428635</v>
      </c>
      <c r="E14" s="142">
        <f>'puertas modena'!N10</f>
        <v>433260</v>
      </c>
      <c r="F14" s="142">
        <f>'puertas modena'!O10</f>
        <v>430100</v>
      </c>
      <c r="G14" s="142">
        <f>'puertas modena'!P10</f>
        <v>455670</v>
      </c>
      <c r="H14" s="142">
        <f>'puertas modena'!Q10</f>
        <v>476340</v>
      </c>
      <c r="I14" s="233">
        <f>'puertas modena'!R10</f>
        <v>501385</v>
      </c>
    </row>
    <row r="15" spans="2:9" ht="16.899999999999999">
      <c r="B15" s="143" t="s">
        <v>208</v>
      </c>
      <c r="C15" s="142">
        <f>'puertas modena'!L11</f>
        <v>434020</v>
      </c>
      <c r="D15" s="142">
        <f>'puertas modena'!M11</f>
        <v>434020</v>
      </c>
      <c r="E15" s="142">
        <f>'puertas modena'!N11</f>
        <v>434020</v>
      </c>
      <c r="F15" s="142">
        <f>'puertas modena'!O11</f>
        <v>450110</v>
      </c>
      <c r="G15" s="142">
        <f>'puertas modena'!P11</f>
        <v>475675</v>
      </c>
      <c r="H15" s="142">
        <f>'puertas modena'!Q11</f>
        <v>434020</v>
      </c>
      <c r="I15" s="233">
        <f>'puertas modena'!R11</f>
        <v>434020</v>
      </c>
    </row>
    <row r="16" spans="2:9" ht="16.899999999999999">
      <c r="B16" s="143" t="s">
        <v>209</v>
      </c>
      <c r="C16" s="142">
        <f>'puertas modena'!L12</f>
        <v>446145</v>
      </c>
      <c r="D16" s="142">
        <f>'puertas modena'!M12</f>
        <v>443570</v>
      </c>
      <c r="E16" s="142">
        <f>'puertas modena'!N12</f>
        <v>446145</v>
      </c>
      <c r="F16" s="142">
        <f>'puertas modena'!O12</f>
        <v>444390</v>
      </c>
      <c r="G16" s="142">
        <f>'puertas modena'!P12</f>
        <v>458590</v>
      </c>
      <c r="H16" s="142">
        <f>'puertas modena'!Q12</f>
        <v>470075</v>
      </c>
      <c r="I16" s="233">
        <f>'puertas modena'!R12</f>
        <v>493670</v>
      </c>
    </row>
    <row r="17" spans="2:9" ht="16.899999999999999">
      <c r="B17" s="143" t="s">
        <v>210</v>
      </c>
      <c r="C17" s="142">
        <f>'puertas modena'!L13</f>
        <v>446885</v>
      </c>
      <c r="D17" s="142">
        <f>'puertas modena'!M13</f>
        <v>446885</v>
      </c>
      <c r="E17" s="142">
        <f>'puertas modena'!N13</f>
        <v>446885</v>
      </c>
      <c r="F17" s="142">
        <f>'puertas modena'!O13</f>
        <v>455820</v>
      </c>
      <c r="G17" s="142">
        <f>'puertas modena'!P13</f>
        <v>470025</v>
      </c>
      <c r="H17" s="142">
        <f>'puertas modena'!Q13</f>
        <v>446885</v>
      </c>
      <c r="I17" s="233">
        <f>'puertas modena'!R13</f>
        <v>446885</v>
      </c>
    </row>
    <row r="18" spans="2:9" ht="16.899999999999999">
      <c r="B18" s="143" t="s">
        <v>211</v>
      </c>
      <c r="C18" s="142">
        <f>'puertas modena'!L14</f>
        <v>465460</v>
      </c>
      <c r="D18" s="142">
        <f>'puertas modena'!M14</f>
        <v>465460</v>
      </c>
      <c r="E18" s="142">
        <f>'puertas modena'!N14</f>
        <v>465460</v>
      </c>
      <c r="F18" s="142">
        <f>'puertas modena'!O14</f>
        <v>465460</v>
      </c>
      <c r="G18" s="142">
        <f>'puertas modena'!P14</f>
        <v>465460</v>
      </c>
      <c r="H18" s="142">
        <f>'puertas modena'!Q14</f>
        <v>465460</v>
      </c>
      <c r="I18" s="233">
        <f>'puertas modena'!R14</f>
        <v>465460</v>
      </c>
    </row>
    <row r="19" spans="2:9" ht="16.899999999999999">
      <c r="B19" s="143" t="s">
        <v>212</v>
      </c>
      <c r="C19" s="142">
        <f>'puertas modena'!L15</f>
        <v>466130</v>
      </c>
      <c r="D19" s="142">
        <f>'puertas modena'!M15</f>
        <v>461505</v>
      </c>
      <c r="E19" s="142">
        <f>'puertas modena'!N15</f>
        <v>466130</v>
      </c>
      <c r="F19" s="142">
        <f>'puertas modena'!O15</f>
        <v>462970</v>
      </c>
      <c r="G19" s="142">
        <f>'puertas modena'!P15</f>
        <v>488535</v>
      </c>
      <c r="H19" s="142">
        <f>'puertas modena'!Q15</f>
        <v>509210</v>
      </c>
      <c r="I19" s="233">
        <f>'puertas modena'!R15</f>
        <v>598845</v>
      </c>
    </row>
    <row r="20" spans="2:9" ht="16.899999999999999">
      <c r="B20" s="143" t="s">
        <v>213</v>
      </c>
      <c r="C20" s="142">
        <f>'puertas modena'!L16</f>
        <v>459010</v>
      </c>
      <c r="D20" s="142">
        <f>'puertas modena'!M16</f>
        <v>456430</v>
      </c>
      <c r="E20" s="142">
        <f>'puertas modena'!N16</f>
        <v>459010</v>
      </c>
      <c r="F20" s="142">
        <f>'puertas modena'!O16</f>
        <v>457250</v>
      </c>
      <c r="G20" s="142">
        <f>'puertas modena'!P16</f>
        <v>471450</v>
      </c>
      <c r="H20" s="142">
        <f>'puertas modena'!Q16</f>
        <v>482935</v>
      </c>
      <c r="I20" s="233">
        <f>'puertas modena'!R16</f>
        <v>538825</v>
      </c>
    </row>
    <row r="21" spans="2:9" ht="16.899999999999999">
      <c r="B21" s="143" t="s">
        <v>214</v>
      </c>
      <c r="C21" s="142">
        <f>'puertas modena'!L17</f>
        <v>418210</v>
      </c>
      <c r="D21" s="142">
        <f>'puertas modena'!M17</f>
        <v>407905</v>
      </c>
      <c r="E21" s="142">
        <f>'puertas modena'!N17</f>
        <v>418210</v>
      </c>
      <c r="F21" s="142">
        <f>'puertas modena'!O17</f>
        <v>411180</v>
      </c>
      <c r="G21" s="142">
        <f>'puertas modena'!P17</f>
        <v>467990</v>
      </c>
      <c r="H21" s="142">
        <f>'puertas modena'!Q17</f>
        <v>513930</v>
      </c>
      <c r="I21" s="233">
        <f>'puertas modena'!R17</f>
        <v>608305</v>
      </c>
    </row>
    <row r="22" spans="2:9" ht="16.899999999999999">
      <c r="B22" s="143" t="s">
        <v>215</v>
      </c>
      <c r="C22" s="142">
        <f>'puertas modena'!L18</f>
        <v>471865</v>
      </c>
      <c r="D22" s="142">
        <f>'puertas modena'!M18</f>
        <v>468600</v>
      </c>
      <c r="E22" s="142">
        <f>'puertas modena'!N18</f>
        <v>471865</v>
      </c>
      <c r="F22" s="142">
        <f>'puertas modena'!O18</f>
        <v>469665</v>
      </c>
      <c r="G22" s="142">
        <f>'puertas modena'!P18</f>
        <v>487635</v>
      </c>
      <c r="H22" s="142">
        <f>'puertas modena'!Q18</f>
        <v>502180</v>
      </c>
      <c r="I22" s="233">
        <f>'puertas modena'!R18</f>
        <v>554780</v>
      </c>
    </row>
    <row r="23" spans="2:9" ht="16.899999999999999">
      <c r="B23" s="143" t="s">
        <v>216</v>
      </c>
      <c r="C23" s="142">
        <f>'puertas modena'!L19</f>
        <v>476585</v>
      </c>
      <c r="D23" s="142">
        <f>'puertas modena'!M19</f>
        <v>474525</v>
      </c>
      <c r="E23" s="142">
        <f>'puertas modena'!N19</f>
        <v>476585</v>
      </c>
      <c r="F23" s="142">
        <f>'puertas modena'!O19</f>
        <v>475180</v>
      </c>
      <c r="G23" s="142">
        <f>'puertas modena'!P19</f>
        <v>486545</v>
      </c>
      <c r="H23" s="142">
        <f>'puertas modena'!Q19</f>
        <v>495725</v>
      </c>
      <c r="I23" s="233">
        <f>'puertas modena'!R19</f>
        <v>524620</v>
      </c>
    </row>
    <row r="24" spans="2:9" ht="16.899999999999999">
      <c r="B24" s="143" t="s">
        <v>217</v>
      </c>
      <c r="C24" s="142">
        <f>'puertas modena'!L20</f>
        <v>533150</v>
      </c>
      <c r="D24" s="142">
        <f>'puertas modena'!M20</f>
        <v>533150</v>
      </c>
      <c r="E24" s="142">
        <f>'puertas modena'!N20</f>
        <v>533150</v>
      </c>
      <c r="F24" s="142">
        <f>'puertas modena'!O20</f>
        <v>540295</v>
      </c>
      <c r="G24" s="142">
        <f>'puertas modena'!P20</f>
        <v>551660</v>
      </c>
      <c r="H24" s="142">
        <f>'puertas modena'!Q20</f>
        <v>533150</v>
      </c>
      <c r="I24" s="233">
        <f>'puertas modena'!R20</f>
        <v>533150</v>
      </c>
    </row>
    <row r="25" spans="2:9" ht="16.899999999999999">
      <c r="B25" s="143" t="s">
        <v>218</v>
      </c>
      <c r="C25" s="142">
        <f>'puertas modena'!L21</f>
        <v>461395</v>
      </c>
      <c r="D25" s="142">
        <f>'puertas modena'!M21</f>
        <v>453675</v>
      </c>
      <c r="E25" s="142">
        <f>'puertas modena'!N21</f>
        <v>461395</v>
      </c>
      <c r="F25" s="142">
        <f>'puertas modena'!O21</f>
        <v>456130</v>
      </c>
      <c r="G25" s="142">
        <f>'puertas modena'!P21</f>
        <v>498745</v>
      </c>
      <c r="H25" s="142">
        <f>'puertas modena'!Q21</f>
        <v>533205</v>
      </c>
      <c r="I25" s="233">
        <f>'puertas modena'!R21</f>
        <v>649190</v>
      </c>
    </row>
    <row r="26" spans="2:9" ht="16.899999999999999">
      <c r="B26" s="143" t="s">
        <v>219</v>
      </c>
      <c r="C26" s="142">
        <f>'puertas modena'!L22</f>
        <v>418940</v>
      </c>
      <c r="D26" s="142">
        <f>'puertas modena'!M22</f>
        <v>411220</v>
      </c>
      <c r="E26" s="142">
        <f>'puertas modena'!N22</f>
        <v>418940</v>
      </c>
      <c r="F26" s="142">
        <f>'puertas modena'!O22</f>
        <v>413675</v>
      </c>
      <c r="G26" s="142">
        <f>'puertas modena'!P22</f>
        <v>456290</v>
      </c>
      <c r="H26" s="142">
        <f>'puertas modena'!Q22</f>
        <v>490750</v>
      </c>
      <c r="I26" s="233">
        <f>'puertas modena'!R22</f>
        <v>509850</v>
      </c>
    </row>
    <row r="27" spans="2:9" ht="17.25" thickBot="1">
      <c r="B27" s="144" t="s">
        <v>266</v>
      </c>
      <c r="C27" s="234">
        <f>'puertas modena'!L23</f>
        <v>501185</v>
      </c>
      <c r="D27" s="234">
        <f>'puertas modena'!M23</f>
        <v>501185</v>
      </c>
      <c r="E27" s="234">
        <f>'puertas modena'!N23</f>
        <v>501185</v>
      </c>
      <c r="F27" s="234">
        <f>'puertas modena'!O23</f>
        <v>501185</v>
      </c>
      <c r="G27" s="234">
        <f>'puertas modena'!P23</f>
        <v>501185</v>
      </c>
      <c r="H27" s="234">
        <f>'puertas modena'!Q23</f>
        <v>501185</v>
      </c>
      <c r="I27" s="235">
        <f>'puertas modena'!R23</f>
        <v>501185</v>
      </c>
    </row>
    <row r="28" spans="2:9" ht="13.15" thickBot="1"/>
    <row r="29" spans="2:9" ht="17.25" thickBot="1">
      <c r="B29" s="145" t="s">
        <v>221</v>
      </c>
      <c r="C29" s="2"/>
      <c r="D29" s="2"/>
      <c r="E29" s="2"/>
      <c r="F29" s="2"/>
    </row>
    <row r="30" spans="2:9" ht="17.25" thickBot="1">
      <c r="B30" s="146" t="s">
        <v>222</v>
      </c>
      <c r="C30" s="147">
        <f>'puertas modena'!L27</f>
        <v>21145</v>
      </c>
      <c r="D30" s="356" t="s">
        <v>223</v>
      </c>
      <c r="E30" s="357"/>
      <c r="F30" s="358"/>
    </row>
    <row r="31" spans="2:9" ht="17.25" thickBot="1">
      <c r="B31" s="144" t="s">
        <v>224</v>
      </c>
      <c r="C31" s="147">
        <f>'puertas modena'!L28</f>
        <v>21145</v>
      </c>
      <c r="D31" s="359" t="s">
        <v>225</v>
      </c>
      <c r="E31" s="360"/>
      <c r="F31" s="361"/>
    </row>
    <row r="32" spans="2:9" ht="17.25" thickBot="1">
      <c r="B32" s="148" t="s">
        <v>267</v>
      </c>
      <c r="C32" s="147">
        <f>'puertas modena'!L29</f>
        <v>17940</v>
      </c>
      <c r="D32" s="2"/>
      <c r="E32" s="2"/>
      <c r="F32" s="2"/>
    </row>
  </sheetData>
  <mergeCells count="5">
    <mergeCell ref="B6:I6"/>
    <mergeCell ref="B7:I7"/>
    <mergeCell ref="B9:I9"/>
    <mergeCell ref="D30:F30"/>
    <mergeCell ref="D31:F31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65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5DF1F5E0-4232-4024-B03F-70FE63EEDF94}">
            <xm:f>'puertas modena'!$C$2="VERDE"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23" id="{A295C8C3-E2FB-4392-AB3C-10E796A7A38F}">
            <xm:f>'puertas modena'!$C$2="AZUL"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24" id="{2F2E0E9F-B321-4260-9A6F-F3C7111BE68D}">
            <xm:f>'puertas modena'!$C$2="AMARILLA"</xm:f>
            <x14:dxf>
              <fill>
                <patternFill>
                  <bgColor rgb="FFFFFF00"/>
                </patternFill>
              </fill>
            </x14:dxf>
          </x14:cfRule>
          <xm:sqref>B9:I10 B11:B27 B29:B32 D30:F31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3B6B-6A8A-4E8F-BA15-41ED41917D86}">
  <sheetPr codeName="Hoja26">
    <tabColor rgb="FF00B050"/>
    <pageSetUpPr fitToPage="1"/>
  </sheetPr>
  <dimension ref="B6:I45"/>
  <sheetViews>
    <sheetView topLeftCell="A22" zoomScale="55" zoomScaleNormal="55" workbookViewId="0">
      <selection activeCell="H87" sqref="H87"/>
    </sheetView>
  </sheetViews>
  <sheetFormatPr baseColWidth="10" defaultRowHeight="12.75"/>
  <cols>
    <col min="1" max="16384" width="10.6640625" style="1"/>
  </cols>
  <sheetData>
    <row r="6" spans="2:9" ht="13.15">
      <c r="B6" s="345" t="s">
        <v>21</v>
      </c>
      <c r="C6" s="345"/>
      <c r="D6" s="345"/>
      <c r="E6" s="345"/>
    </row>
    <row r="7" spans="2:9" ht="13.15">
      <c r="B7" s="345" t="s">
        <v>22</v>
      </c>
      <c r="C7" s="345"/>
      <c r="D7" s="345"/>
      <c r="E7" s="345"/>
    </row>
    <row r="8" spans="2:9" ht="13.15" thickBot="1"/>
    <row r="9" spans="2:9" ht="18.399999999999999" thickBot="1">
      <c r="B9" s="362" t="s">
        <v>281</v>
      </c>
      <c r="C9" s="363"/>
      <c r="D9" s="363"/>
      <c r="E9" s="364"/>
      <c r="F9" s="153"/>
      <c r="G9" s="153"/>
      <c r="H9" s="153"/>
      <c r="I9" s="153"/>
    </row>
    <row r="10" spans="2:9" ht="16.899999999999999" thickBot="1">
      <c r="B10" s="127" t="s">
        <v>24</v>
      </c>
      <c r="C10" s="128" t="s">
        <v>123</v>
      </c>
      <c r="D10" s="128" t="s">
        <v>255</v>
      </c>
      <c r="E10" s="129" t="s">
        <v>127</v>
      </c>
    </row>
    <row r="11" spans="2:9" ht="14.25">
      <c r="B11" s="30" t="s">
        <v>271</v>
      </c>
      <c r="C11" s="5">
        <f>'patagonicas modena'!H7</f>
        <v>203585</v>
      </c>
      <c r="D11" s="5">
        <f>'patagonicas modena'!I7</f>
        <v>301785</v>
      </c>
      <c r="E11" s="6">
        <f>'patagonicas modena'!J7</f>
        <v>244775</v>
      </c>
    </row>
    <row r="12" spans="2:9" ht="14.25">
      <c r="B12" s="31" t="s">
        <v>272</v>
      </c>
      <c r="C12" s="5">
        <f>'patagonicas modena'!H8</f>
        <v>220230</v>
      </c>
      <c r="D12" s="5">
        <f>'patagonicas modena'!I8</f>
        <v>331245</v>
      </c>
      <c r="E12" s="6">
        <f>'patagonicas modena'!J8</f>
        <v>270915</v>
      </c>
    </row>
    <row r="13" spans="2:9" ht="14.25">
      <c r="B13" s="31" t="s">
        <v>273</v>
      </c>
      <c r="C13" s="5">
        <f>'patagonicas modena'!H9</f>
        <v>237005</v>
      </c>
      <c r="D13" s="5">
        <f>'patagonicas modena'!I9</f>
        <v>362835</v>
      </c>
      <c r="E13" s="6">
        <f>'patagonicas modena'!J9</f>
        <v>299090</v>
      </c>
    </row>
    <row r="14" spans="2:9" ht="14.25">
      <c r="B14" s="31" t="s">
        <v>274</v>
      </c>
      <c r="C14" s="5">
        <f>'patagonicas modena'!H10</f>
        <v>248400</v>
      </c>
      <c r="D14" s="5">
        <f>'patagonicas modena'!I10</f>
        <v>384105</v>
      </c>
      <c r="E14" s="6">
        <f>'patagonicas modena'!J10</f>
        <v>318080</v>
      </c>
    </row>
    <row r="15" spans="2:9" ht="14.25">
      <c r="B15" s="31" t="s">
        <v>175</v>
      </c>
      <c r="C15" s="5">
        <f>'patagonicas modena'!H11</f>
        <v>214660</v>
      </c>
      <c r="D15" s="5">
        <f>'patagonicas modena'!I11</f>
        <v>320490</v>
      </c>
      <c r="E15" s="6">
        <f>'patagonicas modena'!J11</f>
        <v>260515</v>
      </c>
    </row>
    <row r="16" spans="2:9" ht="14.25">
      <c r="B16" s="31" t="s">
        <v>275</v>
      </c>
      <c r="C16" s="5">
        <f>'patagonicas modena'!H12</f>
        <v>227315</v>
      </c>
      <c r="D16" s="5">
        <f>'patagonicas modena'!I12</f>
        <v>344100</v>
      </c>
      <c r="E16" s="6">
        <f>'patagonicas modena'!J12</f>
        <v>283300</v>
      </c>
    </row>
    <row r="17" spans="2:5" ht="14.25">
      <c r="B17" s="31" t="s">
        <v>276</v>
      </c>
      <c r="C17" s="5">
        <f>'patagonicas modena'!H13</f>
        <v>246865</v>
      </c>
      <c r="D17" s="5">
        <f>'patagonicas modena'!I13</f>
        <v>378700</v>
      </c>
      <c r="E17" s="6">
        <f>'patagonicas modena'!J13</f>
        <v>315295</v>
      </c>
    </row>
    <row r="18" spans="2:5" ht="14.25">
      <c r="B18" s="31" t="s">
        <v>277</v>
      </c>
      <c r="C18" s="5">
        <f>'patagonicas modena'!H14</f>
        <v>265260</v>
      </c>
      <c r="D18" s="5">
        <f>'patagonicas modena'!I14</f>
        <v>413520</v>
      </c>
      <c r="E18" s="6">
        <f>'patagonicas modena'!J14</f>
        <v>348855</v>
      </c>
    </row>
    <row r="19" spans="2:5" ht="14.25">
      <c r="B19" s="31" t="s">
        <v>278</v>
      </c>
      <c r="C19" s="5">
        <f>'patagonicas modena'!H15</f>
        <v>277735</v>
      </c>
      <c r="D19" s="5">
        <f>'patagonicas modena'!I15</f>
        <v>436945</v>
      </c>
      <c r="E19" s="6">
        <f>'patagonicas modena'!J15</f>
        <v>371465</v>
      </c>
    </row>
    <row r="20" spans="2:5" ht="14.25">
      <c r="B20" s="31" t="s">
        <v>15</v>
      </c>
      <c r="C20" s="5">
        <f>'patagonicas modena'!H16</f>
        <v>238070</v>
      </c>
      <c r="D20" s="5">
        <f>'patagonicas modena'!I16</f>
        <v>361495</v>
      </c>
      <c r="E20" s="6">
        <f>'patagonicas modena'!J16</f>
        <v>292635</v>
      </c>
    </row>
    <row r="21" spans="2:5" ht="14.25">
      <c r="B21" s="31" t="s">
        <v>102</v>
      </c>
      <c r="C21" s="5">
        <f>'patagonicas modena'!H17</f>
        <v>251805</v>
      </c>
      <c r="D21" s="5">
        <f>'patagonicas modena'!I17</f>
        <v>387265</v>
      </c>
      <c r="E21" s="6">
        <f>'patagonicas modena'!J17</f>
        <v>312645</v>
      </c>
    </row>
    <row r="22" spans="2:5" ht="14.25">
      <c r="B22" s="31" t="s">
        <v>16</v>
      </c>
      <c r="C22" s="5">
        <f>'patagonicas modena'!H18</f>
        <v>273505</v>
      </c>
      <c r="D22" s="5">
        <f>'patagonicas modena'!I18</f>
        <v>426150</v>
      </c>
      <c r="E22" s="6">
        <f>'patagonicas modena'!J18</f>
        <v>343395</v>
      </c>
    </row>
    <row r="23" spans="2:5" ht="14.25">
      <c r="B23" s="31" t="s">
        <v>103</v>
      </c>
      <c r="C23" s="5">
        <f>'patagonicas modena'!H19</f>
        <v>289905</v>
      </c>
      <c r="D23" s="5">
        <f>'patagonicas modena'!I19</f>
        <v>460605</v>
      </c>
      <c r="E23" s="6">
        <f>'patagonicas modena'!J19</f>
        <v>381325</v>
      </c>
    </row>
    <row r="24" spans="2:5" ht="14.25">
      <c r="B24" s="31" t="s">
        <v>104</v>
      </c>
      <c r="C24" s="5">
        <f>'patagonicas modena'!H20</f>
        <v>307075</v>
      </c>
      <c r="D24" s="5">
        <f>'patagonicas modena'!I20</f>
        <v>489810</v>
      </c>
      <c r="E24" s="6">
        <f>'patagonicas modena'!J20</f>
        <v>406975</v>
      </c>
    </row>
    <row r="25" spans="2:5" ht="14.25">
      <c r="B25" s="31" t="s">
        <v>58</v>
      </c>
      <c r="C25" s="5">
        <f>'patagonicas modena'!H21</f>
        <v>250815</v>
      </c>
      <c r="D25" s="5">
        <f>'patagonicas modena'!I21</f>
        <v>383570</v>
      </c>
      <c r="E25" s="6">
        <f>'patagonicas modena'!J21</f>
        <v>319535</v>
      </c>
    </row>
    <row r="26" spans="2:5" ht="14.25">
      <c r="B26" s="31" t="s">
        <v>59</v>
      </c>
      <c r="C26" s="5">
        <f>'patagonicas modena'!H22</f>
        <v>264540</v>
      </c>
      <c r="D26" s="5">
        <f>'patagonicas modena'!I22</f>
        <v>409325</v>
      </c>
      <c r="E26" s="6">
        <f>'patagonicas modena'!J22</f>
        <v>339020</v>
      </c>
    </row>
    <row r="27" spans="2:5" ht="14.25">
      <c r="B27" s="31" t="s">
        <v>60</v>
      </c>
      <c r="C27" s="5">
        <f>'patagonicas modena'!H23</f>
        <v>286245</v>
      </c>
      <c r="D27" s="5">
        <f>'patagonicas modena'!I23</f>
        <v>448220</v>
      </c>
      <c r="E27" s="6">
        <f>'patagonicas modena'!J23</f>
        <v>369910</v>
      </c>
    </row>
    <row r="28" spans="2:5" ht="14.25">
      <c r="B28" s="31" t="s">
        <v>61</v>
      </c>
      <c r="C28" s="5">
        <f>'patagonicas modena'!H24</f>
        <v>302640</v>
      </c>
      <c r="D28" s="5">
        <f>'patagonicas modena'!I24</f>
        <v>482660</v>
      </c>
      <c r="E28" s="6">
        <f>'patagonicas modena'!J24</f>
        <v>408215</v>
      </c>
    </row>
    <row r="29" spans="2:5" ht="14.25">
      <c r="B29" s="31" t="s">
        <v>62</v>
      </c>
      <c r="C29" s="5">
        <f>'patagonicas modena'!H25</f>
        <v>319815</v>
      </c>
      <c r="D29" s="5">
        <f>'patagonicas modena'!I25</f>
        <v>511870</v>
      </c>
      <c r="E29" s="6">
        <f>'patagonicas modena'!J25</f>
        <v>433415</v>
      </c>
    </row>
    <row r="30" spans="2:5" ht="14.25">
      <c r="B30" s="31" t="s">
        <v>107</v>
      </c>
      <c r="C30" s="5">
        <f>'patagonicas modena'!H26</f>
        <v>263280</v>
      </c>
      <c r="D30" s="5">
        <f>'patagonicas modena'!I26</f>
        <v>405360</v>
      </c>
      <c r="E30" s="6">
        <f>'patagonicas modena'!J26</f>
        <v>345825</v>
      </c>
    </row>
    <row r="31" spans="2:5" ht="14.25">
      <c r="B31" s="31" t="s">
        <v>108</v>
      </c>
      <c r="C31" s="5">
        <f>'patagonicas modena'!H27</f>
        <v>277305</v>
      </c>
      <c r="D31" s="5">
        <f>'patagonicas modena'!I27</f>
        <v>431415</v>
      </c>
      <c r="E31" s="6">
        <f>'patagonicas modena'!J27</f>
        <v>365915</v>
      </c>
    </row>
    <row r="32" spans="2:5" ht="14.25">
      <c r="B32" s="31" t="s">
        <v>109</v>
      </c>
      <c r="C32" s="5">
        <f>'patagonicas modena'!H28</f>
        <v>300705</v>
      </c>
      <c r="D32" s="5">
        <f>'patagonicas modena'!I28</f>
        <v>471930</v>
      </c>
      <c r="E32" s="6">
        <f>'patagonicas modena'!J28</f>
        <v>398755</v>
      </c>
    </row>
    <row r="33" spans="2:5" ht="14.25">
      <c r="B33" s="31" t="s">
        <v>110</v>
      </c>
      <c r="C33" s="5">
        <f>'patagonicas modena'!H29</f>
        <v>315335</v>
      </c>
      <c r="D33" s="5">
        <f>'patagonicas modena'!I29</f>
        <v>504680</v>
      </c>
      <c r="E33" s="6">
        <f>'patagonicas modena'!J29</f>
        <v>434675</v>
      </c>
    </row>
    <row r="34" spans="2:5" ht="14.25">
      <c r="B34" s="31" t="s">
        <v>111</v>
      </c>
      <c r="C34" s="5">
        <f>'patagonicas modena'!H30</f>
        <v>332840</v>
      </c>
      <c r="D34" s="5">
        <f>'patagonicas modena'!I30</f>
        <v>534220</v>
      </c>
      <c r="E34" s="6">
        <f>'patagonicas modena'!J30</f>
        <v>460190</v>
      </c>
    </row>
    <row r="35" spans="2:5" ht="14.25">
      <c r="B35" s="31" t="s">
        <v>114</v>
      </c>
      <c r="C35" s="5">
        <f>'patagonicas modena'!H31</f>
        <v>308560</v>
      </c>
      <c r="D35" s="5">
        <f>'patagonicas modena'!I31</f>
        <v>477695</v>
      </c>
      <c r="E35" s="6">
        <f>'patagonicas modena'!J31</f>
        <v>403830</v>
      </c>
    </row>
    <row r="36" spans="2:5" ht="14.25">
      <c r="B36" s="31" t="s">
        <v>71</v>
      </c>
      <c r="C36" s="5">
        <f>'patagonicas modena'!H32</f>
        <v>325750</v>
      </c>
      <c r="D36" s="5">
        <f>'patagonicas modena'!I32</f>
        <v>509555</v>
      </c>
      <c r="E36" s="6">
        <f>'patagonicas modena'!J32</f>
        <v>440105</v>
      </c>
    </row>
    <row r="37" spans="2:5" ht="14.25">
      <c r="B37" s="31" t="s">
        <v>72</v>
      </c>
      <c r="C37" s="5">
        <f>'patagonicas modena'!H33</f>
        <v>352885</v>
      </c>
      <c r="D37" s="5">
        <f>'patagonicas modena'!I33</f>
        <v>557580</v>
      </c>
      <c r="E37" s="6">
        <f>'patagonicas modena'!J33</f>
        <v>496745</v>
      </c>
    </row>
    <row r="38" spans="2:5" ht="14.25">
      <c r="B38" s="31" t="s">
        <v>73</v>
      </c>
      <c r="C38" s="5">
        <f>'patagonicas modena'!H34</f>
        <v>372120</v>
      </c>
      <c r="D38" s="5">
        <f>'patagonicas modena'!I34</f>
        <v>598915</v>
      </c>
      <c r="E38" s="6">
        <f>'patagonicas modena'!J34</f>
        <v>544480</v>
      </c>
    </row>
    <row r="39" spans="2:5" ht="14.65" thickBot="1">
      <c r="B39" s="32" t="s">
        <v>74</v>
      </c>
      <c r="C39" s="10">
        <f>'patagonicas modena'!H35</f>
        <v>391240</v>
      </c>
      <c r="D39" s="10">
        <f>'patagonicas modena'!I35</f>
        <v>632785</v>
      </c>
      <c r="E39" s="11">
        <f>'patagonicas modena'!J35</f>
        <v>582605</v>
      </c>
    </row>
    <row r="40" spans="2:5" ht="13.15" thickBot="1"/>
    <row r="41" spans="2:5" ht="21.4" thickBot="1">
      <c r="B41" s="365" t="s">
        <v>279</v>
      </c>
      <c r="C41" s="366"/>
      <c r="D41" s="366"/>
      <c r="E41" s="367"/>
    </row>
    <row r="42" spans="2:5" ht="14.25">
      <c r="B42" s="30" t="s">
        <v>274</v>
      </c>
      <c r="C42" s="5">
        <f>'patagonicas modena'!H42</f>
        <v>365720</v>
      </c>
      <c r="D42" s="5">
        <f>'patagonicas modena'!I42</f>
        <v>523990</v>
      </c>
      <c r="E42" s="6">
        <f>'patagonicas modena'!J42</f>
        <v>448665</v>
      </c>
    </row>
    <row r="43" spans="2:5" ht="14.25">
      <c r="B43" s="31" t="s">
        <v>104</v>
      </c>
      <c r="C43" s="5">
        <f>'patagonicas modena'!H43</f>
        <v>447740</v>
      </c>
      <c r="D43" s="5">
        <f>'patagonicas modena'!I43</f>
        <v>667380</v>
      </c>
      <c r="E43" s="6">
        <f>'patagonicas modena'!J43</f>
        <v>585985</v>
      </c>
    </row>
    <row r="44" spans="2:5" ht="14.25">
      <c r="B44" s="31" t="s">
        <v>62</v>
      </c>
      <c r="C44" s="5">
        <f>'patagonicas modena'!H44</f>
        <v>475925</v>
      </c>
      <c r="D44" s="5">
        <f>'patagonicas modena'!I44</f>
        <v>710905</v>
      </c>
      <c r="E44" s="6">
        <f>'patagonicas modena'!J44</f>
        <v>628000</v>
      </c>
    </row>
    <row r="45" spans="2:5" ht="14.65" thickBot="1">
      <c r="B45" s="32" t="s">
        <v>74</v>
      </c>
      <c r="C45" s="10">
        <f>'patagonicas modena'!H45</f>
        <v>550015</v>
      </c>
      <c r="D45" s="10">
        <f>'patagonicas modena'!I45</f>
        <v>846375</v>
      </c>
      <c r="E45" s="11">
        <f>'patagonicas modena'!J45</f>
        <v>757375</v>
      </c>
    </row>
  </sheetData>
  <mergeCells count="4">
    <mergeCell ref="B6:E6"/>
    <mergeCell ref="B7:E7"/>
    <mergeCell ref="B9:E9"/>
    <mergeCell ref="B41:E41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9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3A43B511-83D8-4D79-A201-52F75EDA26FE}">
            <xm:f>'patagonicas modena'!$C$2="VERDE"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35" id="{11772F1F-AB22-4689-847C-14AEA24105B3}">
            <xm:f>'patagonicas modena'!$C$2="AZUL"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36" id="{B2EE93BA-4A10-496A-A8E1-57B5C108C0A7}">
            <xm:f>'patagonicas modena'!$C$2="AMARILLA"</xm:f>
            <x14:dxf>
              <fill>
                <patternFill>
                  <bgColor rgb="FFFFFF00"/>
                </patternFill>
              </fill>
            </x14:dxf>
          </x14:cfRule>
          <xm:sqref>B9:E10 B11:B39 B41:E41 B42:B45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3377-450E-4A52-8228-8D2B69912F67}">
  <sheetPr codeName="Hoja27">
    <tabColor rgb="FF00B050"/>
    <pageSetUpPr fitToPage="1"/>
  </sheetPr>
  <dimension ref="B6:F57"/>
  <sheetViews>
    <sheetView topLeftCell="A23" zoomScale="55" zoomScaleNormal="55" workbookViewId="0">
      <selection activeCell="H87" sqref="H87"/>
    </sheetView>
  </sheetViews>
  <sheetFormatPr baseColWidth="10" defaultRowHeight="12.75"/>
  <cols>
    <col min="1" max="2" width="10.6640625" style="1"/>
    <col min="3" max="3" width="11.86328125" style="1" customWidth="1"/>
    <col min="4" max="16384" width="10.6640625" style="1"/>
  </cols>
  <sheetData>
    <row r="6" spans="2:6" ht="13.15">
      <c r="B6" s="345" t="s">
        <v>21</v>
      </c>
      <c r="C6" s="345"/>
      <c r="D6" s="345"/>
      <c r="E6" s="345"/>
    </row>
    <row r="7" spans="2:6" ht="13.15">
      <c r="B7" s="345" t="s">
        <v>22</v>
      </c>
      <c r="C7" s="345"/>
      <c r="D7" s="345"/>
      <c r="E7" s="345"/>
    </row>
    <row r="8" spans="2:6" ht="13.15" thickBot="1"/>
    <row r="9" spans="2:6" ht="18.399999999999999" thickBot="1">
      <c r="B9" s="362" t="s">
        <v>282</v>
      </c>
      <c r="C9" s="363"/>
      <c r="D9" s="363"/>
      <c r="E9" s="364"/>
      <c r="F9" s="153"/>
    </row>
    <row r="10" spans="2:6" ht="16.899999999999999" thickBot="1">
      <c r="B10" s="127" t="s">
        <v>24</v>
      </c>
      <c r="C10" s="128" t="s">
        <v>283</v>
      </c>
      <c r="D10" s="128" t="s">
        <v>284</v>
      </c>
      <c r="E10" s="129" t="s">
        <v>288</v>
      </c>
    </row>
    <row r="11" spans="2:6" ht="14.25">
      <c r="B11" s="164" t="s">
        <v>97</v>
      </c>
      <c r="C11" s="165">
        <f>postigones!G8</f>
        <v>77195</v>
      </c>
      <c r="D11" s="165">
        <f>postigones!H8</f>
        <v>90385</v>
      </c>
      <c r="E11" s="166">
        <f>postigones!I8</f>
        <v>2</v>
      </c>
    </row>
    <row r="12" spans="2:6" ht="14.25">
      <c r="B12" s="167" t="s">
        <v>98</v>
      </c>
      <c r="C12" s="165">
        <f>postigones!G9</f>
        <v>93855</v>
      </c>
      <c r="D12" s="165">
        <f>postigones!H9</f>
        <v>108875</v>
      </c>
      <c r="E12" s="166">
        <f>postigones!I9</f>
        <v>2</v>
      </c>
    </row>
    <row r="13" spans="2:6" ht="14.25">
      <c r="B13" s="167" t="s">
        <v>99</v>
      </c>
      <c r="C13" s="165">
        <f>postigones!G10</f>
        <v>115845</v>
      </c>
      <c r="D13" s="165">
        <f>postigones!H10</f>
        <v>135565</v>
      </c>
      <c r="E13" s="166" t="str">
        <f>postigones!I10</f>
        <v>2ó3</v>
      </c>
    </row>
    <row r="14" spans="2:6" ht="14.25">
      <c r="B14" s="167" t="s">
        <v>100</v>
      </c>
      <c r="C14" s="165">
        <f>postigones!G11</f>
        <v>138945</v>
      </c>
      <c r="D14" s="165">
        <f>postigones!H11</f>
        <v>162110</v>
      </c>
      <c r="E14" s="166">
        <f>postigones!I11</f>
        <v>3</v>
      </c>
    </row>
    <row r="15" spans="2:6" ht="14.25">
      <c r="B15" s="167" t="s">
        <v>101</v>
      </c>
      <c r="C15" s="165">
        <f>postigones!G12</f>
        <v>154390</v>
      </c>
      <c r="D15" s="165">
        <f>postigones!H12</f>
        <v>180745</v>
      </c>
      <c r="E15" s="166">
        <f>postigones!I12</f>
        <v>3</v>
      </c>
    </row>
    <row r="16" spans="2:6" ht="14.25">
      <c r="B16" s="167" t="s">
        <v>51</v>
      </c>
      <c r="C16" s="165">
        <f>postigones!G13</f>
        <v>115845</v>
      </c>
      <c r="D16" s="165">
        <f>postigones!H13</f>
        <v>135565</v>
      </c>
      <c r="E16" s="166">
        <f>postigones!I13</f>
        <v>2</v>
      </c>
    </row>
    <row r="17" spans="2:5" ht="14.25">
      <c r="B17" s="167" t="s">
        <v>52</v>
      </c>
      <c r="C17" s="165">
        <f>postigones!G14</f>
        <v>138945</v>
      </c>
      <c r="D17" s="165">
        <f>postigones!H14</f>
        <v>202690</v>
      </c>
      <c r="E17" s="166">
        <f>postigones!I14</f>
        <v>2</v>
      </c>
    </row>
    <row r="18" spans="2:5" ht="14.25">
      <c r="B18" s="167" t="s">
        <v>53</v>
      </c>
      <c r="C18" s="165">
        <f>postigones!G15</f>
        <v>183050</v>
      </c>
      <c r="D18" s="165">
        <f>postigones!H15</f>
        <v>212830</v>
      </c>
      <c r="E18" s="166">
        <f>postigones!I15</f>
        <v>3</v>
      </c>
    </row>
    <row r="19" spans="2:5" ht="14.25">
      <c r="B19" s="167" t="s">
        <v>54</v>
      </c>
      <c r="C19" s="165">
        <f>postigones!G16</f>
        <v>218915</v>
      </c>
      <c r="D19" s="165">
        <f>postigones!H16</f>
        <v>255460</v>
      </c>
      <c r="E19" s="166">
        <f>postigones!I16</f>
        <v>3</v>
      </c>
    </row>
    <row r="20" spans="2:5" ht="14.25">
      <c r="B20" s="167" t="s">
        <v>55</v>
      </c>
      <c r="C20" s="165">
        <f>postigones!G17</f>
        <v>254805</v>
      </c>
      <c r="D20" s="165">
        <f>postigones!H17</f>
        <v>284670</v>
      </c>
      <c r="E20" s="166">
        <f>postigones!I17</f>
        <v>3</v>
      </c>
    </row>
    <row r="21" spans="2:5" ht="14.25">
      <c r="B21" s="167" t="s">
        <v>56</v>
      </c>
      <c r="C21" s="165">
        <f>postigones!G18</f>
        <v>272685</v>
      </c>
      <c r="D21" s="165">
        <f>postigones!H18</f>
        <v>312540</v>
      </c>
      <c r="E21" s="166">
        <f>postigones!I18</f>
        <v>3</v>
      </c>
    </row>
    <row r="22" spans="2:5" ht="14.25">
      <c r="B22" s="167" t="s">
        <v>57</v>
      </c>
      <c r="C22" s="165">
        <f>postigones!G19</f>
        <v>278030</v>
      </c>
      <c r="D22" s="165">
        <f>postigones!H19</f>
        <v>340565</v>
      </c>
      <c r="E22" s="166">
        <f>postigones!I19</f>
        <v>3</v>
      </c>
    </row>
    <row r="23" spans="2:5" ht="14.25">
      <c r="B23" s="167" t="s">
        <v>15</v>
      </c>
      <c r="C23" s="165">
        <f>postigones!G20</f>
        <v>129110</v>
      </c>
      <c r="D23" s="165">
        <f>postigones!H20</f>
        <v>150625</v>
      </c>
      <c r="E23" s="166">
        <f>postigones!I20</f>
        <v>2</v>
      </c>
    </row>
    <row r="24" spans="2:5" ht="14.25">
      <c r="B24" s="167" t="s">
        <v>102</v>
      </c>
      <c r="C24" s="165">
        <f>postigones!G21</f>
        <v>155605</v>
      </c>
      <c r="D24" s="165">
        <f>postigones!H21</f>
        <v>180770</v>
      </c>
      <c r="E24" s="166">
        <f>postigones!I21</f>
        <v>2</v>
      </c>
    </row>
    <row r="25" spans="2:5" ht="14.25">
      <c r="B25" s="167" t="s">
        <v>16</v>
      </c>
      <c r="C25" s="165">
        <f>postigones!G22</f>
        <v>187640</v>
      </c>
      <c r="D25" s="165">
        <f>postigones!H22</f>
        <v>209610</v>
      </c>
      <c r="E25" s="166">
        <f>postigones!I22</f>
        <v>3</v>
      </c>
    </row>
    <row r="26" spans="2:5" ht="14.25">
      <c r="B26" s="167" t="s">
        <v>103</v>
      </c>
      <c r="C26" s="165">
        <f>postigones!G23</f>
        <v>215175</v>
      </c>
      <c r="D26" s="165">
        <f>postigones!H23</f>
        <v>262685</v>
      </c>
      <c r="E26" s="166">
        <f>postigones!I23</f>
        <v>3</v>
      </c>
    </row>
    <row r="27" spans="2:5" ht="14.25">
      <c r="B27" s="167" t="s">
        <v>104</v>
      </c>
      <c r="C27" s="165">
        <f>postigones!G24</f>
        <v>238275</v>
      </c>
      <c r="D27" s="165">
        <f>postigones!H24</f>
        <v>291930</v>
      </c>
      <c r="E27" s="166">
        <f>postigones!I24</f>
        <v>3</v>
      </c>
    </row>
    <row r="28" spans="2:5" ht="14.25">
      <c r="B28" s="167" t="s">
        <v>105</v>
      </c>
      <c r="C28" s="165">
        <f>postigones!G25</f>
        <v>262590</v>
      </c>
      <c r="D28" s="165">
        <f>postigones!H25</f>
        <v>321125</v>
      </c>
      <c r="E28" s="166">
        <f>postigones!I25</f>
        <v>3</v>
      </c>
    </row>
    <row r="29" spans="2:5" ht="14.25">
      <c r="B29" s="167" t="s">
        <v>106</v>
      </c>
      <c r="C29" s="165">
        <f>postigones!G26</f>
        <v>286900</v>
      </c>
      <c r="D29" s="165">
        <f>postigones!H26</f>
        <v>350350</v>
      </c>
      <c r="E29" s="166">
        <f>postigones!I26</f>
        <v>3</v>
      </c>
    </row>
    <row r="30" spans="2:5" ht="14.25">
      <c r="B30" s="167" t="s">
        <v>58</v>
      </c>
      <c r="C30" s="165">
        <f>postigones!G27</f>
        <v>131295</v>
      </c>
      <c r="D30" s="165">
        <f>postigones!H27</f>
        <v>152910</v>
      </c>
      <c r="E30" s="166">
        <f>postigones!I27</f>
        <v>2</v>
      </c>
    </row>
    <row r="31" spans="2:5" ht="14.25">
      <c r="B31" s="167" t="s">
        <v>59</v>
      </c>
      <c r="C31" s="165">
        <f>postigones!G28</f>
        <v>156700</v>
      </c>
      <c r="D31" s="165">
        <f>postigones!H28</f>
        <v>183040</v>
      </c>
      <c r="E31" s="166">
        <f>postigones!I28</f>
        <v>2</v>
      </c>
    </row>
    <row r="32" spans="2:5" ht="14.25">
      <c r="B32" s="167" t="s">
        <v>60</v>
      </c>
      <c r="C32" s="165">
        <f>postigones!G29</f>
        <v>196330</v>
      </c>
      <c r="D32" s="165">
        <f>postigones!H29</f>
        <v>240855</v>
      </c>
      <c r="E32" s="166">
        <f>postigones!I29</f>
        <v>3</v>
      </c>
    </row>
    <row r="33" spans="2:5" ht="14.25">
      <c r="B33" s="167" t="s">
        <v>61</v>
      </c>
      <c r="C33" s="165">
        <f>postigones!G30</f>
        <v>234985</v>
      </c>
      <c r="D33" s="165">
        <f>postigones!H30</f>
        <v>288285</v>
      </c>
      <c r="E33" s="166">
        <f>postigones!I30</f>
        <v>3</v>
      </c>
    </row>
    <row r="34" spans="2:5" ht="14.25">
      <c r="B34" s="167" t="s">
        <v>62</v>
      </c>
      <c r="C34" s="165">
        <f>postigones!G31</f>
        <v>262590</v>
      </c>
      <c r="D34" s="165">
        <f>postigones!H31</f>
        <v>321125</v>
      </c>
      <c r="E34" s="166">
        <f>postigones!I31</f>
        <v>3</v>
      </c>
    </row>
    <row r="35" spans="2:5" ht="14.25">
      <c r="B35" s="167" t="s">
        <v>63</v>
      </c>
      <c r="C35" s="165">
        <f>postigones!G32</f>
        <v>287985</v>
      </c>
      <c r="D35" s="165">
        <f>postigones!H32</f>
        <v>352750</v>
      </c>
      <c r="E35" s="166">
        <f>postigones!I32</f>
        <v>3</v>
      </c>
    </row>
    <row r="36" spans="2:5" ht="14.25">
      <c r="B36" s="167" t="s">
        <v>64</v>
      </c>
      <c r="C36" s="165">
        <f>postigones!G33</f>
        <v>313265</v>
      </c>
      <c r="D36" s="165">
        <f>postigones!H33</f>
        <v>383180</v>
      </c>
      <c r="E36" s="166">
        <f>postigones!I33</f>
        <v>3</v>
      </c>
    </row>
    <row r="37" spans="2:5" ht="14.25">
      <c r="B37" s="167" t="s">
        <v>107</v>
      </c>
      <c r="C37" s="165">
        <f>postigones!G34</f>
        <v>155605</v>
      </c>
      <c r="D37" s="165">
        <f>postigones!H34</f>
        <v>180745</v>
      </c>
      <c r="E37" s="166">
        <f>postigones!I34</f>
        <v>2</v>
      </c>
    </row>
    <row r="38" spans="2:5" ht="14.25">
      <c r="B38" s="167" t="s">
        <v>108</v>
      </c>
      <c r="C38" s="165">
        <f>postigones!G35</f>
        <v>167400</v>
      </c>
      <c r="D38" s="165">
        <f>postigones!H35</f>
        <v>199260</v>
      </c>
      <c r="E38" s="166">
        <f>postigones!I35</f>
        <v>2</v>
      </c>
    </row>
    <row r="39" spans="2:5" ht="14.25">
      <c r="B39" s="167" t="s">
        <v>109</v>
      </c>
      <c r="C39" s="165">
        <f>postigones!G36</f>
        <v>215175</v>
      </c>
      <c r="D39" s="165">
        <f>postigones!H36</f>
        <v>262685</v>
      </c>
      <c r="E39" s="166">
        <f>postigones!I36</f>
        <v>3</v>
      </c>
    </row>
    <row r="40" spans="2:5" ht="14.25">
      <c r="B40" s="167" t="s">
        <v>110</v>
      </c>
      <c r="C40" s="165">
        <f>postigones!G37</f>
        <v>257115</v>
      </c>
      <c r="D40" s="165">
        <f>postigones!H37</f>
        <v>315090</v>
      </c>
      <c r="E40" s="166">
        <f>postigones!I37</f>
        <v>3</v>
      </c>
    </row>
    <row r="41" spans="2:5" ht="14.25">
      <c r="B41" s="167" t="s">
        <v>111</v>
      </c>
      <c r="C41" s="165">
        <f>postigones!G38</f>
        <v>260205</v>
      </c>
      <c r="D41" s="165">
        <f>postigones!H38</f>
        <v>350350</v>
      </c>
      <c r="E41" s="166">
        <f>postigones!I38</f>
        <v>3</v>
      </c>
    </row>
    <row r="42" spans="2:5" ht="14.25">
      <c r="B42" s="167" t="s">
        <v>112</v>
      </c>
      <c r="C42" s="165">
        <f>postigones!G39</f>
        <v>314375</v>
      </c>
      <c r="D42" s="165">
        <f>postigones!H39</f>
        <v>384395</v>
      </c>
      <c r="E42" s="166">
        <f>postigones!I39</f>
        <v>3</v>
      </c>
    </row>
    <row r="43" spans="2:5" ht="14.25">
      <c r="B43" s="167" t="s">
        <v>113</v>
      </c>
      <c r="C43" s="165">
        <f>postigones!G40</f>
        <v>331305</v>
      </c>
      <c r="D43" s="165">
        <f>postigones!H40</f>
        <v>419630</v>
      </c>
      <c r="E43" s="166">
        <f>postigones!I40</f>
        <v>3</v>
      </c>
    </row>
    <row r="44" spans="2:5" ht="14.25">
      <c r="B44" s="167" t="s">
        <v>114</v>
      </c>
      <c r="C44" s="165">
        <f>postigones!G41</f>
        <v>185390</v>
      </c>
      <c r="D44" s="165">
        <f>postigones!H41</f>
        <v>216625</v>
      </c>
      <c r="E44" s="166">
        <f>postigones!I41</f>
        <v>2</v>
      </c>
    </row>
    <row r="45" spans="2:5" ht="14.25">
      <c r="B45" s="167" t="s">
        <v>71</v>
      </c>
      <c r="C45" s="165">
        <f>postigones!G42</f>
        <v>223935</v>
      </c>
      <c r="D45" s="165">
        <f>postigones!H42</f>
        <v>260660</v>
      </c>
      <c r="E45" s="166">
        <f>postigones!I42</f>
        <v>2</v>
      </c>
    </row>
    <row r="46" spans="2:5" ht="14.25">
      <c r="B46" s="167" t="s">
        <v>72</v>
      </c>
      <c r="C46" s="165">
        <f>postigones!G43</f>
        <v>259295</v>
      </c>
      <c r="D46" s="165">
        <f>postigones!H43</f>
        <v>323280</v>
      </c>
      <c r="E46" s="166">
        <f>postigones!I43</f>
        <v>3</v>
      </c>
    </row>
    <row r="47" spans="2:5" ht="14.25">
      <c r="B47" s="167" t="s">
        <v>73</v>
      </c>
      <c r="C47" s="165">
        <f>postigones!G44</f>
        <v>274335</v>
      </c>
      <c r="D47" s="165">
        <f>postigones!H44</f>
        <v>340565</v>
      </c>
      <c r="E47" s="166">
        <f>postigones!I44</f>
        <v>3</v>
      </c>
    </row>
    <row r="48" spans="2:5" ht="14.25">
      <c r="B48" s="167" t="s">
        <v>74</v>
      </c>
      <c r="C48" s="165">
        <f>postigones!G45</f>
        <v>301770</v>
      </c>
      <c r="D48" s="165">
        <f>postigones!H45</f>
        <v>364955</v>
      </c>
      <c r="E48" s="166">
        <f>postigones!I45</f>
        <v>3</v>
      </c>
    </row>
    <row r="49" spans="2:5" ht="14.25">
      <c r="B49" s="167" t="s">
        <v>75</v>
      </c>
      <c r="C49" s="165">
        <f>postigones!G46</f>
        <v>331960</v>
      </c>
      <c r="D49" s="165">
        <f>postigones!H46</f>
        <v>401410</v>
      </c>
      <c r="E49" s="166">
        <f>postigones!I46</f>
        <v>3</v>
      </c>
    </row>
    <row r="50" spans="2:5" ht="14.25">
      <c r="B50" s="167" t="s">
        <v>76</v>
      </c>
      <c r="C50" s="165">
        <f>postigones!G47</f>
        <v>357535</v>
      </c>
      <c r="D50" s="165">
        <f>postigones!H47</f>
        <v>437860</v>
      </c>
      <c r="E50" s="166">
        <f>postigones!I47</f>
        <v>3</v>
      </c>
    </row>
    <row r="51" spans="2:5" ht="14.25">
      <c r="B51" s="167" t="s">
        <v>17</v>
      </c>
      <c r="C51" s="165">
        <f>postigones!G48</f>
        <v>238275</v>
      </c>
      <c r="D51" s="165">
        <f>postigones!H48</f>
        <v>291915</v>
      </c>
      <c r="E51" s="166">
        <f>postigones!I48</f>
        <v>2</v>
      </c>
    </row>
    <row r="52" spans="2:5" ht="14.25">
      <c r="B52" s="167" t="s">
        <v>83</v>
      </c>
      <c r="C52" s="165">
        <f>postigones!G49</f>
        <v>285685</v>
      </c>
      <c r="D52" s="165">
        <f>postigones!H49</f>
        <v>301245</v>
      </c>
      <c r="E52" s="166">
        <f>postigones!I49</f>
        <v>2</v>
      </c>
    </row>
    <row r="53" spans="2:5" ht="14.25">
      <c r="B53" s="167" t="s">
        <v>84</v>
      </c>
      <c r="C53" s="165">
        <f>postigones!G50</f>
        <v>321670</v>
      </c>
      <c r="D53" s="165">
        <f>postigones!H50</f>
        <v>400205</v>
      </c>
      <c r="E53" s="166">
        <f>postigones!I50</f>
        <v>3</v>
      </c>
    </row>
    <row r="54" spans="2:5" ht="14.25">
      <c r="B54" s="167" t="s">
        <v>85</v>
      </c>
      <c r="C54" s="165">
        <f>postigones!G51</f>
        <v>343070</v>
      </c>
      <c r="D54" s="165">
        <f>postigones!H51</f>
        <v>417105</v>
      </c>
      <c r="E54" s="166">
        <f>postigones!I51</f>
        <v>3</v>
      </c>
    </row>
    <row r="55" spans="2:5" ht="14.25">
      <c r="B55" s="167" t="s">
        <v>86</v>
      </c>
      <c r="C55" s="165">
        <f>postigones!G52</f>
        <v>362515</v>
      </c>
      <c r="D55" s="165">
        <f>postigones!H52</f>
        <v>444040</v>
      </c>
      <c r="E55" s="166">
        <f>postigones!I52</f>
        <v>3</v>
      </c>
    </row>
    <row r="56" spans="2:5" ht="14.25">
      <c r="B56" s="167" t="s">
        <v>87</v>
      </c>
      <c r="C56" s="165">
        <f>postigones!G53</f>
        <v>397165</v>
      </c>
      <c r="D56" s="165">
        <f>postigones!H53</f>
        <v>486425</v>
      </c>
      <c r="E56" s="166">
        <f>postigones!I53</f>
        <v>3</v>
      </c>
    </row>
    <row r="57" spans="2:5" ht="14.65" thickBot="1">
      <c r="B57" s="168" t="s">
        <v>88</v>
      </c>
      <c r="C57" s="231">
        <f>postigones!G54</f>
        <v>417105</v>
      </c>
      <c r="D57" s="231">
        <f>postigones!H54</f>
        <v>510920</v>
      </c>
      <c r="E57" s="232" t="str">
        <f>postigones!I54</f>
        <v>3ó4</v>
      </c>
    </row>
  </sheetData>
  <mergeCells count="3">
    <mergeCell ref="B6:E6"/>
    <mergeCell ref="B7:E7"/>
    <mergeCell ref="B9:E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" id="{FDCF76CF-753D-4AEB-B716-254FE707C56B}">
            <xm:f>postigones!$C$2="VERDE"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38" id="{13774B0D-4737-4FA9-B9E7-D2678A9514BA}">
            <xm:f>postigones!$C$2="AZUL"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39" id="{C9686CC3-B102-4D0F-9E5D-268D28D806EA}">
            <xm:f>postigones!$C$2="AMARILLA"</xm:f>
            <x14:dxf>
              <fill>
                <patternFill>
                  <bgColor rgb="FFFFFF00"/>
                </patternFill>
              </fill>
            </x14:dxf>
          </x14:cfRule>
          <xm:sqref>B9:E10 B11:B57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3B88-DAF4-461F-A4B3-040E4B0D6662}">
  <sheetPr codeName="Hoja28">
    <tabColor rgb="FF00B050"/>
    <pageSetUpPr fitToPage="1"/>
  </sheetPr>
  <dimension ref="B6:H17"/>
  <sheetViews>
    <sheetView zoomScale="55" zoomScaleNormal="55" workbookViewId="0">
      <selection activeCell="H87" sqref="H87"/>
    </sheetView>
  </sheetViews>
  <sheetFormatPr baseColWidth="10" defaultRowHeight="12.75"/>
  <cols>
    <col min="1" max="1" width="10.6640625" style="1"/>
    <col min="2" max="2" width="15.265625" style="1" customWidth="1"/>
    <col min="3" max="3" width="14.3984375" style="1" customWidth="1"/>
    <col min="4" max="16384" width="10.6640625" style="1"/>
  </cols>
  <sheetData>
    <row r="6" spans="2:8" ht="13.15">
      <c r="B6" s="345" t="s">
        <v>21</v>
      </c>
      <c r="C6" s="345"/>
      <c r="D6" s="345"/>
      <c r="E6" s="345"/>
    </row>
    <row r="7" spans="2:8" ht="13.15">
      <c r="B7" s="345" t="s">
        <v>22</v>
      </c>
      <c r="C7" s="345"/>
      <c r="D7" s="345"/>
      <c r="E7" s="345"/>
    </row>
    <row r="8" spans="2:8" ht="13.15" thickBot="1"/>
    <row r="9" spans="2:8" ht="21.4" thickBot="1">
      <c r="B9" s="368" t="s">
        <v>294</v>
      </c>
      <c r="C9" s="369"/>
      <c r="D9" s="369"/>
      <c r="E9" s="370"/>
      <c r="F9" s="174"/>
      <c r="G9" s="174"/>
      <c r="H9" s="174"/>
    </row>
    <row r="10" spans="2:8" ht="16.149999999999999" thickBot="1">
      <c r="B10" s="175" t="s">
        <v>246</v>
      </c>
      <c r="C10" s="109" t="s">
        <v>290</v>
      </c>
      <c r="D10" s="109" t="s">
        <v>237</v>
      </c>
      <c r="E10" s="110" t="s">
        <v>126</v>
      </c>
    </row>
    <row r="11" spans="2:8" ht="16.899999999999999">
      <c r="B11" s="176" t="s">
        <v>291</v>
      </c>
      <c r="C11" s="5">
        <f>'puertas eco'!H8</f>
        <v>144335</v>
      </c>
      <c r="D11" s="5">
        <f>'puertas eco'!I8</f>
        <v>174195</v>
      </c>
      <c r="E11" s="6">
        <f>'puertas eco'!J8</f>
        <v>177200</v>
      </c>
    </row>
    <row r="12" spans="2:8" ht="16.899999999999999">
      <c r="B12" s="177" t="s">
        <v>206</v>
      </c>
      <c r="C12" s="5">
        <f>'puertas eco'!H9</f>
        <v>153920</v>
      </c>
      <c r="D12" s="5">
        <f>'puertas eco'!I9</f>
        <v>158875</v>
      </c>
      <c r="E12" s="6">
        <f>'puertas eco'!J9</f>
        <v>161715</v>
      </c>
    </row>
    <row r="13" spans="2:8" ht="16.899999999999999">
      <c r="B13" s="177" t="s">
        <v>207</v>
      </c>
      <c r="C13" s="5">
        <f>'puertas eco'!H10</f>
        <v>185885</v>
      </c>
      <c r="D13" s="5">
        <f>'puertas eco'!I10</f>
        <v>188365</v>
      </c>
      <c r="E13" s="6">
        <f>'puertas eco'!J10</f>
        <v>189785</v>
      </c>
    </row>
    <row r="14" spans="2:8" ht="16.899999999999999">
      <c r="B14" s="177" t="s">
        <v>292</v>
      </c>
      <c r="C14" s="5">
        <f>'puertas eco'!H11</f>
        <v>220075</v>
      </c>
      <c r="D14" s="5">
        <f>'puertas eco'!I11</f>
        <v>208405</v>
      </c>
      <c r="E14" s="6">
        <f>'puertas eco'!J11</f>
        <v>223970</v>
      </c>
    </row>
    <row r="15" spans="2:8" ht="16.899999999999999">
      <c r="B15" s="177" t="s">
        <v>293</v>
      </c>
      <c r="C15" s="5">
        <f>'puertas eco'!H12</f>
        <v>202330</v>
      </c>
      <c r="D15" s="5">
        <f>'puertas eco'!I12</f>
        <v>203670</v>
      </c>
      <c r="E15" s="6">
        <f>'puertas eco'!J12</f>
        <v>204460</v>
      </c>
    </row>
    <row r="16" spans="2:8" ht="16.899999999999999">
      <c r="B16" s="177" t="s">
        <v>210</v>
      </c>
      <c r="C16" s="5">
        <f>'puertas eco'!H13</f>
        <v>219665</v>
      </c>
      <c r="D16" s="5">
        <f>'puertas eco'!I13</f>
        <v>213140</v>
      </c>
      <c r="E16" s="6">
        <f>'puertas eco'!J13</f>
        <v>221790</v>
      </c>
    </row>
    <row r="17" spans="2:5" ht="17.25" thickBot="1">
      <c r="B17" s="178" t="s">
        <v>211</v>
      </c>
      <c r="C17" s="10">
        <f>'puertas eco'!H14</f>
        <v>214530</v>
      </c>
      <c r="D17" s="10" t="s">
        <v>204</v>
      </c>
      <c r="E17" s="11" t="s">
        <v>204</v>
      </c>
    </row>
  </sheetData>
  <mergeCells count="3">
    <mergeCell ref="B6:E6"/>
    <mergeCell ref="B7:E7"/>
    <mergeCell ref="B9:E9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9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" id="{A61C967F-E9A3-499E-B4F5-D19B6C77F659}">
            <xm:f>'puertas eco'!$C$2="VERDE"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41" id="{7ED84EF9-0EEF-4E2C-8E59-87F2305B5AD4}">
            <xm:f>'puertas eco'!$C$2="AZUL"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42" id="{2E9F18B3-91EE-4841-A712-5091D189AC95}">
            <xm:f>'puertas eco'!$C$2="AMARILLA"</xm:f>
            <x14:dxf>
              <fill>
                <patternFill>
                  <bgColor rgb="FFFFFF00"/>
                </patternFill>
              </fill>
            </x14:dxf>
          </x14:cfRule>
          <xm:sqref>B9:E10 B11:B17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1580-5DF6-49AF-91FB-CDEA1BD31389}">
  <sheetPr codeName="Hoja29">
    <tabColor rgb="FF00B050"/>
    <pageSetUpPr fitToPage="1"/>
  </sheetPr>
  <dimension ref="B7:E49"/>
  <sheetViews>
    <sheetView topLeftCell="A8" zoomScale="55" zoomScaleNormal="55" workbookViewId="0">
      <selection activeCell="H87" sqref="H87"/>
    </sheetView>
  </sheetViews>
  <sheetFormatPr baseColWidth="10" defaultRowHeight="12.75"/>
  <cols>
    <col min="1" max="1" width="10.6640625" style="1"/>
    <col min="2" max="2" width="68.59765625" style="1" customWidth="1"/>
    <col min="3" max="3" width="17.86328125" style="1" customWidth="1"/>
    <col min="4" max="4" width="12.59765625" style="1" customWidth="1"/>
    <col min="5" max="16384" width="10.6640625" style="1"/>
  </cols>
  <sheetData>
    <row r="7" spans="2:5" ht="13.15">
      <c r="B7" s="345" t="s">
        <v>21</v>
      </c>
      <c r="C7" s="345"/>
      <c r="D7" s="345"/>
    </row>
    <row r="8" spans="2:5" ht="13.15">
      <c r="B8" s="345" t="s">
        <v>22</v>
      </c>
      <c r="C8" s="345"/>
      <c r="D8" s="345"/>
      <c r="E8" s="188"/>
    </row>
    <row r="9" spans="2:5" ht="13.5" thickBot="1">
      <c r="B9" s="189"/>
    </row>
    <row r="10" spans="2:5" ht="18.399999999999999" thickBot="1">
      <c r="B10" s="371" t="s">
        <v>295</v>
      </c>
      <c r="C10" s="372"/>
      <c r="D10" s="373"/>
    </row>
    <row r="11" spans="2:5" ht="14.65" thickBot="1">
      <c r="B11" s="190" t="s">
        <v>297</v>
      </c>
      <c r="C11" s="180"/>
      <c r="D11" s="191">
        <f>recargos!G6</f>
        <v>0.3</v>
      </c>
    </row>
    <row r="12" spans="2:5" ht="14.65" thickBot="1">
      <c r="B12" s="192" t="s">
        <v>299</v>
      </c>
      <c r="C12" s="183"/>
      <c r="D12" s="191">
        <f>recargos!G7</f>
        <v>0.2</v>
      </c>
    </row>
    <row r="13" spans="2:5" ht="14.65" thickBot="1">
      <c r="B13" s="192" t="s">
        <v>301</v>
      </c>
      <c r="C13" s="183"/>
      <c r="D13" s="191">
        <f>recargos!G8</f>
        <v>0.7</v>
      </c>
    </row>
    <row r="14" spans="2:5" ht="14.65" thickBot="1">
      <c r="B14" s="192" t="s">
        <v>303</v>
      </c>
      <c r="C14" s="183"/>
      <c r="D14" s="191">
        <f>recargos!G9</f>
        <v>0.45</v>
      </c>
    </row>
    <row r="15" spans="2:5" ht="14.65" thickBot="1">
      <c r="B15" s="192" t="s">
        <v>305</v>
      </c>
      <c r="C15" s="183"/>
      <c r="D15" s="191">
        <f>recargos!G10</f>
        <v>0.3</v>
      </c>
    </row>
    <row r="16" spans="2:5" ht="14.65" thickBot="1">
      <c r="B16" s="192"/>
      <c r="C16" s="183"/>
      <c r="D16" s="193"/>
    </row>
    <row r="17" spans="2:4" ht="14.65" thickBot="1">
      <c r="B17" s="192"/>
      <c r="C17" s="183" t="s">
        <v>306</v>
      </c>
      <c r="D17" s="193"/>
    </row>
    <row r="18" spans="2:4" ht="14.65" thickBot="1">
      <c r="B18" s="192" t="s">
        <v>309</v>
      </c>
      <c r="C18" s="183" t="s">
        <v>308</v>
      </c>
      <c r="D18" s="194">
        <f>recargos!G13</f>
        <v>9483</v>
      </c>
    </row>
    <row r="19" spans="2:4" ht="14.65" thickBot="1">
      <c r="B19" s="192" t="s">
        <v>311</v>
      </c>
      <c r="C19" s="183" t="s">
        <v>308</v>
      </c>
      <c r="D19" s="194">
        <f>recargos!G14</f>
        <v>5382</v>
      </c>
    </row>
    <row r="20" spans="2:4" ht="14.65" thickBot="1">
      <c r="B20" s="192" t="s">
        <v>313</v>
      </c>
      <c r="C20" s="183"/>
      <c r="D20" s="194">
        <f>recargos!G15</f>
        <v>35883</v>
      </c>
    </row>
    <row r="21" spans="2:4" ht="14.65" thickBot="1">
      <c r="B21" s="195" t="s">
        <v>314</v>
      </c>
      <c r="C21" s="183"/>
      <c r="D21" s="194">
        <f>recargos!G16</f>
        <v>128154</v>
      </c>
    </row>
    <row r="22" spans="2:4" ht="14.65" thickBot="1">
      <c r="B22" s="192" t="s">
        <v>316</v>
      </c>
      <c r="C22" s="183" t="s">
        <v>308</v>
      </c>
      <c r="D22" s="194">
        <f>recargos!G17</f>
        <v>13693</v>
      </c>
    </row>
    <row r="23" spans="2:4" ht="14.65" thickBot="1">
      <c r="B23" s="192" t="s">
        <v>318</v>
      </c>
      <c r="C23" s="183" t="s">
        <v>308</v>
      </c>
      <c r="D23" s="194">
        <f>recargos!G18</f>
        <v>17323</v>
      </c>
    </row>
    <row r="24" spans="2:4" ht="14.65" thickBot="1">
      <c r="B24" s="192" t="s">
        <v>320</v>
      </c>
      <c r="C24" s="183" t="s">
        <v>308</v>
      </c>
      <c r="D24" s="194">
        <f>recargos!G19</f>
        <v>23170</v>
      </c>
    </row>
    <row r="25" spans="2:4" ht="14.65" thickBot="1">
      <c r="B25" s="192" t="s">
        <v>322</v>
      </c>
      <c r="C25" s="183" t="s">
        <v>308</v>
      </c>
      <c r="D25" s="194">
        <f>recargos!G20</f>
        <v>26278</v>
      </c>
    </row>
    <row r="26" spans="2:4" ht="14.65" thickBot="1">
      <c r="B26" s="192" t="s">
        <v>324</v>
      </c>
      <c r="C26" s="183" t="s">
        <v>308</v>
      </c>
      <c r="D26" s="194">
        <f>recargos!G21</f>
        <v>7567</v>
      </c>
    </row>
    <row r="27" spans="2:4" ht="14.65" thickBot="1">
      <c r="B27" s="192" t="s">
        <v>326</v>
      </c>
      <c r="C27" s="183" t="s">
        <v>308</v>
      </c>
      <c r="D27" s="194">
        <f>recargos!G22</f>
        <v>16147</v>
      </c>
    </row>
    <row r="28" spans="2:4" ht="14.65" thickBot="1">
      <c r="B28" s="192"/>
      <c r="C28" s="183"/>
      <c r="D28" s="194"/>
    </row>
    <row r="29" spans="2:4" ht="14.65" thickBot="1">
      <c r="B29" s="192" t="s">
        <v>329</v>
      </c>
      <c r="C29" s="183" t="s">
        <v>328</v>
      </c>
      <c r="D29" s="194">
        <f>recargos!G24</f>
        <v>19315</v>
      </c>
    </row>
    <row r="30" spans="2:4" ht="14.65" thickBot="1">
      <c r="B30" s="192" t="s">
        <v>331</v>
      </c>
      <c r="C30" s="183" t="s">
        <v>328</v>
      </c>
      <c r="D30" s="194">
        <f>recargos!G25</f>
        <v>25936</v>
      </c>
    </row>
    <row r="31" spans="2:4" ht="14.65" thickBot="1">
      <c r="B31" s="192" t="s">
        <v>333</v>
      </c>
      <c r="C31" s="183" t="s">
        <v>328</v>
      </c>
      <c r="D31" s="194">
        <f>recargos!G26</f>
        <v>33160</v>
      </c>
    </row>
    <row r="32" spans="2:4" ht="14.65" thickBot="1">
      <c r="B32" s="192" t="s">
        <v>335</v>
      </c>
      <c r="C32" s="183" t="s">
        <v>328</v>
      </c>
      <c r="D32" s="194">
        <f>recargos!G27</f>
        <v>41976</v>
      </c>
    </row>
    <row r="33" spans="2:4" ht="14.65" thickBot="1">
      <c r="B33" s="192"/>
      <c r="C33" s="183"/>
      <c r="D33" s="194"/>
    </row>
    <row r="34" spans="2:4" ht="14.65" thickBot="1">
      <c r="B34" s="192" t="s">
        <v>337</v>
      </c>
      <c r="C34" s="183" t="s">
        <v>328</v>
      </c>
      <c r="D34" s="194">
        <f>recargos!G29</f>
        <v>32968</v>
      </c>
    </row>
    <row r="35" spans="2:4" ht="14.65" thickBot="1">
      <c r="B35" s="192" t="s">
        <v>339</v>
      </c>
      <c r="C35" s="183" t="s">
        <v>328</v>
      </c>
      <c r="D35" s="194">
        <f>recargos!G30</f>
        <v>105225</v>
      </c>
    </row>
    <row r="36" spans="2:4" ht="14.65" thickBot="1">
      <c r="B36" s="192"/>
      <c r="C36" s="183"/>
      <c r="D36" s="194"/>
    </row>
    <row r="37" spans="2:4" ht="14.65" thickBot="1">
      <c r="B37" s="192" t="s">
        <v>341</v>
      </c>
      <c r="C37" s="183" t="s">
        <v>328</v>
      </c>
      <c r="D37" s="194">
        <f>recargos!G32</f>
        <v>80000</v>
      </c>
    </row>
    <row r="38" spans="2:4" ht="14.65" thickBot="1">
      <c r="B38" s="192" t="s">
        <v>343</v>
      </c>
      <c r="C38" s="183" t="s">
        <v>328</v>
      </c>
      <c r="D38" s="194">
        <f>recargos!G33</f>
        <v>89368</v>
      </c>
    </row>
    <row r="39" spans="2:4" ht="14.65" thickBot="1">
      <c r="B39" s="192" t="s">
        <v>345</v>
      </c>
      <c r="C39" s="183" t="s">
        <v>328</v>
      </c>
      <c r="D39" s="194">
        <f>recargos!G34</f>
        <v>108107</v>
      </c>
    </row>
    <row r="40" spans="2:4" ht="14.65" thickBot="1">
      <c r="B40" s="192"/>
      <c r="C40" s="183"/>
      <c r="D40" s="194"/>
    </row>
    <row r="41" spans="2:4" ht="14.65" thickBot="1">
      <c r="B41" s="192" t="s">
        <v>347</v>
      </c>
      <c r="C41" s="183" t="s">
        <v>308</v>
      </c>
      <c r="D41" s="194">
        <f>recargos!G36</f>
        <v>65961</v>
      </c>
    </row>
    <row r="42" spans="2:4" ht="14.65" thickBot="1">
      <c r="B42" s="196" t="s">
        <v>349</v>
      </c>
      <c r="C42" s="197" t="s">
        <v>328</v>
      </c>
      <c r="D42" s="194">
        <f>recargos!G37</f>
        <v>74204</v>
      </c>
    </row>
    <row r="49" ht="15.75" customHeight="1"/>
  </sheetData>
  <mergeCells count="3">
    <mergeCell ref="B7:D7"/>
    <mergeCell ref="B8:D8"/>
    <mergeCell ref="B10:D10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" id="{65B4EE59-3D83-40A5-B95D-BD246EB6A6F7}">
            <xm:f>recargos!$C$2="VERDE"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44" id="{D7D69FA9-00DD-4880-8283-6033CD59F128}">
            <xm:f>recargos!$C$2="AZUL"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45" id="{BD3236E5-2EBD-45D1-AFF4-829998CFC11D}">
            <xm:f>recargos!$C$2="AMARILLA"</xm:f>
            <x14:dxf>
              <fill>
                <patternFill>
                  <bgColor rgb="FFFFFF00"/>
                </patternFill>
              </fill>
            </x14:dxf>
          </x14:cfRule>
          <xm:sqref>B10:D10 B11:B42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3E02-3FA2-450F-AF6F-7F26115D96FC}">
  <sheetPr codeName="Hoja30">
    <tabColor rgb="FF00B050"/>
    <pageSetUpPr fitToPage="1"/>
  </sheetPr>
  <dimension ref="B5:G22"/>
  <sheetViews>
    <sheetView zoomScale="55" zoomScaleNormal="55" workbookViewId="0">
      <selection activeCell="H87" sqref="H87"/>
    </sheetView>
  </sheetViews>
  <sheetFormatPr baseColWidth="10" defaultColWidth="8.73046875" defaultRowHeight="14.25"/>
  <cols>
    <col min="1" max="1" width="8.73046875" style="2"/>
    <col min="2" max="2" width="24" style="2" customWidth="1"/>
    <col min="3" max="3" width="13" style="2" customWidth="1"/>
    <col min="4" max="4" width="12.265625" style="2" customWidth="1"/>
    <col min="5" max="5" width="17.59765625" style="2" customWidth="1"/>
    <col min="6" max="6" width="13.59765625" style="2" customWidth="1"/>
    <col min="7" max="7" width="14.86328125" style="2" customWidth="1"/>
    <col min="8" max="16384" width="8.73046875" style="2"/>
  </cols>
  <sheetData>
    <row r="5" spans="2:7">
      <c r="B5" s="337" t="s">
        <v>21</v>
      </c>
      <c r="C5" s="337"/>
      <c r="D5" s="337"/>
      <c r="E5" s="337"/>
      <c r="F5" s="337"/>
      <c r="G5" s="337"/>
    </row>
    <row r="6" spans="2:7">
      <c r="B6" s="345" t="s">
        <v>22</v>
      </c>
      <c r="C6" s="345"/>
      <c r="D6" s="345"/>
      <c r="E6" s="345"/>
      <c r="F6" s="345"/>
      <c r="G6" s="345"/>
    </row>
    <row r="7" spans="2:7" ht="14.65" thickBot="1"/>
    <row r="8" spans="2:7" ht="25.5">
      <c r="B8" s="374" t="s">
        <v>363</v>
      </c>
      <c r="C8" s="375"/>
      <c r="D8" s="375"/>
      <c r="E8" s="375"/>
      <c r="F8" s="375"/>
      <c r="G8" s="376"/>
    </row>
    <row r="9" spans="2:7">
      <c r="B9" s="198" t="s">
        <v>351</v>
      </c>
      <c r="C9" s="199" t="s">
        <v>364</v>
      </c>
      <c r="D9" s="199" t="s">
        <v>365</v>
      </c>
      <c r="E9" s="199" t="s">
        <v>366</v>
      </c>
      <c r="F9" s="199" t="s">
        <v>373</v>
      </c>
      <c r="G9" s="200" t="s">
        <v>374</v>
      </c>
    </row>
    <row r="10" spans="2:7">
      <c r="B10" s="31" t="s">
        <v>369</v>
      </c>
      <c r="C10" s="65">
        <f>'cortinas pvc'!I7</f>
        <v>35598</v>
      </c>
      <c r="D10" s="65">
        <f>'cortinas pvc'!J7</f>
        <v>44087</v>
      </c>
      <c r="E10" s="65">
        <f>'cortinas pvc'!K7</f>
        <v>41475</v>
      </c>
      <c r="F10" s="65">
        <f>'cortinas pvc'!L7</f>
        <v>62072</v>
      </c>
      <c r="G10" s="66">
        <f>'cortinas pvc'!M7</f>
        <v>74486</v>
      </c>
    </row>
    <row r="11" spans="2:7">
      <c r="B11" s="31" t="s">
        <v>370</v>
      </c>
      <c r="C11" s="65">
        <f>'cortinas pvc'!I8</f>
        <v>27318</v>
      </c>
      <c r="D11" s="65">
        <f>'cortinas pvc'!J8</f>
        <v>33307</v>
      </c>
      <c r="E11" s="65">
        <f>'cortinas pvc'!K8</f>
        <v>32584</v>
      </c>
      <c r="F11" s="65">
        <f>'cortinas pvc'!L8</f>
        <v>46078</v>
      </c>
      <c r="G11" s="66">
        <f>'cortinas pvc'!M8</f>
        <v>55293</v>
      </c>
    </row>
    <row r="12" spans="2:7">
      <c r="B12" s="31" t="s">
        <v>371</v>
      </c>
      <c r="C12" s="65">
        <f>'cortinas pvc'!I9</f>
        <v>1368</v>
      </c>
      <c r="D12" s="65">
        <f>'cortinas pvc'!J9</f>
        <v>1705</v>
      </c>
      <c r="E12" s="65">
        <f>'cortinas pvc'!K9</f>
        <v>1631</v>
      </c>
      <c r="F12" s="65">
        <f>'cortinas pvc'!L9</f>
        <v>2305</v>
      </c>
      <c r="G12" s="66">
        <f>'cortinas pvc'!M9</f>
        <v>2766</v>
      </c>
    </row>
    <row r="13" spans="2:7" ht="14.65" thickBot="1">
      <c r="B13" s="32" t="s">
        <v>372</v>
      </c>
      <c r="C13" s="229">
        <f>'cortinas pvc'!I10</f>
        <v>3086</v>
      </c>
      <c r="D13" s="229">
        <f>'cortinas pvc'!J10</f>
        <v>3066</v>
      </c>
      <c r="E13" s="229">
        <f>'cortinas pvc'!K10</f>
        <v>3086</v>
      </c>
      <c r="F13" s="229">
        <f>'cortinas pvc'!L10</f>
        <v>3086</v>
      </c>
      <c r="G13" s="230">
        <f>'cortinas pvc'!M10</f>
        <v>3703</v>
      </c>
    </row>
    <row r="14" spans="2:7" ht="17.25" thickBot="1">
      <c r="B14" s="201"/>
    </row>
    <row r="15" spans="2:7" ht="25.9" thickBot="1">
      <c r="B15" s="377" t="s">
        <v>350</v>
      </c>
      <c r="C15" s="378"/>
      <c r="D15" s="378"/>
      <c r="E15" s="379"/>
      <c r="F15" s="379"/>
      <c r="G15" s="380"/>
    </row>
    <row r="16" spans="2:7">
      <c r="B16" s="202" t="s">
        <v>351</v>
      </c>
      <c r="C16" s="203" t="s">
        <v>352</v>
      </c>
      <c r="D16" s="203" t="s">
        <v>353</v>
      </c>
      <c r="E16" s="203" t="s">
        <v>354</v>
      </c>
      <c r="F16" s="203" t="s">
        <v>355</v>
      </c>
      <c r="G16" s="204" t="s">
        <v>356</v>
      </c>
    </row>
    <row r="17" spans="2:7">
      <c r="B17" s="31" t="s">
        <v>357</v>
      </c>
      <c r="C17" s="65">
        <f>plegadizas!I7</f>
        <v>81027</v>
      </c>
      <c r="D17" s="65">
        <f>plegadizas!J7</f>
        <v>0</v>
      </c>
      <c r="E17" s="65">
        <f>plegadizas!K7</f>
        <v>81027</v>
      </c>
      <c r="F17" s="65">
        <f>plegadizas!L7</f>
        <v>91294</v>
      </c>
      <c r="G17" s="66">
        <f>plegadizas!M7</f>
        <v>91294</v>
      </c>
    </row>
    <row r="18" spans="2:7">
      <c r="B18" s="31" t="s">
        <v>358</v>
      </c>
      <c r="C18" s="65">
        <f>plegadizas!I8</f>
        <v>85393</v>
      </c>
      <c r="D18" s="65">
        <f>plegadizas!J8</f>
        <v>85393</v>
      </c>
      <c r="E18" s="65">
        <f>plegadizas!K8</f>
        <v>85393</v>
      </c>
      <c r="F18" s="65">
        <f>plegadizas!L8</f>
        <v>85857</v>
      </c>
      <c r="G18" s="66">
        <f>plegadizas!M8</f>
        <v>94442</v>
      </c>
    </row>
    <row r="19" spans="2:7">
      <c r="B19" s="31" t="s">
        <v>359</v>
      </c>
      <c r="C19" s="65">
        <f>plegadizas!I9</f>
        <v>92749</v>
      </c>
      <c r="D19" s="65">
        <f>plegadizas!J9</f>
        <v>92749</v>
      </c>
      <c r="E19" s="65">
        <f>plegadizas!K9</f>
        <v>92749</v>
      </c>
      <c r="F19" s="65">
        <f>plegadizas!L9</f>
        <v>108903</v>
      </c>
      <c r="G19" s="66">
        <f>plegadizas!M9</f>
        <v>108903</v>
      </c>
    </row>
    <row r="20" spans="2:7">
      <c r="B20" s="31" t="s">
        <v>360</v>
      </c>
      <c r="C20" s="65">
        <f>plegadizas!I10</f>
        <v>94923</v>
      </c>
      <c r="D20" s="65">
        <f>plegadizas!J10</f>
        <v>94923</v>
      </c>
      <c r="E20" s="65">
        <f>plegadizas!K10</f>
        <v>94923</v>
      </c>
      <c r="F20" s="65">
        <f>plegadizas!L10</f>
        <v>0</v>
      </c>
      <c r="G20" s="66">
        <f>plegadizas!M10</f>
        <v>0</v>
      </c>
    </row>
    <row r="21" spans="2:7">
      <c r="B21" s="31" t="s">
        <v>361</v>
      </c>
      <c r="C21" s="65">
        <f>plegadizas!I11</f>
        <v>109510</v>
      </c>
      <c r="D21" s="65">
        <f>plegadizas!J11</f>
        <v>0</v>
      </c>
      <c r="E21" s="65">
        <f>plegadizas!K11</f>
        <v>109510</v>
      </c>
      <c r="F21" s="65">
        <f>plegadizas!L11</f>
        <v>0</v>
      </c>
      <c r="G21" s="66">
        <f>plegadizas!M11</f>
        <v>0</v>
      </c>
    </row>
    <row r="22" spans="2:7" ht="14.65" thickBot="1">
      <c r="B22" s="32" t="s">
        <v>362</v>
      </c>
      <c r="C22" s="229">
        <f>plegadizas!I12</f>
        <v>116041</v>
      </c>
      <c r="D22" s="229">
        <f>plegadizas!J12</f>
        <v>0</v>
      </c>
      <c r="E22" s="229">
        <f>plegadizas!K12</f>
        <v>116041</v>
      </c>
      <c r="F22" s="229">
        <f>plegadizas!L12</f>
        <v>0</v>
      </c>
      <c r="G22" s="230">
        <f>plegadizas!M12</f>
        <v>0</v>
      </c>
    </row>
  </sheetData>
  <mergeCells count="4">
    <mergeCell ref="B5:G5"/>
    <mergeCell ref="B6:G6"/>
    <mergeCell ref="B8:G8"/>
    <mergeCell ref="B15:G15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4" firstPageNumber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25C22F54-A659-4583-8796-A47FACEC979D}">
            <xm:f>'cortinas pvc'!$C$2="AMARILLA"</xm:f>
            <x14:dxf>
              <fill>
                <patternFill>
                  <bgColor rgb="FFFFFF00"/>
                </patternFill>
              </fill>
            </x14:dxf>
          </x14:cfRule>
          <xm:sqref>B8:G8 B9:B13 C9:G9 B15:G16 B17:B22</xm:sqref>
        </x14:conditionalFormatting>
        <x14:conditionalFormatting xmlns:xm="http://schemas.microsoft.com/office/excel/2006/main">
          <x14:cfRule type="expression" priority="51" id="{C96A665D-7D2E-4B50-8803-C548D6F3D4A2}">
            <xm:f>'cortinas pvc'!$C$2="AZUL"</xm:f>
            <x14:dxf>
              <fill>
                <patternFill>
                  <bgColor rgb="FF00B0F0"/>
                </patternFill>
              </fill>
            </x14:dxf>
          </x14:cfRule>
          <xm:sqref>B8:G8 B9:B13 C9:G9 B15:G16 B17:B22</xm:sqref>
        </x14:conditionalFormatting>
        <x14:conditionalFormatting xmlns:xm="http://schemas.microsoft.com/office/excel/2006/main">
          <x14:cfRule type="expression" priority="56" id="{7B09267C-CD3C-4E03-92A9-4EC6438CAAC6}">
            <xm:f>'cortinas pvc'!$C$2="VERDE"</xm:f>
            <x14:dxf>
              <fill>
                <patternFill>
                  <bgColor rgb="FF00B050"/>
                </patternFill>
              </fill>
            </x14:dxf>
          </x14:cfRule>
          <xm:sqref>B8:G8 B9:B13 C9:G9 B15:G16 B17:B22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BA9F-5B70-4F60-8686-731BA279D1CE}">
  <sheetPr codeName="Hoja31">
    <tabColor rgb="FF00B050"/>
    <pageSetUpPr fitToPage="1"/>
  </sheetPr>
  <dimension ref="B6:G52"/>
  <sheetViews>
    <sheetView zoomScale="55" zoomScaleNormal="55" workbookViewId="0">
      <selection activeCell="H87" sqref="H87"/>
    </sheetView>
  </sheetViews>
  <sheetFormatPr baseColWidth="10" defaultRowHeight="12.75"/>
  <cols>
    <col min="1" max="2" width="10.6640625" style="1"/>
    <col min="3" max="3" width="19" style="1" customWidth="1"/>
    <col min="4" max="16384" width="10.6640625" style="1"/>
  </cols>
  <sheetData>
    <row r="6" spans="2:7" ht="13.15">
      <c r="B6" s="345"/>
      <c r="C6" s="345"/>
      <c r="D6" s="345"/>
      <c r="E6" s="345"/>
    </row>
    <row r="7" spans="2:7" ht="13.15">
      <c r="B7" s="337" t="s">
        <v>21</v>
      </c>
      <c r="C7" s="337"/>
      <c r="D7" s="337"/>
      <c r="E7" s="337"/>
      <c r="F7" s="337"/>
      <c r="G7" s="337"/>
    </row>
    <row r="8" spans="2:7" ht="13.15">
      <c r="B8" s="345" t="s">
        <v>22</v>
      </c>
      <c r="C8" s="345"/>
      <c r="D8" s="345"/>
      <c r="E8" s="345"/>
      <c r="F8" s="345"/>
      <c r="G8" s="345"/>
    </row>
    <row r="9" spans="2:7" ht="13.15" thickBot="1"/>
    <row r="10" spans="2:7" ht="18.399999999999999" thickBot="1">
      <c r="C10" s="391" t="s">
        <v>375</v>
      </c>
      <c r="D10" s="392"/>
      <c r="E10" s="392"/>
      <c r="F10" s="393"/>
    </row>
    <row r="11" spans="2:7">
      <c r="C11" s="383" t="s">
        <v>386</v>
      </c>
      <c r="D11" s="215" t="s">
        <v>377</v>
      </c>
      <c r="E11" s="216" t="s">
        <v>378</v>
      </c>
      <c r="F11" s="217" t="s">
        <v>379</v>
      </c>
    </row>
    <row r="12" spans="2:7">
      <c r="C12" s="384"/>
      <c r="D12" s="218" t="s">
        <v>390</v>
      </c>
      <c r="E12" s="219">
        <f>placas!H8</f>
        <v>80811</v>
      </c>
      <c r="F12" s="84">
        <f>placas!I8</f>
        <v>85886</v>
      </c>
    </row>
    <row r="13" spans="2:7">
      <c r="C13" s="381" t="s">
        <v>380</v>
      </c>
      <c r="D13" s="218" t="s">
        <v>393</v>
      </c>
      <c r="E13" s="219">
        <f>placas!H9</f>
        <v>80811</v>
      </c>
      <c r="F13" s="84">
        <f>placas!I9</f>
        <v>85886</v>
      </c>
    </row>
    <row r="14" spans="2:7" ht="13.15" thickBot="1">
      <c r="C14" s="382"/>
      <c r="D14" s="220" t="s">
        <v>394</v>
      </c>
      <c r="E14" s="225">
        <f>placas!H10</f>
        <v>85886</v>
      </c>
      <c r="F14" s="87">
        <f>placas!I10</f>
        <v>91221</v>
      </c>
    </row>
    <row r="15" spans="2:7" ht="13.15" thickBot="1"/>
    <row r="16" spans="2:7">
      <c r="C16" s="383" t="s">
        <v>386</v>
      </c>
      <c r="D16" s="215" t="s">
        <v>377</v>
      </c>
      <c r="E16" s="216" t="s">
        <v>378</v>
      </c>
      <c r="F16" s="217" t="s">
        <v>379</v>
      </c>
    </row>
    <row r="17" spans="3:6">
      <c r="C17" s="384"/>
      <c r="D17" s="218" t="s">
        <v>390</v>
      </c>
      <c r="E17" s="219">
        <f>placas!H13</f>
        <v>146679</v>
      </c>
      <c r="F17" s="84">
        <f>placas!I13</f>
        <v>152486</v>
      </c>
    </row>
    <row r="18" spans="3:6">
      <c r="C18" s="381" t="s">
        <v>383</v>
      </c>
      <c r="D18" s="218" t="s">
        <v>393</v>
      </c>
      <c r="E18" s="219">
        <f>placas!H14</f>
        <v>146679</v>
      </c>
      <c r="F18" s="84">
        <f>placas!I14</f>
        <v>152486</v>
      </c>
    </row>
    <row r="19" spans="3:6" ht="13.15" thickBot="1">
      <c r="C19" s="382"/>
      <c r="D19" s="220" t="s">
        <v>394</v>
      </c>
      <c r="E19" s="225">
        <f>placas!H15</f>
        <v>151667</v>
      </c>
      <c r="F19" s="87">
        <f>placas!I15</f>
        <v>159149</v>
      </c>
    </row>
    <row r="20" spans="3:6" ht="13.15" thickBot="1">
      <c r="E20" s="221"/>
    </row>
    <row r="21" spans="3:6">
      <c r="C21" s="383" t="s">
        <v>389</v>
      </c>
      <c r="D21" s="215" t="s">
        <v>377</v>
      </c>
      <c r="E21" s="216" t="s">
        <v>378</v>
      </c>
      <c r="F21" s="217" t="s">
        <v>379</v>
      </c>
    </row>
    <row r="22" spans="3:6">
      <c r="C22" s="384"/>
      <c r="D22" s="218" t="s">
        <v>390</v>
      </c>
      <c r="E22" s="219">
        <f>placas!H18</f>
        <v>239826</v>
      </c>
      <c r="F22" s="84">
        <f>placas!I18</f>
        <v>266113</v>
      </c>
    </row>
    <row r="23" spans="3:6">
      <c r="C23" s="381" t="s">
        <v>383</v>
      </c>
      <c r="D23" s="218" t="s">
        <v>393</v>
      </c>
      <c r="E23" s="219">
        <f>placas!H19</f>
        <v>239826</v>
      </c>
      <c r="F23" s="84">
        <f>placas!I19</f>
        <v>266113</v>
      </c>
    </row>
    <row r="24" spans="3:6" ht="13.15" thickBot="1">
      <c r="C24" s="382"/>
      <c r="D24" s="220" t="s">
        <v>394</v>
      </c>
      <c r="E24" s="219">
        <f>placas!H20</f>
        <v>252610</v>
      </c>
      <c r="F24" s="84">
        <f>placas!I20</f>
        <v>271419</v>
      </c>
    </row>
    <row r="25" spans="3:6" ht="13.15" thickBot="1">
      <c r="C25" s="226"/>
      <c r="D25" s="227"/>
      <c r="E25" s="227"/>
      <c r="F25" s="228"/>
    </row>
    <row r="26" spans="3:6" ht="13.15" thickBot="1"/>
    <row r="27" spans="3:6">
      <c r="C27" s="383" t="s">
        <v>391</v>
      </c>
      <c r="D27" s="215" t="s">
        <v>377</v>
      </c>
      <c r="E27" s="217" t="s">
        <v>392</v>
      </c>
    </row>
    <row r="28" spans="3:6">
      <c r="C28" s="384"/>
      <c r="D28" s="218" t="s">
        <v>390</v>
      </c>
      <c r="E28" s="84">
        <f>placas!H23</f>
        <v>83739</v>
      </c>
    </row>
    <row r="29" spans="3:6">
      <c r="C29" s="381" t="s">
        <v>380</v>
      </c>
      <c r="D29" s="218" t="s">
        <v>393</v>
      </c>
      <c r="E29" s="84">
        <f>placas!H24</f>
        <v>83739</v>
      </c>
    </row>
    <row r="30" spans="3:6" ht="13.15" thickBot="1">
      <c r="C30" s="382"/>
      <c r="D30" s="220" t="s">
        <v>394</v>
      </c>
      <c r="E30" s="87">
        <f>placas!H25</f>
        <v>87525</v>
      </c>
    </row>
    <row r="31" spans="3:6" ht="13.15" thickBot="1"/>
    <row r="32" spans="3:6">
      <c r="C32" s="383" t="s">
        <v>391</v>
      </c>
      <c r="D32" s="215" t="s">
        <v>377</v>
      </c>
      <c r="E32" s="217" t="s">
        <v>392</v>
      </c>
    </row>
    <row r="33" spans="3:6">
      <c r="C33" s="384"/>
      <c r="D33" s="218" t="s">
        <v>390</v>
      </c>
      <c r="E33" s="84">
        <f>placas!H28</f>
        <v>173170</v>
      </c>
    </row>
    <row r="34" spans="3:6">
      <c r="C34" s="381" t="s">
        <v>383</v>
      </c>
      <c r="D34" s="218" t="s">
        <v>393</v>
      </c>
      <c r="E34" s="84">
        <f>placas!H29</f>
        <v>174212</v>
      </c>
    </row>
    <row r="35" spans="3:6" ht="13.15" thickBot="1">
      <c r="C35" s="382"/>
      <c r="D35" s="220" t="s">
        <v>394</v>
      </c>
      <c r="E35" s="87">
        <f>placas!H30</f>
        <v>189681</v>
      </c>
    </row>
    <row r="36" spans="3:6" ht="13.15" thickBot="1"/>
    <row r="37" spans="3:6">
      <c r="C37" s="385" t="s">
        <v>385</v>
      </c>
      <c r="D37" s="386"/>
      <c r="E37" s="386"/>
      <c r="F37" s="387"/>
    </row>
    <row r="38" spans="3:6" ht="13.15" thickBot="1">
      <c r="C38" s="388"/>
      <c r="D38" s="389"/>
      <c r="E38" s="389"/>
      <c r="F38" s="390"/>
    </row>
    <row r="39" spans="3:6">
      <c r="C39" s="383" t="s">
        <v>386</v>
      </c>
      <c r="D39" s="222" t="s">
        <v>377</v>
      </c>
      <c r="E39" s="223" t="s">
        <v>378</v>
      </c>
      <c r="F39" s="224" t="s">
        <v>379</v>
      </c>
    </row>
    <row r="40" spans="3:6">
      <c r="C40" s="384"/>
      <c r="D40" s="218" t="s">
        <v>390</v>
      </c>
      <c r="E40" s="219">
        <f>placas!H35</f>
        <v>0</v>
      </c>
      <c r="F40" s="84">
        <f>placas!I35</f>
        <v>226882</v>
      </c>
    </row>
    <row r="41" spans="3:6">
      <c r="C41" s="381" t="s">
        <v>380</v>
      </c>
      <c r="D41" s="218" t="s">
        <v>393</v>
      </c>
      <c r="E41" s="219">
        <f>placas!H36</f>
        <v>0</v>
      </c>
      <c r="F41" s="84">
        <f>placas!I36</f>
        <v>226882</v>
      </c>
    </row>
    <row r="42" spans="3:6" ht="13.15" thickBot="1">
      <c r="C42" s="382"/>
      <c r="D42" s="220" t="s">
        <v>394</v>
      </c>
      <c r="E42" s="225">
        <f>placas!H37</f>
        <v>0</v>
      </c>
      <c r="F42" s="87">
        <f>placas!I37</f>
        <v>242432</v>
      </c>
    </row>
    <row r="43" spans="3:6" ht="13.15" thickBot="1"/>
    <row r="44" spans="3:6">
      <c r="C44" s="383" t="s">
        <v>386</v>
      </c>
      <c r="D44" s="215" t="s">
        <v>377</v>
      </c>
      <c r="E44" s="216" t="s">
        <v>378</v>
      </c>
      <c r="F44" s="217" t="s">
        <v>379</v>
      </c>
    </row>
    <row r="45" spans="3:6">
      <c r="C45" s="384"/>
      <c r="D45" s="218" t="s">
        <v>390</v>
      </c>
      <c r="E45" s="219">
        <f>placas!H40</f>
        <v>0</v>
      </c>
      <c r="F45" s="84">
        <f>placas!I40</f>
        <v>269019</v>
      </c>
    </row>
    <row r="46" spans="3:6">
      <c r="C46" s="381" t="s">
        <v>383</v>
      </c>
      <c r="D46" s="218" t="s">
        <v>393</v>
      </c>
      <c r="E46" s="219">
        <f>placas!H41</f>
        <v>0</v>
      </c>
      <c r="F46" s="84">
        <f>placas!I41</f>
        <v>269019</v>
      </c>
    </row>
    <row r="47" spans="3:6" ht="13.15" thickBot="1">
      <c r="C47" s="382"/>
      <c r="D47" s="220" t="s">
        <v>394</v>
      </c>
      <c r="E47" s="225">
        <f>placas!H42</f>
        <v>0</v>
      </c>
      <c r="F47" s="87">
        <f>placas!I42</f>
        <v>271041</v>
      </c>
    </row>
    <row r="48" spans="3:6" ht="13.15" thickBot="1"/>
    <row r="49" spans="3:6">
      <c r="C49" s="383" t="s">
        <v>389</v>
      </c>
      <c r="D49" s="215" t="s">
        <v>377</v>
      </c>
      <c r="E49" s="216" t="s">
        <v>378</v>
      </c>
      <c r="F49" s="217" t="s">
        <v>379</v>
      </c>
    </row>
    <row r="50" spans="3:6">
      <c r="C50" s="384"/>
      <c r="D50" s="218" t="s">
        <v>390</v>
      </c>
      <c r="E50" s="219">
        <f>placas!H45</f>
        <v>0</v>
      </c>
      <c r="F50" s="84">
        <f>placas!I45</f>
        <v>352659</v>
      </c>
    </row>
    <row r="51" spans="3:6">
      <c r="C51" s="381" t="s">
        <v>383</v>
      </c>
      <c r="D51" s="218" t="s">
        <v>393</v>
      </c>
      <c r="E51" s="219">
        <f>placas!H46</f>
        <v>0</v>
      </c>
      <c r="F51" s="84">
        <f>placas!I46</f>
        <v>352659</v>
      </c>
    </row>
    <row r="52" spans="3:6" ht="13.15" thickBot="1">
      <c r="C52" s="382"/>
      <c r="D52" s="220" t="s">
        <v>394</v>
      </c>
      <c r="E52" s="225">
        <f>placas!H47</f>
        <v>0</v>
      </c>
      <c r="F52" s="87">
        <f>placas!I47</f>
        <v>372409</v>
      </c>
    </row>
  </sheetData>
  <mergeCells count="21">
    <mergeCell ref="C29:C30"/>
    <mergeCell ref="B6:E6"/>
    <mergeCell ref="B7:G7"/>
    <mergeCell ref="B8:G8"/>
    <mergeCell ref="C10:F10"/>
    <mergeCell ref="C11:C12"/>
    <mergeCell ref="C13:C14"/>
    <mergeCell ref="C16:C17"/>
    <mergeCell ref="C18:C19"/>
    <mergeCell ref="C21:C22"/>
    <mergeCell ref="C23:C24"/>
    <mergeCell ref="C27:C28"/>
    <mergeCell ref="C46:C47"/>
    <mergeCell ref="C49:C50"/>
    <mergeCell ref="C51:C52"/>
    <mergeCell ref="C32:C33"/>
    <mergeCell ref="C34:C35"/>
    <mergeCell ref="C37:F38"/>
    <mergeCell ref="C39:C40"/>
    <mergeCell ref="C41:C42"/>
    <mergeCell ref="C44:C45"/>
  </mergeCells>
  <printOptions horizontalCentered="1" verticalCentered="1"/>
  <pageMargins left="0.70866141732283472" right="0.70866141732283472" top="0.74803149606299213" bottom="0.74803149606299213" header="0.51181102362204722" footer="0.5118110236220472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7" id="{174EDBF9-8DE9-429B-A0A3-7E88469849FF}">
            <xm:f>placas!$C$2="VERDE"</xm:f>
            <x14:dxf>
              <fill>
                <patternFill>
                  <bgColor rgb="FF00B050"/>
                </patternFill>
              </fill>
            </x14:dxf>
          </x14:cfRule>
          <x14:cfRule type="expression" priority="58" id="{0E003699-C572-49EC-BE83-095910B8D572}">
            <xm:f>placas!$C$2="AZUL"</xm:f>
            <x14:dxf>
              <fill>
                <patternFill>
                  <bgColor rgb="FF00B0F0"/>
                </patternFill>
              </fill>
            </x14:dxf>
          </x14:cfRule>
          <x14:cfRule type="expression" priority="59" id="{FE37ACFD-C94E-45E0-94FD-59BC2394A8FF}">
            <xm:f>placas!$C$2="AMARILLA"</xm:f>
            <x14:dxf>
              <fill>
                <patternFill>
                  <bgColor rgb="FFFFFF00"/>
                </patternFill>
              </fill>
            </x14:dxf>
          </x14:cfRule>
          <xm:sqref>C10:F10 C11:C12 D11:F11 C16:C17 D16:F16 C21:C22 D21:F21 C27:C28 D27:E27 C32:C33 D32:E32 C37:F38 C39:C40 D39:F39 C44:C45 D44:F44 C49:C50 D49:F49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CONTROL</vt:lpstr>
      <vt:lpstr>CONFIG</vt:lpstr>
      <vt:lpstr>ventana herrero</vt:lpstr>
      <vt:lpstr>mosquiteros</vt:lpstr>
      <vt:lpstr>rajas herrero</vt:lpstr>
      <vt:lpstr>puertas herrero</vt:lpstr>
      <vt:lpstr>medias puertas herrero</vt:lpstr>
      <vt:lpstr>ventanas modena</vt:lpstr>
      <vt:lpstr>rajas modena</vt:lpstr>
      <vt:lpstr>puertas modena</vt:lpstr>
      <vt:lpstr>patagonicas modena</vt:lpstr>
      <vt:lpstr>postigones</vt:lpstr>
      <vt:lpstr>puertas eco</vt:lpstr>
      <vt:lpstr>recargos</vt:lpstr>
      <vt:lpstr>plegadizas</vt:lpstr>
      <vt:lpstr>cortinas pvc</vt:lpstr>
      <vt:lpstr>placas</vt:lpstr>
      <vt:lpstr>ventana herrero venta</vt:lpstr>
      <vt:lpstr>mosquiteros venta</vt:lpstr>
      <vt:lpstr>rajas herrero venta</vt:lpstr>
      <vt:lpstr>puertas herrero venta</vt:lpstr>
      <vt:lpstr>medias puertas herrero venta</vt:lpstr>
      <vt:lpstr>ventanas modena venta</vt:lpstr>
      <vt:lpstr>rajas modena venta</vt:lpstr>
      <vt:lpstr>puertas modena venta</vt:lpstr>
      <vt:lpstr>patagonicas modena venta</vt:lpstr>
      <vt:lpstr>postigones venta</vt:lpstr>
      <vt:lpstr>puertas eco venta</vt:lpstr>
      <vt:lpstr>recargos venta</vt:lpstr>
      <vt:lpstr>plegadizas cortinas venta</vt:lpstr>
      <vt:lpstr>placas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Pablo Belloni</dc:creator>
  <cp:lastModifiedBy>German Pablo Belloni</cp:lastModifiedBy>
  <cp:lastPrinted>2026-03-27T18:47:19Z</cp:lastPrinted>
  <dcterms:created xsi:type="dcterms:W3CDTF">2026-03-21T20:23:42Z</dcterms:created>
  <dcterms:modified xsi:type="dcterms:W3CDTF">2026-03-31T00:11:00Z</dcterms:modified>
</cp:coreProperties>
</file>